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drawings/drawing2.xml" ContentType="application/vnd.openxmlformats-officedocument.drawing+xml"/>
  <Override PartName="/xl/comments1.xml" ContentType="application/vnd.openxmlformats-officedocument.spreadsheetml.comments+xml"/>
  <Override PartName="/xl/drawings/drawing3.xml" ContentType="application/vnd.openxmlformats-officedocument.drawing+xml"/>
  <Override PartName="/xl/drawings/drawing4.xml" ContentType="application/vnd.openxmlformats-officedocument.drawing+xml"/>
  <Override PartName="/xl/comments2.xml" ContentType="application/vnd.openxmlformats-officedocument.spreadsheetml.comments+xml"/>
  <Override PartName="/xl/threadedComments/threadedComment1.xml" ContentType="application/vnd.ms-excel.threadedcomments+xml"/>
  <Override PartName="/xl/drawings/drawing5.xml" ContentType="application/vnd.openxmlformats-officedocument.drawing+xml"/>
  <Override PartName="/xl/drawings/drawing6.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mc:AlternateContent xmlns:mc="http://schemas.openxmlformats.org/markup-compatibility/2006">
    <mc:Choice Requires="x15">
      <x15ac:absPath xmlns:x15ac="http://schemas.microsoft.com/office/spreadsheetml/2010/11/ac" url="https://dibacat.sharepoint.com/sites/GID_EXTERN-SopraSteria.Sistemadeinformaci-automatitzaci/Documentos compartidos/SopraSteria. Govern de la dada fase 2/Inventari d'actius de dades/Documents de treball/"/>
    </mc:Choice>
  </mc:AlternateContent>
  <xr:revisionPtr revIDLastSave="396" documentId="8_{0504059C-FD86-412A-9D49-110F367BDC0F}" xr6:coauthVersionLast="47" xr6:coauthVersionMax="47" xr10:uidLastSave="{F96E087B-16C4-4BBA-BF2E-251738974920}"/>
  <bookViews>
    <workbookView xWindow="-10272" yWindow="12852" windowWidth="23256" windowHeight="13896" tabRatio="748" firstSheet="1" activeTab="6" xr2:uid="{170824B5-60C3-4CDA-B474-AEAA2E33DD6F}"/>
  </bookViews>
  <sheets>
    <sheet name="Instruccions" sheetId="2" r:id="rId1"/>
    <sheet name="Sistemes" sheetId="11" r:id="rId2"/>
    <sheet name="Dominis de dades" sheetId="9" r:id="rId3"/>
    <sheet name="Conjunts de dades" sheetId="6" r:id="rId4"/>
    <sheet name="Rel.Conjunts-Sistemes" sheetId="16" r:id="rId5"/>
    <sheet name="Qualitat" sheetId="10" r:id="rId6"/>
    <sheet name="Llegenda" sheetId="3" r:id="rId7"/>
    <sheet name="Relació inventaris" sheetId="15" r:id="rId8"/>
    <sheet name="Llistes" sheetId="17" r:id="rId9"/>
  </sheets>
  <definedNames>
    <definedName name="_xlnm._FilterDatabase" localSheetId="3" hidden="1">'Conjunts de dades'!$A$8:$AS$119</definedName>
    <definedName name="_xlnm._FilterDatabase" localSheetId="2" hidden="1">'Dominis de dades'!$B$7:$I$7</definedName>
    <definedName name="_xlnm._FilterDatabase" localSheetId="1" hidden="1">Sistemes!$A$8:$L$10</definedName>
    <definedName name="AbastOrganitzatiu">Llistes!$T$2:$T$6</definedName>
    <definedName name="AltValor">Llistes!$AA$2:$AA$10</definedName>
    <definedName name="Àmbit">Llistes!$R$2:$R$6</definedName>
    <definedName name="AnàlisiRiscos">Llistes!$BS$2:$BS$10</definedName>
    <definedName name="AnàlisiRiscosGrau">Llistes!$BT$2:$BT$10</definedName>
    <definedName name="Àrea">Llistes!$D$5:$D$37</definedName>
    <definedName name="_xlnm.Print_Area" localSheetId="2">'Dominis de dades'!$B$5:$E$38</definedName>
    <definedName name="_xlnm.Print_Area" localSheetId="1">Sistemes!$A$5:$K$12</definedName>
    <definedName name="ArquitecturaCloud">Llistes!$J$2:$J$7</definedName>
    <definedName name="Cadencia">Llistes!$AC$2:$AC$10</definedName>
    <definedName name="CategoriaConjuntDades">Llistes!$AO$2:$AO$7</definedName>
    <definedName name="Confidencialitat">Llistes!$BG$2:$BG$5</definedName>
    <definedName name="ConjuntsDades">'Conjunts de dades'!$B$9:$B$200</definedName>
    <definedName name="ControlRelacions">'Rel.Conjunts-Sistemes'!$G$9:$G$200</definedName>
    <definedName name="Criticitat">Llistes!$P$2:$P$6</definedName>
    <definedName name="DadesObertes">Llistes!$AM$2:$AM$8</definedName>
    <definedName name="Dominis">'Dominis de dades'!$B$8:$B$62</definedName>
    <definedName name="Dominis_a_ConjuntsDades">'Conjunts de dades'!$D$9:INDEX('Conjunts de dades'!$D:$D,COUNTA('Conjunts de dades'!$D:$D))</definedName>
    <definedName name="DominisDades">'Dominis de dades'!$B$9:$E$62</definedName>
    <definedName name="EntitatsGlobals">Llistes!$AS$2:$AS$38</definedName>
    <definedName name="EstatSistemes">Llistes!$L$2:$L$12</definedName>
    <definedName name="Format">Llistes!$BI$2:$BI$12</definedName>
    <definedName name="LlistaConjunts">Llistes!$F$2:INDEX(Llistes!$F:$F,COUNTA(Llistes!$F:$F))</definedName>
    <definedName name="LlistaDominis">Llistes!$D$2:INDEX(Llistes!$D:$D,COUNTA(Llistes!$D:$D))</definedName>
    <definedName name="LlistaSistemes">Llistes!$B$2:INDEX(Llistes!$B:$B,COUNTA(Llistes!$B:$B))</definedName>
    <definedName name="NivellAccés">Llistes!$AE$2:$AE$10</definedName>
    <definedName name="Nom_Conjunt_de_dades">'Conjunts de dades'!$B$8:$B$200</definedName>
    <definedName name="Origens">Llistes!$AK$2:$AK$9</definedName>
    <definedName name="Orígens">Llistes!$AK$2:$AK$7</definedName>
    <definedName name="Persistencia">Llistes!$AG$2:$AG$12</definedName>
    <definedName name="Prioritats">Llistes!$BQ$2:$BQ$6</definedName>
    <definedName name="Rel_Sistemes_Conjunts">'Rel.Conjunts-Sistemes'!$C$9:$C$200</definedName>
    <definedName name="RelacióGlosari">Llistes!$BE$2:$BE$8</definedName>
    <definedName name="RelacionsConjuntsDades" localSheetId="5">'Rel.Conjunts-Sistemes'!$B$9:$B$200</definedName>
    <definedName name="RelacionsConjuntsDades" localSheetId="4">'Rel.Conjunts-Sistemes'!$B$9:$B$200</definedName>
    <definedName name="Retenció">Llistes!$AI$3:$AI$12</definedName>
    <definedName name="Reutilitzacio">Llistes!$BO$2:$BO$8</definedName>
    <definedName name="Seguretat">Llistes!$BK$2:$BK$7</definedName>
    <definedName name="SensibilitatDades">Llistes!$N$2:$N$8</definedName>
    <definedName name="SiNo">Llistes!$BV$2:$BV$3</definedName>
    <definedName name="SiNoParcialment">Llistes!$BV$2:$BV$4</definedName>
    <definedName name="Sistemes">Sistemes!$B$9:$B$66</definedName>
    <definedName name="TipusAtributs">Llistes!$AY$2:$AY$15</definedName>
    <definedName name="TipusConjunt">Llistes!$V$2:$V$7</definedName>
    <definedName name="TipusInformació">Llistes!$X$2:$X$12</definedName>
    <definedName name="TipusRelEntitats">Llistes!$BC$2:$BC$7</definedName>
    <definedName name="TipusServei">Llistes!$H$2:$H$7</definedName>
    <definedName name="_xlnm.Print_Titles" localSheetId="2">'Dominis de dades'!$5:$8</definedName>
    <definedName name="_xlnm.Print_Titles" localSheetId="1">Sistemes!$5:$8</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E11" i="10" l="1" a="1"/>
  <c r="E11" i="10" s="1"/>
  <c r="AR116" i="6"/>
  <c r="G125" i="16"/>
  <c r="G114" i="16"/>
  <c r="E117" i="16"/>
  <c r="F117" i="16"/>
  <c r="E118" i="16"/>
  <c r="F118" i="16"/>
  <c r="E119" i="16"/>
  <c r="G119" i="16" s="1"/>
  <c r="F119" i="16"/>
  <c r="E120" i="16"/>
  <c r="F120" i="16"/>
  <c r="E121" i="16"/>
  <c r="F121" i="16"/>
  <c r="E122" i="16"/>
  <c r="F122" i="16"/>
  <c r="E123" i="16"/>
  <c r="F123" i="16"/>
  <c r="E124" i="16"/>
  <c r="F124" i="16"/>
  <c r="E125" i="16"/>
  <c r="F125" i="16"/>
  <c r="E126" i="16"/>
  <c r="F126" i="16"/>
  <c r="E127" i="16"/>
  <c r="F127" i="16"/>
  <c r="E128" i="16"/>
  <c r="F128" i="16"/>
  <c r="G128" i="16" s="1"/>
  <c r="E129" i="16"/>
  <c r="F129" i="16"/>
  <c r="E130" i="16"/>
  <c r="F130" i="16"/>
  <c r="E131" i="16"/>
  <c r="F131" i="16"/>
  <c r="E132" i="16"/>
  <c r="F132" i="16"/>
  <c r="E133" i="16"/>
  <c r="F133" i="16"/>
  <c r="E134" i="16"/>
  <c r="F134" i="16"/>
  <c r="E135" i="16"/>
  <c r="F135" i="16"/>
  <c r="E136" i="16"/>
  <c r="F136" i="16"/>
  <c r="E137" i="16"/>
  <c r="F137" i="16"/>
  <c r="E138" i="16"/>
  <c r="F138" i="16"/>
  <c r="E139" i="16"/>
  <c r="F139" i="16"/>
  <c r="E140" i="16"/>
  <c r="F140" i="16"/>
  <c r="G140" i="16" s="1"/>
  <c r="E141" i="16"/>
  <c r="F141" i="16"/>
  <c r="E142" i="16"/>
  <c r="G142" i="16" s="1"/>
  <c r="F142" i="16"/>
  <c r="E143" i="16"/>
  <c r="F143" i="16"/>
  <c r="E144" i="16"/>
  <c r="F144" i="16"/>
  <c r="E145" i="16"/>
  <c r="F145" i="16"/>
  <c r="G145" i="16" s="1"/>
  <c r="E146" i="16"/>
  <c r="F146" i="16"/>
  <c r="E147" i="16"/>
  <c r="F147" i="16"/>
  <c r="E148" i="16"/>
  <c r="F148" i="16"/>
  <c r="E149" i="16"/>
  <c r="F149" i="16"/>
  <c r="G149" i="16" s="1"/>
  <c r="E150" i="16"/>
  <c r="F150" i="16"/>
  <c r="E151" i="16"/>
  <c r="F151" i="16"/>
  <c r="E152" i="16"/>
  <c r="F152" i="16"/>
  <c r="E153" i="16"/>
  <c r="F153" i="16"/>
  <c r="E154" i="16"/>
  <c r="G154" i="16" s="1"/>
  <c r="F154" i="16"/>
  <c r="E155" i="16"/>
  <c r="F155" i="16"/>
  <c r="E156" i="16"/>
  <c r="F156" i="16"/>
  <c r="E157" i="16"/>
  <c r="F157" i="16"/>
  <c r="E158" i="16"/>
  <c r="F158" i="16"/>
  <c r="E159" i="16"/>
  <c r="F159" i="16"/>
  <c r="E160" i="16"/>
  <c r="F160" i="16"/>
  <c r="E161" i="16"/>
  <c r="F161" i="16"/>
  <c r="G161" i="16" s="1"/>
  <c r="E162" i="16"/>
  <c r="F162" i="16"/>
  <c r="E163" i="16"/>
  <c r="F163" i="16"/>
  <c r="E164" i="16"/>
  <c r="F164" i="16"/>
  <c r="E165" i="16"/>
  <c r="F165" i="16"/>
  <c r="E166" i="16"/>
  <c r="F166" i="16"/>
  <c r="E167" i="16"/>
  <c r="F167" i="16"/>
  <c r="E168" i="16"/>
  <c r="F168" i="16"/>
  <c r="E169" i="16"/>
  <c r="F169" i="16"/>
  <c r="G169" i="16" s="1"/>
  <c r="E170" i="16"/>
  <c r="F170" i="16"/>
  <c r="E171" i="16"/>
  <c r="F171" i="16"/>
  <c r="E172" i="16"/>
  <c r="F172" i="16"/>
  <c r="E173" i="16"/>
  <c r="F173" i="16"/>
  <c r="E174" i="16"/>
  <c r="F174" i="16"/>
  <c r="E175" i="16"/>
  <c r="F175" i="16"/>
  <c r="E176" i="16"/>
  <c r="F176" i="16"/>
  <c r="E177" i="16"/>
  <c r="F177" i="16"/>
  <c r="E178" i="16"/>
  <c r="F178" i="16"/>
  <c r="E179" i="16"/>
  <c r="F179" i="16"/>
  <c r="E180" i="16"/>
  <c r="F180" i="16"/>
  <c r="E181" i="16"/>
  <c r="F181" i="16"/>
  <c r="E182" i="16"/>
  <c r="F182" i="16"/>
  <c r="E183" i="16"/>
  <c r="F183" i="16"/>
  <c r="E184" i="16"/>
  <c r="F184" i="16"/>
  <c r="E185" i="16"/>
  <c r="F185" i="16"/>
  <c r="E186" i="16"/>
  <c r="F186" i="16"/>
  <c r="E187" i="16"/>
  <c r="F187" i="16"/>
  <c r="E188" i="16"/>
  <c r="F188" i="16"/>
  <c r="E189" i="16"/>
  <c r="F189" i="16"/>
  <c r="E190" i="16"/>
  <c r="F190" i="16"/>
  <c r="E191" i="16"/>
  <c r="F191" i="16"/>
  <c r="E192" i="16"/>
  <c r="F192" i="16"/>
  <c r="E193" i="16"/>
  <c r="F193" i="16"/>
  <c r="E194" i="16"/>
  <c r="F194" i="16"/>
  <c r="E195" i="16"/>
  <c r="F195" i="16"/>
  <c r="E196" i="16"/>
  <c r="F196" i="16"/>
  <c r="E197" i="16"/>
  <c r="F197" i="16"/>
  <c r="E198" i="16"/>
  <c r="F198" i="16"/>
  <c r="E199" i="16"/>
  <c r="F199" i="16"/>
  <c r="E200" i="16"/>
  <c r="F200" i="16"/>
  <c r="D6" i="6"/>
  <c r="E6" i="6"/>
  <c r="F6" i="6"/>
  <c r="G6" i="6"/>
  <c r="H6" i="6"/>
  <c r="I6" i="6"/>
  <c r="J6" i="6"/>
  <c r="K6" i="6"/>
  <c r="L6" i="6"/>
  <c r="M6" i="6"/>
  <c r="N6" i="6"/>
  <c r="O6" i="6"/>
  <c r="P6" i="6"/>
  <c r="Q6" i="6"/>
  <c r="R6" i="6"/>
  <c r="S6" i="6"/>
  <c r="T6" i="6"/>
  <c r="U6" i="6"/>
  <c r="V6" i="6"/>
  <c r="W6" i="6"/>
  <c r="X6" i="6"/>
  <c r="Y6" i="6"/>
  <c r="Z6" i="6"/>
  <c r="AA6" i="6"/>
  <c r="AB6" i="6"/>
  <c r="AC6" i="6"/>
  <c r="AD6" i="6"/>
  <c r="AE6" i="6"/>
  <c r="AF6" i="6"/>
  <c r="AG6" i="6"/>
  <c r="AH6" i="6"/>
  <c r="AI6" i="6"/>
  <c r="AJ6" i="6"/>
  <c r="AK6" i="6"/>
  <c r="AL6" i="6"/>
  <c r="AM6" i="6"/>
  <c r="AN6" i="6"/>
  <c r="AO6" i="6"/>
  <c r="C6" i="6"/>
  <c r="B7" i="11"/>
  <c r="M7" i="11" s="1"/>
  <c r="B6" i="9"/>
  <c r="B6" i="6"/>
  <c r="C7" i="11"/>
  <c r="D7" i="11"/>
  <c r="E7" i="11"/>
  <c r="F7" i="11"/>
  <c r="G7" i="11"/>
  <c r="H7" i="11"/>
  <c r="I7" i="11"/>
  <c r="J7" i="11"/>
  <c r="K7" i="11"/>
  <c r="E121" i="6"/>
  <c r="AP121" i="6"/>
  <c r="AR121" i="6"/>
  <c r="AS121" i="6"/>
  <c r="E122" i="6"/>
  <c r="AP122" i="6"/>
  <c r="AR122" i="6"/>
  <c r="AS122" i="6"/>
  <c r="E123" i="6"/>
  <c r="AP123" i="6"/>
  <c r="AR123" i="6"/>
  <c r="AS123" i="6"/>
  <c r="E124" i="6"/>
  <c r="AP124" i="6"/>
  <c r="AR124" i="6"/>
  <c r="AS124" i="6"/>
  <c r="E125" i="6"/>
  <c r="AP125" i="6"/>
  <c r="AR125" i="6"/>
  <c r="AS125" i="6"/>
  <c r="E126" i="6"/>
  <c r="AP126" i="6"/>
  <c r="AR126" i="6"/>
  <c r="AS126" i="6"/>
  <c r="E127" i="6"/>
  <c r="AP127" i="6"/>
  <c r="AR127" i="6"/>
  <c r="AS127" i="6"/>
  <c r="E128" i="6"/>
  <c r="AP128" i="6"/>
  <c r="AR128" i="6"/>
  <c r="AS128" i="6"/>
  <c r="E129" i="6"/>
  <c r="AP129" i="6"/>
  <c r="AR129" i="6"/>
  <c r="AS129" i="6"/>
  <c r="E130" i="6"/>
  <c r="AP130" i="6"/>
  <c r="AR130" i="6"/>
  <c r="AS130" i="6"/>
  <c r="E131" i="6"/>
  <c r="AP131" i="6"/>
  <c r="AR131" i="6"/>
  <c r="AS131" i="6"/>
  <c r="E132" i="6"/>
  <c r="AP132" i="6"/>
  <c r="AR132" i="6"/>
  <c r="AS132" i="6"/>
  <c r="E133" i="6"/>
  <c r="AP133" i="6"/>
  <c r="AR133" i="6"/>
  <c r="AS133" i="6"/>
  <c r="E134" i="6"/>
  <c r="AP134" i="6"/>
  <c r="AR134" i="6"/>
  <c r="AS134" i="6"/>
  <c r="E135" i="6"/>
  <c r="AP135" i="6"/>
  <c r="AR135" i="6"/>
  <c r="AS135" i="6"/>
  <c r="E136" i="6"/>
  <c r="AP136" i="6"/>
  <c r="AR136" i="6"/>
  <c r="AS136" i="6"/>
  <c r="E137" i="6"/>
  <c r="AP137" i="6"/>
  <c r="AR137" i="6"/>
  <c r="AS137" i="6"/>
  <c r="E138" i="6"/>
  <c r="AP138" i="6"/>
  <c r="AR138" i="6"/>
  <c r="AS138" i="6"/>
  <c r="E139" i="6"/>
  <c r="AP139" i="6"/>
  <c r="AR139" i="6"/>
  <c r="AS139" i="6"/>
  <c r="E140" i="6"/>
  <c r="AP140" i="6"/>
  <c r="AR140" i="6"/>
  <c r="AS140" i="6"/>
  <c r="E141" i="6"/>
  <c r="AP141" i="6"/>
  <c r="AR141" i="6"/>
  <c r="AS141" i="6"/>
  <c r="E142" i="6"/>
  <c r="AP142" i="6"/>
  <c r="AR142" i="6"/>
  <c r="AS142" i="6"/>
  <c r="E143" i="6"/>
  <c r="AP143" i="6"/>
  <c r="AR143" i="6"/>
  <c r="AS143" i="6"/>
  <c r="E144" i="6"/>
  <c r="AP144" i="6"/>
  <c r="AR144" i="6"/>
  <c r="AS144" i="6"/>
  <c r="E145" i="6"/>
  <c r="AP145" i="6"/>
  <c r="AR145" i="6"/>
  <c r="AS145" i="6"/>
  <c r="E146" i="6"/>
  <c r="AP146" i="6"/>
  <c r="AR146" i="6"/>
  <c r="AS146" i="6"/>
  <c r="E147" i="6"/>
  <c r="AP147" i="6"/>
  <c r="AR147" i="6"/>
  <c r="AS147" i="6"/>
  <c r="E148" i="6"/>
  <c r="AP148" i="6"/>
  <c r="AR148" i="6"/>
  <c r="AS148" i="6"/>
  <c r="E149" i="6"/>
  <c r="AP149" i="6"/>
  <c r="AR149" i="6"/>
  <c r="AS149" i="6"/>
  <c r="E150" i="6"/>
  <c r="AP150" i="6"/>
  <c r="AR150" i="6"/>
  <c r="AS150" i="6"/>
  <c r="E151" i="6"/>
  <c r="AP151" i="6"/>
  <c r="AR151" i="6"/>
  <c r="AS151" i="6"/>
  <c r="E152" i="6"/>
  <c r="AP152" i="6"/>
  <c r="AR152" i="6"/>
  <c r="AS152" i="6"/>
  <c r="E153" i="6"/>
  <c r="AP153" i="6"/>
  <c r="AR153" i="6"/>
  <c r="AS153" i="6"/>
  <c r="E154" i="6"/>
  <c r="AP154" i="6"/>
  <c r="AR154" i="6"/>
  <c r="AS154" i="6"/>
  <c r="E155" i="6"/>
  <c r="AP155" i="6"/>
  <c r="AR155" i="6"/>
  <c r="AS155" i="6"/>
  <c r="E156" i="6"/>
  <c r="AP156" i="6"/>
  <c r="AR156" i="6"/>
  <c r="AS156" i="6"/>
  <c r="E157" i="6"/>
  <c r="AP157" i="6"/>
  <c r="AR157" i="6"/>
  <c r="AS157" i="6"/>
  <c r="E158" i="6"/>
  <c r="AP158" i="6"/>
  <c r="AR158" i="6"/>
  <c r="AS158" i="6"/>
  <c r="E159" i="6"/>
  <c r="AP159" i="6"/>
  <c r="AR159" i="6"/>
  <c r="AS159" i="6"/>
  <c r="E160" i="6"/>
  <c r="AP160" i="6"/>
  <c r="AR160" i="6"/>
  <c r="AS160" i="6"/>
  <c r="E161" i="6"/>
  <c r="AP161" i="6"/>
  <c r="AR161" i="6"/>
  <c r="AS161" i="6"/>
  <c r="E162" i="6"/>
  <c r="AP162" i="6"/>
  <c r="AR162" i="6"/>
  <c r="AS162" i="6"/>
  <c r="E163" i="6"/>
  <c r="AP163" i="6"/>
  <c r="AR163" i="6"/>
  <c r="AS163" i="6"/>
  <c r="E164" i="6"/>
  <c r="AP164" i="6"/>
  <c r="AR164" i="6"/>
  <c r="AS164" i="6"/>
  <c r="E165" i="6"/>
  <c r="AP165" i="6"/>
  <c r="AR165" i="6"/>
  <c r="AS165" i="6"/>
  <c r="E166" i="6"/>
  <c r="AP166" i="6"/>
  <c r="AR166" i="6"/>
  <c r="AS166" i="6"/>
  <c r="E167" i="6"/>
  <c r="AP167" i="6"/>
  <c r="AR167" i="6"/>
  <c r="AS167" i="6"/>
  <c r="E168" i="6"/>
  <c r="AP168" i="6"/>
  <c r="AR168" i="6"/>
  <c r="AS168" i="6"/>
  <c r="E169" i="6"/>
  <c r="AP169" i="6"/>
  <c r="AR169" i="6"/>
  <c r="AS169" i="6"/>
  <c r="E170" i="6"/>
  <c r="AP170" i="6"/>
  <c r="AR170" i="6"/>
  <c r="AS170" i="6"/>
  <c r="E171" i="6"/>
  <c r="AP171" i="6"/>
  <c r="AR171" i="6"/>
  <c r="AS171" i="6"/>
  <c r="E172" i="6"/>
  <c r="AP172" i="6"/>
  <c r="AR172" i="6"/>
  <c r="AS172" i="6"/>
  <c r="E173" i="6"/>
  <c r="AP173" i="6"/>
  <c r="AR173" i="6"/>
  <c r="AS173" i="6"/>
  <c r="E174" i="6"/>
  <c r="AP174" i="6"/>
  <c r="AR174" i="6"/>
  <c r="AS174" i="6"/>
  <c r="E175" i="6"/>
  <c r="AP175" i="6"/>
  <c r="AR175" i="6"/>
  <c r="AS175" i="6"/>
  <c r="E176" i="6"/>
  <c r="AP176" i="6"/>
  <c r="AR176" i="6"/>
  <c r="AS176" i="6"/>
  <c r="E177" i="6"/>
  <c r="AP177" i="6"/>
  <c r="AR177" i="6"/>
  <c r="AS177" i="6"/>
  <c r="E178" i="6"/>
  <c r="AP178" i="6"/>
  <c r="AR178" i="6"/>
  <c r="AS178" i="6"/>
  <c r="E179" i="6"/>
  <c r="AP179" i="6"/>
  <c r="AR179" i="6"/>
  <c r="AS179" i="6"/>
  <c r="E180" i="6"/>
  <c r="AP180" i="6"/>
  <c r="AR180" i="6"/>
  <c r="AS180" i="6"/>
  <c r="E181" i="6"/>
  <c r="AP181" i="6"/>
  <c r="AR181" i="6"/>
  <c r="AS181" i="6"/>
  <c r="E182" i="6"/>
  <c r="AP182" i="6"/>
  <c r="AR182" i="6"/>
  <c r="AS182" i="6"/>
  <c r="E183" i="6"/>
  <c r="AP183" i="6"/>
  <c r="AR183" i="6"/>
  <c r="AS183" i="6"/>
  <c r="E184" i="6"/>
  <c r="AP184" i="6"/>
  <c r="AR184" i="6"/>
  <c r="AS184" i="6"/>
  <c r="E185" i="6"/>
  <c r="AP185" i="6"/>
  <c r="AR185" i="6"/>
  <c r="AS185" i="6"/>
  <c r="E186" i="6"/>
  <c r="AP186" i="6"/>
  <c r="AR186" i="6"/>
  <c r="AS186" i="6"/>
  <c r="E187" i="6"/>
  <c r="AP187" i="6"/>
  <c r="AR187" i="6"/>
  <c r="AS187" i="6"/>
  <c r="E188" i="6"/>
  <c r="AP188" i="6"/>
  <c r="AR188" i="6"/>
  <c r="AS188" i="6"/>
  <c r="E189" i="6"/>
  <c r="AP189" i="6"/>
  <c r="AR189" i="6"/>
  <c r="AS189" i="6"/>
  <c r="E190" i="6"/>
  <c r="AP190" i="6"/>
  <c r="AR190" i="6"/>
  <c r="AS190" i="6"/>
  <c r="E191" i="6"/>
  <c r="AP191" i="6"/>
  <c r="AR191" i="6"/>
  <c r="AS191" i="6"/>
  <c r="E192" i="6"/>
  <c r="AP192" i="6"/>
  <c r="AR192" i="6"/>
  <c r="AS192" i="6"/>
  <c r="E193" i="6"/>
  <c r="AP193" i="6"/>
  <c r="AR193" i="6"/>
  <c r="AS193" i="6"/>
  <c r="E194" i="6"/>
  <c r="AP194" i="6"/>
  <c r="AR194" i="6"/>
  <c r="AS194" i="6"/>
  <c r="E195" i="6"/>
  <c r="AP195" i="6"/>
  <c r="AR195" i="6"/>
  <c r="AS195" i="6"/>
  <c r="E196" i="6"/>
  <c r="AP196" i="6"/>
  <c r="AR196" i="6"/>
  <c r="AS196" i="6"/>
  <c r="E197" i="6"/>
  <c r="AP197" i="6"/>
  <c r="AR197" i="6"/>
  <c r="AS197" i="6"/>
  <c r="E198" i="6"/>
  <c r="AP198" i="6"/>
  <c r="AR198" i="6"/>
  <c r="AS198" i="6"/>
  <c r="E199" i="6"/>
  <c r="AP199" i="6"/>
  <c r="AR199" i="6"/>
  <c r="AS199" i="6"/>
  <c r="E200" i="6"/>
  <c r="AP200" i="6"/>
  <c r="AR200" i="6"/>
  <c r="AS200" i="6"/>
  <c r="AP9" i="6"/>
  <c r="AS120" i="6"/>
  <c r="AR120" i="6"/>
  <c r="AP120" i="6"/>
  <c r="AR119" i="6"/>
  <c r="AP119" i="6"/>
  <c r="AP118" i="6"/>
  <c r="AR117" i="6"/>
  <c r="AP117" i="6"/>
  <c r="AP116" i="6"/>
  <c r="AR115" i="6"/>
  <c r="AP115" i="6"/>
  <c r="AR114" i="6"/>
  <c r="AP114" i="6"/>
  <c r="AR113" i="6"/>
  <c r="AP113" i="6"/>
  <c r="AP112" i="6"/>
  <c r="AR111" i="6"/>
  <c r="AP111" i="6"/>
  <c r="AR110" i="6"/>
  <c r="AP110" i="6"/>
  <c r="AR109" i="6"/>
  <c r="AP109" i="6"/>
  <c r="AR108" i="6"/>
  <c r="AP108" i="6"/>
  <c r="AR107" i="6"/>
  <c r="AP107" i="6"/>
  <c r="AR106" i="6"/>
  <c r="AP106" i="6"/>
  <c r="AR105" i="6"/>
  <c r="AP105" i="6"/>
  <c r="AR104" i="6"/>
  <c r="AP104" i="6"/>
  <c r="AR103" i="6"/>
  <c r="AP103" i="6"/>
  <c r="AR102" i="6"/>
  <c r="AP102" i="6"/>
  <c r="AR101" i="6"/>
  <c r="AP101" i="6"/>
  <c r="AR100" i="6"/>
  <c r="AP100" i="6"/>
  <c r="AR99" i="6"/>
  <c r="AP99" i="6"/>
  <c r="AR98" i="6"/>
  <c r="AP98" i="6"/>
  <c r="AR97" i="6"/>
  <c r="AP97" i="6"/>
  <c r="AR96" i="6"/>
  <c r="AP96" i="6"/>
  <c r="AR95" i="6"/>
  <c r="AP95" i="6"/>
  <c r="AR94" i="6"/>
  <c r="AP94" i="6"/>
  <c r="AR93" i="6"/>
  <c r="AP93" i="6"/>
  <c r="AR92" i="6"/>
  <c r="AP92" i="6"/>
  <c r="AR91" i="6"/>
  <c r="AP91" i="6"/>
  <c r="AR90" i="6"/>
  <c r="AP90" i="6"/>
  <c r="AR89" i="6"/>
  <c r="AP89" i="6"/>
  <c r="AR88" i="6"/>
  <c r="AP88" i="6"/>
  <c r="AR87" i="6"/>
  <c r="AP87" i="6"/>
  <c r="AR86" i="6"/>
  <c r="AP86" i="6"/>
  <c r="AR85" i="6"/>
  <c r="AP85" i="6"/>
  <c r="AR84" i="6"/>
  <c r="AP84" i="6"/>
  <c r="AR83" i="6"/>
  <c r="AP83" i="6"/>
  <c r="AR82" i="6"/>
  <c r="AP82" i="6"/>
  <c r="AR81" i="6"/>
  <c r="AP81" i="6"/>
  <c r="AR80" i="6"/>
  <c r="AP80" i="6"/>
  <c r="AR79" i="6"/>
  <c r="AP79" i="6"/>
  <c r="AR78" i="6"/>
  <c r="AP78" i="6"/>
  <c r="AR77" i="6"/>
  <c r="AP77" i="6"/>
  <c r="AR76" i="6"/>
  <c r="AP76" i="6"/>
  <c r="AR75" i="6"/>
  <c r="AP75" i="6"/>
  <c r="AR74" i="6"/>
  <c r="AP74" i="6"/>
  <c r="AR73" i="6"/>
  <c r="AP73" i="6"/>
  <c r="AR72" i="6"/>
  <c r="AP72" i="6"/>
  <c r="AR71" i="6"/>
  <c r="AP71" i="6"/>
  <c r="AR70" i="6"/>
  <c r="AP70" i="6"/>
  <c r="AR69" i="6"/>
  <c r="AP69" i="6"/>
  <c r="AR68" i="6"/>
  <c r="AP68" i="6"/>
  <c r="AR67" i="6"/>
  <c r="AP67" i="6"/>
  <c r="AR66" i="6"/>
  <c r="AP66" i="6"/>
  <c r="AR65" i="6"/>
  <c r="AP65" i="6"/>
  <c r="AR64" i="6"/>
  <c r="AP64" i="6"/>
  <c r="AR63" i="6"/>
  <c r="AP63" i="6"/>
  <c r="AR62" i="6"/>
  <c r="AP62" i="6"/>
  <c r="AR61" i="6"/>
  <c r="AP61" i="6"/>
  <c r="AR60" i="6"/>
  <c r="AP60" i="6"/>
  <c r="AR59" i="6"/>
  <c r="AP59" i="6"/>
  <c r="AR58" i="6"/>
  <c r="AP58" i="6"/>
  <c r="AR57" i="6"/>
  <c r="AP57" i="6"/>
  <c r="AR56" i="6"/>
  <c r="AP56" i="6"/>
  <c r="AR55" i="6"/>
  <c r="AP55" i="6"/>
  <c r="AR54" i="6"/>
  <c r="AP54" i="6"/>
  <c r="AR53" i="6"/>
  <c r="AP53" i="6"/>
  <c r="AR52" i="6"/>
  <c r="AP52" i="6"/>
  <c r="AR51" i="6"/>
  <c r="AP51" i="6"/>
  <c r="AR50" i="6"/>
  <c r="AP50" i="6"/>
  <c r="AR49" i="6"/>
  <c r="AP49" i="6"/>
  <c r="AR48" i="6"/>
  <c r="AP48" i="6"/>
  <c r="AR47" i="6"/>
  <c r="AP47" i="6"/>
  <c r="AR46" i="6"/>
  <c r="AP46" i="6"/>
  <c r="AR45" i="6"/>
  <c r="AP45" i="6"/>
  <c r="AR44" i="6"/>
  <c r="AP44" i="6"/>
  <c r="AR43" i="6"/>
  <c r="AP43" i="6"/>
  <c r="AR42" i="6"/>
  <c r="AP42" i="6"/>
  <c r="AR41" i="6"/>
  <c r="AP41" i="6"/>
  <c r="AR40" i="6"/>
  <c r="AP40" i="6"/>
  <c r="AR39" i="6"/>
  <c r="AP39" i="6"/>
  <c r="AR38" i="6"/>
  <c r="AP38" i="6"/>
  <c r="AR37" i="6"/>
  <c r="AP37" i="6"/>
  <c r="AR36" i="6"/>
  <c r="AP36" i="6"/>
  <c r="AR35" i="6"/>
  <c r="AP35" i="6"/>
  <c r="AR34" i="6"/>
  <c r="AP34" i="6"/>
  <c r="AR33" i="6"/>
  <c r="AP33" i="6"/>
  <c r="AR32" i="6"/>
  <c r="AP32" i="6"/>
  <c r="AR31" i="6"/>
  <c r="AP31" i="6"/>
  <c r="AR30" i="6"/>
  <c r="AP30" i="6"/>
  <c r="AR29" i="6"/>
  <c r="AP29" i="6"/>
  <c r="AR28" i="6"/>
  <c r="AP28" i="6"/>
  <c r="AR27" i="6"/>
  <c r="AP27" i="6"/>
  <c r="AR26" i="6"/>
  <c r="AP26" i="6"/>
  <c r="AR25" i="6"/>
  <c r="AP25" i="6"/>
  <c r="AR24" i="6"/>
  <c r="AP24" i="6"/>
  <c r="AR23" i="6"/>
  <c r="AP23" i="6"/>
  <c r="AR22" i="6"/>
  <c r="AP22" i="6"/>
  <c r="AR21" i="6"/>
  <c r="AP21" i="6"/>
  <c r="AR20" i="6"/>
  <c r="AP20" i="6"/>
  <c r="AR19" i="6"/>
  <c r="AP19" i="6"/>
  <c r="AR18" i="6"/>
  <c r="AP18" i="6"/>
  <c r="AR17" i="6"/>
  <c r="AP17" i="6"/>
  <c r="AR16" i="6"/>
  <c r="AP16" i="6"/>
  <c r="AR15" i="6"/>
  <c r="AP15" i="6"/>
  <c r="AR14" i="6"/>
  <c r="AP14" i="6"/>
  <c r="AR13" i="6"/>
  <c r="AP13" i="6"/>
  <c r="AR12" i="6"/>
  <c r="AP12" i="6"/>
  <c r="AR11" i="6"/>
  <c r="AP11" i="6"/>
  <c r="E9" i="6"/>
  <c r="E10" i="6"/>
  <c r="E11" i="6"/>
  <c r="E12" i="6"/>
  <c r="E13" i="6"/>
  <c r="E14" i="6"/>
  <c r="E15" i="6"/>
  <c r="E16" i="6"/>
  <c r="E17" i="6"/>
  <c r="E18" i="6"/>
  <c r="E19" i="6"/>
  <c r="E20" i="6"/>
  <c r="E21" i="6"/>
  <c r="E22" i="6"/>
  <c r="E23" i="6"/>
  <c r="E24" i="6"/>
  <c r="E25" i="6"/>
  <c r="E26" i="6"/>
  <c r="E27" i="6"/>
  <c r="E28" i="6"/>
  <c r="E29" i="6"/>
  <c r="E30" i="6"/>
  <c r="E31" i="6"/>
  <c r="E32" i="6"/>
  <c r="E33" i="6"/>
  <c r="E34" i="6"/>
  <c r="E35" i="6"/>
  <c r="E36" i="6"/>
  <c r="E37" i="6"/>
  <c r="E38" i="6"/>
  <c r="E39" i="6"/>
  <c r="E40" i="6"/>
  <c r="E41" i="6"/>
  <c r="E42" i="6"/>
  <c r="E43" i="6"/>
  <c r="E44" i="6"/>
  <c r="E45" i="6"/>
  <c r="E46" i="6"/>
  <c r="E47" i="6"/>
  <c r="E48" i="6"/>
  <c r="E49" i="6"/>
  <c r="E50" i="6"/>
  <c r="E51" i="6"/>
  <c r="E52" i="6"/>
  <c r="E53" i="6"/>
  <c r="E54" i="6"/>
  <c r="E55" i="6"/>
  <c r="E56" i="6"/>
  <c r="E57" i="6"/>
  <c r="E58" i="6"/>
  <c r="E59" i="6"/>
  <c r="E60" i="6"/>
  <c r="E61" i="6"/>
  <c r="E62" i="6"/>
  <c r="E63" i="6"/>
  <c r="E64" i="6"/>
  <c r="E65" i="6"/>
  <c r="E66" i="6"/>
  <c r="E67" i="6"/>
  <c r="E68" i="6"/>
  <c r="E69" i="6"/>
  <c r="E70" i="6"/>
  <c r="E71" i="6"/>
  <c r="E72" i="6"/>
  <c r="E73" i="6"/>
  <c r="E74" i="6"/>
  <c r="E75" i="6"/>
  <c r="E76" i="6"/>
  <c r="E77" i="6"/>
  <c r="E78" i="6"/>
  <c r="E79" i="6"/>
  <c r="E80" i="6"/>
  <c r="E81" i="6"/>
  <c r="E82" i="6"/>
  <c r="E83" i="6"/>
  <c r="E84" i="6"/>
  <c r="E85" i="6"/>
  <c r="E86" i="6"/>
  <c r="E87" i="6"/>
  <c r="E88" i="6"/>
  <c r="E89" i="6"/>
  <c r="E90" i="6"/>
  <c r="E91" i="6"/>
  <c r="E92" i="6"/>
  <c r="E93" i="6"/>
  <c r="E94" i="6"/>
  <c r="E95" i="6"/>
  <c r="E96" i="6"/>
  <c r="E97" i="6"/>
  <c r="E98" i="6"/>
  <c r="E99" i="6"/>
  <c r="E100" i="6"/>
  <c r="E101" i="6"/>
  <c r="E102" i="6"/>
  <c r="E103" i="6"/>
  <c r="E104" i="6"/>
  <c r="E105" i="6"/>
  <c r="E106" i="6"/>
  <c r="E107" i="6"/>
  <c r="E108" i="6"/>
  <c r="E109" i="6"/>
  <c r="E110" i="6"/>
  <c r="E111" i="6"/>
  <c r="E112" i="6"/>
  <c r="E113" i="6"/>
  <c r="E114" i="6"/>
  <c r="E115" i="6"/>
  <c r="E116" i="6"/>
  <c r="E117" i="6"/>
  <c r="E118" i="6"/>
  <c r="E119" i="6"/>
  <c r="E120" i="6"/>
  <c r="F67" i="16"/>
  <c r="F68" i="16"/>
  <c r="F69" i="16"/>
  <c r="F70" i="16"/>
  <c r="F71" i="16"/>
  <c r="F72" i="16"/>
  <c r="F73" i="16"/>
  <c r="F74" i="16"/>
  <c r="F75" i="16"/>
  <c r="F76" i="16"/>
  <c r="F77" i="16"/>
  <c r="F78" i="16"/>
  <c r="F79" i="16"/>
  <c r="F80" i="16"/>
  <c r="F81" i="16"/>
  <c r="F82" i="16"/>
  <c r="F83" i="16"/>
  <c r="F84" i="16"/>
  <c r="F85" i="16"/>
  <c r="F86" i="16"/>
  <c r="F87" i="16"/>
  <c r="F88" i="16"/>
  <c r="F89" i="16"/>
  <c r="F90" i="16"/>
  <c r="F91" i="16"/>
  <c r="F92" i="16"/>
  <c r="F93" i="16"/>
  <c r="F94" i="16"/>
  <c r="F95" i="16"/>
  <c r="F96" i="16"/>
  <c r="F97" i="16"/>
  <c r="F98" i="16"/>
  <c r="F99" i="16"/>
  <c r="F100" i="16"/>
  <c r="F101" i="16"/>
  <c r="F102" i="16"/>
  <c r="F103" i="16"/>
  <c r="F104" i="16"/>
  <c r="F105" i="16"/>
  <c r="F106" i="16"/>
  <c r="F107" i="16"/>
  <c r="F108" i="16"/>
  <c r="F109" i="16"/>
  <c r="F110" i="16"/>
  <c r="F111" i="16"/>
  <c r="E112" i="16"/>
  <c r="F112" i="16"/>
  <c r="E113" i="16"/>
  <c r="F113" i="16"/>
  <c r="G113" i="16" s="1"/>
  <c r="E114" i="16"/>
  <c r="F114" i="16"/>
  <c r="E115" i="16"/>
  <c r="F115" i="16"/>
  <c r="E116" i="16"/>
  <c r="F116" i="16"/>
  <c r="AP10" i="6"/>
  <c r="G178" i="16" l="1"/>
  <c r="G116" i="16"/>
  <c r="G130" i="16"/>
  <c r="G173" i="16"/>
  <c r="G181" i="16"/>
  <c r="G175" i="16"/>
  <c r="G163" i="16"/>
  <c r="G157" i="16"/>
  <c r="G151" i="16"/>
  <c r="G139" i="16"/>
  <c r="G133" i="16"/>
  <c r="G127" i="16"/>
  <c r="G121" i="16"/>
  <c r="G126" i="16"/>
  <c r="G185" i="16"/>
  <c r="G137" i="16"/>
  <c r="G146" i="16"/>
  <c r="G190" i="16"/>
  <c r="G166" i="16"/>
  <c r="G134" i="16"/>
  <c r="G182" i="16"/>
  <c r="G158" i="16"/>
  <c r="G170" i="16"/>
  <c r="G195" i="16"/>
  <c r="G189" i="16"/>
  <c r="G183" i="16"/>
  <c r="G177" i="16"/>
  <c r="G171" i="16"/>
  <c r="G165" i="16"/>
  <c r="G159" i="16"/>
  <c r="G153" i="16"/>
  <c r="G147" i="16"/>
  <c r="G141" i="16"/>
  <c r="G135" i="16"/>
  <c r="G129" i="16"/>
  <c r="G123" i="16"/>
  <c r="G117" i="16"/>
  <c r="G194" i="16"/>
  <c r="G180" i="16"/>
  <c r="G197" i="16"/>
  <c r="G191" i="16"/>
  <c r="G179" i="16"/>
  <c r="G167" i="16"/>
  <c r="G155" i="16"/>
  <c r="G143" i="16"/>
  <c r="G131" i="16"/>
  <c r="G188" i="16"/>
  <c r="G164" i="16"/>
  <c r="G122" i="16"/>
  <c r="G187" i="16"/>
  <c r="G198" i="16"/>
  <c r="G186" i="16"/>
  <c r="G168" i="16"/>
  <c r="G162" i="16"/>
  <c r="G150" i="16"/>
  <c r="G138" i="16"/>
  <c r="G112" i="16"/>
  <c r="G196" i="16"/>
  <c r="G184" i="16"/>
  <c r="G172" i="16"/>
  <c r="G160" i="16"/>
  <c r="G148" i="16"/>
  <c r="G136" i="16"/>
  <c r="G124" i="16"/>
  <c r="G118" i="16"/>
  <c r="G199" i="16"/>
  <c r="G193" i="16"/>
  <c r="G192" i="16"/>
  <c r="G174" i="16"/>
  <c r="G156" i="16"/>
  <c r="G144" i="16"/>
  <c r="G132" i="16"/>
  <c r="G120" i="16"/>
  <c r="G200" i="16"/>
  <c r="G176" i="16"/>
  <c r="G152" i="16"/>
  <c r="G115" i="16"/>
  <c r="AR112" i="6"/>
  <c r="AR118" i="6"/>
  <c r="N7" i="11"/>
  <c r="L7" i="11"/>
  <c r="B2" i="17" a="1"/>
  <c r="B2" i="17" s="1"/>
  <c r="AS3" i="17" a="1"/>
  <c r="AS3" i="17" s="1"/>
  <c r="F13" i="16" l="1"/>
  <c r="F14" i="16"/>
  <c r="F15" i="16"/>
  <c r="F16" i="16"/>
  <c r="F17" i="16"/>
  <c r="F18" i="16"/>
  <c r="F19" i="16"/>
  <c r="F20" i="16"/>
  <c r="F21" i="16"/>
  <c r="F22" i="16"/>
  <c r="F23" i="16"/>
  <c r="F24" i="16"/>
  <c r="F25" i="16"/>
  <c r="F26" i="16"/>
  <c r="F27" i="16"/>
  <c r="F28" i="16"/>
  <c r="F29" i="16"/>
  <c r="F30" i="16"/>
  <c r="F31" i="16"/>
  <c r="F32" i="16"/>
  <c r="F33" i="16"/>
  <c r="F34" i="16"/>
  <c r="F35" i="16"/>
  <c r="F36" i="16"/>
  <c r="F37" i="16"/>
  <c r="F38" i="16"/>
  <c r="F39" i="16"/>
  <c r="F40" i="16"/>
  <c r="F41" i="16"/>
  <c r="F42" i="16"/>
  <c r="F43" i="16"/>
  <c r="F44" i="16"/>
  <c r="F45" i="16"/>
  <c r="F46" i="16"/>
  <c r="F47" i="16"/>
  <c r="F48" i="16"/>
  <c r="F49" i="16"/>
  <c r="F50" i="16"/>
  <c r="F51" i="16"/>
  <c r="F52" i="16"/>
  <c r="F53" i="16"/>
  <c r="F54" i="16"/>
  <c r="F55" i="16"/>
  <c r="F56" i="16"/>
  <c r="F57" i="16"/>
  <c r="F58" i="16"/>
  <c r="F59" i="16"/>
  <c r="F60" i="16"/>
  <c r="F61" i="16"/>
  <c r="F62" i="16"/>
  <c r="F63" i="16"/>
  <c r="F64" i="16"/>
  <c r="F65" i="16"/>
  <c r="F66" i="16"/>
  <c r="F10" i="16"/>
  <c r="F11" i="16"/>
  <c r="F12" i="16"/>
  <c r="F9" i="16"/>
  <c r="F44" i="9"/>
  <c r="F45" i="9"/>
  <c r="F46" i="9"/>
  <c r="F47" i="9"/>
  <c r="F48" i="9"/>
  <c r="F49" i="9"/>
  <c r="F50" i="9"/>
  <c r="F51" i="9"/>
  <c r="F52" i="9"/>
  <c r="F53" i="9"/>
  <c r="F54" i="9"/>
  <c r="F55" i="9"/>
  <c r="F56" i="9"/>
  <c r="F57" i="9"/>
  <c r="F58" i="9"/>
  <c r="F59" i="9"/>
  <c r="F60" i="9"/>
  <c r="F61" i="9"/>
  <c r="F62" i="9"/>
  <c r="AR10" i="6"/>
  <c r="AR9" i="6"/>
  <c r="O10" i="11"/>
  <c r="O11" i="11"/>
  <c r="O12" i="11"/>
  <c r="O13" i="11"/>
  <c r="O14" i="11"/>
  <c r="O15" i="11"/>
  <c r="O16" i="11"/>
  <c r="O17" i="11"/>
  <c r="O18" i="11"/>
  <c r="O19" i="11"/>
  <c r="O20" i="11"/>
  <c r="O21" i="11"/>
  <c r="O22" i="11"/>
  <c r="O23" i="11"/>
  <c r="O24" i="11"/>
  <c r="O25" i="11"/>
  <c r="O26" i="11"/>
  <c r="O27" i="11"/>
  <c r="O28" i="11"/>
  <c r="O29" i="11"/>
  <c r="O30" i="11"/>
  <c r="O31" i="11"/>
  <c r="O32" i="11"/>
  <c r="O33" i="11"/>
  <c r="O34" i="11"/>
  <c r="O35" i="11"/>
  <c r="O36" i="11"/>
  <c r="O37" i="11"/>
  <c r="O38" i="11"/>
  <c r="O39" i="11"/>
  <c r="O40" i="11"/>
  <c r="O41" i="11"/>
  <c r="O42" i="11"/>
  <c r="O43" i="11"/>
  <c r="O44" i="11"/>
  <c r="O45" i="11"/>
  <c r="O46" i="11"/>
  <c r="O47" i="11"/>
  <c r="O48" i="11"/>
  <c r="O49" i="11"/>
  <c r="O50" i="11"/>
  <c r="O51" i="11"/>
  <c r="O52" i="11"/>
  <c r="O53" i="11"/>
  <c r="O54" i="11"/>
  <c r="O55" i="11"/>
  <c r="O56" i="11"/>
  <c r="O57" i="11"/>
  <c r="O58" i="11"/>
  <c r="O59" i="11"/>
  <c r="O60" i="11"/>
  <c r="O61" i="11"/>
  <c r="O62" i="11"/>
  <c r="O63" i="11"/>
  <c r="O64" i="11"/>
  <c r="O65" i="11"/>
  <c r="O66" i="11"/>
  <c r="O9" i="11"/>
  <c r="E8" i="10" l="1"/>
  <c r="E12" i="10" s="1"/>
  <c r="E10" i="10" l="1"/>
  <c r="F10" i="10"/>
  <c r="E9" i="10"/>
  <c r="F9" i="10" s="1"/>
  <c r="E16" i="10" l="1"/>
  <c r="D2" i="17"/>
  <c r="D2" i="17" a="1"/>
  <c r="E24" i="10"/>
  <c r="E14" i="16"/>
  <c r="G14" i="16" s="1"/>
  <c r="E22" i="16"/>
  <c r="G22" i="16" s="1"/>
  <c r="E91" i="16"/>
  <c r="G91" i="16" s="1"/>
  <c r="E97" i="16"/>
  <c r="G97" i="16" s="1"/>
  <c r="E78" i="16"/>
  <c r="G78" i="16" s="1"/>
  <c r="E83" i="16"/>
  <c r="G83" i="16" s="1"/>
  <c r="E18" i="16"/>
  <c r="G18" i="16" s="1"/>
  <c r="E36" i="16"/>
  <c r="G36" i="16" s="1"/>
  <c r="E98" i="16"/>
  <c r="G98" i="16" s="1"/>
  <c r="E17" i="16"/>
  <c r="G17" i="16" s="1"/>
  <c r="E11" i="16"/>
  <c r="G11" i="16" s="1"/>
  <c r="E49" i="16"/>
  <c r="G49" i="16" s="1"/>
  <c r="E86" i="16"/>
  <c r="G86" i="16" s="1"/>
  <c r="E41" i="16"/>
  <c r="G41" i="16" s="1"/>
  <c r="E111" i="16"/>
  <c r="G111" i="16" s="1"/>
  <c r="E23" i="16"/>
  <c r="G23" i="16" s="1"/>
  <c r="E44" i="16"/>
  <c r="G44" i="16" s="1"/>
  <c r="E51" i="16"/>
  <c r="G51" i="16" s="1"/>
  <c r="E38" i="16"/>
  <c r="G38" i="16" s="1"/>
  <c r="E71" i="16"/>
  <c r="G71" i="16" s="1"/>
  <c r="E13" i="16"/>
  <c r="G13" i="16" s="1"/>
  <c r="E37" i="16"/>
  <c r="G37" i="16" s="1"/>
  <c r="E82" i="16"/>
  <c r="G82" i="16" s="1"/>
  <c r="E16" i="16"/>
  <c r="G16" i="16" s="1"/>
  <c r="E57" i="16"/>
  <c r="G57" i="16" s="1"/>
  <c r="E73" i="16"/>
  <c r="G73" i="16" s="1"/>
  <c r="E9" i="16"/>
  <c r="G9" i="16" s="1"/>
  <c r="E24" i="16"/>
  <c r="G24" i="16" s="1"/>
  <c r="E12" i="16"/>
  <c r="G12" i="16" s="1"/>
  <c r="E55" i="16"/>
  <c r="G55" i="16" s="1"/>
  <c r="E46" i="16"/>
  <c r="G46" i="16" s="1"/>
  <c r="E85" i="16"/>
  <c r="G85" i="16" s="1"/>
  <c r="E64" i="16"/>
  <c r="G64" i="16" s="1"/>
  <c r="E104" i="16"/>
  <c r="G104" i="16" s="1"/>
  <c r="E89" i="16"/>
  <c r="G89" i="16" s="1"/>
  <c r="E79" i="16"/>
  <c r="G79" i="16" s="1"/>
  <c r="E72" i="16"/>
  <c r="G72" i="16" s="1"/>
  <c r="E67" i="16"/>
  <c r="G67" i="16" s="1"/>
  <c r="E59" i="16"/>
  <c r="G59" i="16" s="1"/>
  <c r="E40" i="16"/>
  <c r="G40" i="16" s="1"/>
  <c r="E34" i="16"/>
  <c r="G34" i="16" s="1"/>
  <c r="E42" i="16"/>
  <c r="G42" i="16" s="1"/>
  <c r="E53" i="16"/>
  <c r="G53" i="16" s="1"/>
  <c r="E81" i="16"/>
  <c r="G81" i="16" s="1"/>
  <c r="E62" i="16"/>
  <c r="G62" i="16" s="1"/>
  <c r="E33" i="16"/>
  <c r="G33" i="16" s="1"/>
  <c r="E109" i="16"/>
  <c r="G109" i="16" s="1"/>
  <c r="E102" i="16"/>
  <c r="G102" i="16" s="1"/>
  <c r="E96" i="16"/>
  <c r="G96" i="16" s="1"/>
  <c r="E95" i="16"/>
  <c r="G95" i="16" s="1"/>
  <c r="E60" i="16"/>
  <c r="G60" i="16" s="1"/>
  <c r="E87" i="16"/>
  <c r="G87" i="16" s="1"/>
  <c r="E94" i="16"/>
  <c r="G94" i="16" s="1"/>
  <c r="E99" i="16"/>
  <c r="G99" i="16" s="1"/>
  <c r="E52" i="16"/>
  <c r="G52" i="16" s="1"/>
  <c r="E56" i="16"/>
  <c r="G56" i="16" s="1"/>
  <c r="E21" i="16"/>
  <c r="G21" i="16" s="1"/>
  <c r="E103" i="16"/>
  <c r="G103" i="16" s="1"/>
  <c r="E107" i="16"/>
  <c r="G107" i="16" s="1"/>
  <c r="E100" i="16"/>
  <c r="G100" i="16" s="1"/>
  <c r="E101" i="16"/>
  <c r="G101" i="16" s="1"/>
  <c r="E84" i="16"/>
  <c r="G84" i="16" s="1"/>
  <c r="E39" i="16"/>
  <c r="G39" i="16" s="1"/>
  <c r="E66" i="16"/>
  <c r="G66" i="16" s="1"/>
  <c r="E77" i="16"/>
  <c r="G77" i="16" s="1"/>
  <c r="E29" i="16"/>
  <c r="G29" i="16" s="1"/>
  <c r="E92" i="16"/>
  <c r="G92" i="16" s="1"/>
  <c r="E10" i="16"/>
  <c r="G10" i="16" s="1"/>
  <c r="E35" i="16"/>
  <c r="G35" i="16" s="1"/>
  <c r="E27" i="16"/>
  <c r="G27" i="16" s="1"/>
  <c r="E65" i="16"/>
  <c r="G65" i="16" s="1"/>
  <c r="E69" i="16"/>
  <c r="G69" i="16" s="1"/>
  <c r="E61" i="16"/>
  <c r="G61" i="16" s="1"/>
  <c r="E68" i="16"/>
  <c r="G68" i="16" s="1"/>
  <c r="E15" i="16"/>
  <c r="G15" i="16" s="1"/>
  <c r="E48" i="16"/>
  <c r="G48" i="16" s="1"/>
  <c r="E93" i="16"/>
  <c r="G93" i="16" s="1"/>
  <c r="E30" i="16"/>
  <c r="G30" i="16" s="1"/>
  <c r="E105" i="16"/>
  <c r="G105" i="16" s="1"/>
  <c r="E90" i="16"/>
  <c r="G90" i="16" s="1"/>
  <c r="E47" i="16"/>
  <c r="G47" i="16" s="1"/>
  <c r="E63" i="16"/>
  <c r="G63" i="16" s="1"/>
  <c r="E45" i="16"/>
  <c r="G45" i="16" s="1"/>
  <c r="E110" i="16"/>
  <c r="G110" i="16" s="1"/>
  <c r="E58" i="16"/>
  <c r="G58" i="16" s="1"/>
  <c r="E31" i="16"/>
  <c r="G31" i="16" s="1"/>
  <c r="E19" i="16"/>
  <c r="G19" i="16" s="1"/>
  <c r="E106" i="16"/>
  <c r="G106" i="16" s="1"/>
  <c r="E70" i="16"/>
  <c r="G70" i="16" s="1"/>
  <c r="E88" i="16"/>
  <c r="G88" i="16" s="1"/>
  <c r="E76" i="16"/>
  <c r="G76" i="16" s="1"/>
  <c r="E32" i="16"/>
  <c r="G32" i="16" s="1"/>
  <c r="E74" i="16"/>
  <c r="G74" i="16" s="1"/>
  <c r="E43" i="16"/>
  <c r="G43" i="16" s="1"/>
  <c r="E28" i="16"/>
  <c r="G28" i="16" s="1"/>
  <c r="E50" i="16"/>
  <c r="G50" i="16" s="1"/>
  <c r="E108" i="16"/>
  <c r="G108" i="16" s="1"/>
  <c r="E26" i="16"/>
  <c r="G26" i="16" s="1"/>
  <c r="E25" i="16"/>
  <c r="G25" i="16" s="1"/>
  <c r="E75" i="16"/>
  <c r="G75" i="16" s="1"/>
  <c r="E54" i="16"/>
  <c r="G54" i="16" s="1"/>
  <c r="E80" i="16"/>
  <c r="G80" i="16" s="1"/>
  <c r="F2" i="17" a="1"/>
  <c r="F2" i="17" s="1"/>
  <c r="E20" i="16"/>
  <c r="G20" i="16" s="1"/>
  <c r="E28" i="10" l="1"/>
  <c r="E27" i="10"/>
  <c r="E26" i="10" s="1"/>
  <c r="F26" i="10" s="1"/>
  <c r="AS9" i="6"/>
  <c r="AS38" i="6"/>
  <c r="AS85" i="6"/>
  <c r="AS70" i="6"/>
  <c r="AS92" i="6"/>
  <c r="AS75" i="6"/>
  <c r="AS80" i="6"/>
  <c r="AS59" i="6"/>
  <c r="AS115" i="6"/>
  <c r="AS117" i="6"/>
  <c r="D6" i="9"/>
  <c r="AS91" i="6"/>
  <c r="AS15" i="6"/>
  <c r="AS73" i="6"/>
  <c r="AS78" i="6"/>
  <c r="AS71" i="6"/>
  <c r="C6" i="9"/>
  <c r="AS10" i="6"/>
  <c r="AS40" i="6"/>
  <c r="AS37" i="6"/>
  <c r="AS118" i="6"/>
  <c r="AS39" i="6"/>
  <c r="AS66" i="6"/>
  <c r="AS101" i="6"/>
  <c r="AS45" i="6"/>
  <c r="AS94" i="6"/>
  <c r="AS22" i="6"/>
  <c r="AS32" i="6"/>
  <c r="AS110" i="6"/>
  <c r="AS119" i="6"/>
  <c r="AS62" i="6"/>
  <c r="AS48" i="6"/>
  <c r="AS65" i="6"/>
  <c r="AS89" i="6"/>
  <c r="AS11" i="6"/>
  <c r="AS112" i="6"/>
  <c r="AS34" i="6"/>
  <c r="AS100" i="6"/>
  <c r="AS30" i="6"/>
  <c r="AS36" i="6"/>
  <c r="AS13" i="6"/>
  <c r="AS35" i="6"/>
  <c r="AS43" i="6"/>
  <c r="AS42" i="6"/>
  <c r="AS69" i="6"/>
  <c r="AS18" i="6"/>
  <c r="AS67" i="6"/>
  <c r="AS108" i="6"/>
  <c r="AS50" i="6"/>
  <c r="AS16" i="6"/>
  <c r="AS96" i="6"/>
  <c r="AS23" i="6"/>
  <c r="AS57" i="6"/>
  <c r="AS111" i="6"/>
  <c r="AS95" i="6"/>
  <c r="AS81" i="6"/>
  <c r="AS64" i="6"/>
  <c r="AS63" i="6"/>
  <c r="AS90" i="6"/>
  <c r="AS60" i="6"/>
  <c r="AS51" i="6"/>
  <c r="AS25" i="6"/>
  <c r="AS31" i="6"/>
  <c r="AS21" i="6"/>
  <c r="AS26" i="6"/>
  <c r="AS29" i="6"/>
  <c r="E6" i="9"/>
  <c r="AS68" i="6"/>
  <c r="AS93" i="6"/>
  <c r="AS105" i="6"/>
  <c r="AS86" i="6"/>
  <c r="AS44" i="6"/>
  <c r="AS79" i="6"/>
  <c r="AS27" i="6"/>
  <c r="AS49" i="6"/>
  <c r="AS109" i="6"/>
  <c r="AS72" i="6"/>
  <c r="AS61" i="6"/>
  <c r="AS28" i="6"/>
  <c r="AS103" i="6"/>
  <c r="AS12" i="6"/>
  <c r="AS24" i="6"/>
  <c r="AS54" i="6"/>
  <c r="AS102" i="6"/>
  <c r="AS84" i="6"/>
  <c r="AS41" i="6"/>
  <c r="AS17" i="6"/>
  <c r="AS20" i="6"/>
  <c r="AS58" i="6"/>
  <c r="AS113" i="6"/>
  <c r="AS74" i="6"/>
  <c r="AS107" i="6"/>
  <c r="AS97" i="6"/>
  <c r="AS87" i="6"/>
  <c r="AS98" i="6"/>
  <c r="AS99" i="6"/>
  <c r="AS106" i="6"/>
  <c r="AS56" i="6"/>
  <c r="AS19" i="6"/>
  <c r="AS46" i="6"/>
  <c r="AS76" i="6"/>
  <c r="AS33" i="6"/>
  <c r="AS47" i="6"/>
  <c r="AS82" i="6"/>
  <c r="AS55" i="6"/>
  <c r="AS52" i="6"/>
  <c r="AS77" i="6"/>
  <c r="AS53" i="6"/>
  <c r="AS116" i="6"/>
  <c r="AS104" i="6"/>
  <c r="AS114" i="6"/>
  <c r="AS88" i="6"/>
  <c r="AS14" i="6"/>
  <c r="AS83" i="6"/>
  <c r="E25" i="10" l="1"/>
  <c r="F25" i="10" s="1"/>
  <c r="E17" i="10"/>
  <c r="F17" i="10" s="1"/>
  <c r="F15" i="9"/>
  <c r="F35" i="9"/>
  <c r="F28" i="9"/>
  <c r="F40" i="9"/>
  <c r="F38" i="9"/>
  <c r="F14" i="9"/>
  <c r="F30" i="9"/>
  <c r="F8" i="9"/>
  <c r="F10" i="9"/>
  <c r="F19" i="9"/>
  <c r="F16" i="9"/>
  <c r="F12" i="9"/>
  <c r="F18" i="9"/>
  <c r="F31" i="9"/>
  <c r="F34" i="9"/>
  <c r="F27" i="9"/>
  <c r="F32" i="9"/>
  <c r="F13" i="9"/>
  <c r="F23" i="9"/>
  <c r="F11" i="9"/>
  <c r="F20" i="9"/>
  <c r="F22" i="9"/>
  <c r="F21" i="9"/>
  <c r="F25" i="9"/>
  <c r="E19" i="10"/>
  <c r="F9" i="9"/>
  <c r="F41" i="9"/>
  <c r="F42" i="9"/>
  <c r="F39" i="9"/>
  <c r="F36" i="9"/>
  <c r="F37" i="9"/>
  <c r="F26" i="9"/>
  <c r="F29" i="9"/>
  <c r="F17" i="9"/>
  <c r="F24" i="9"/>
  <c r="F33" i="9"/>
  <c r="E18" i="10" l="1"/>
  <c r="F18" i="10"/>
  <c r="E20" i="10"/>
</calcChain>
</file>

<file path=xl/comments1.xml><?xml version="1.0" encoding="utf-8"?>
<comments xmlns="http://schemas.openxmlformats.org/spreadsheetml/2006/main" xmlns:mc="http://schemas.openxmlformats.org/markup-compatibility/2006" xmlns:xr="http://schemas.microsoft.com/office/spreadsheetml/2014/revision" mc:Ignorable="xr">
  <authors>
    <author>MENDEZ ARCE Alberto</author>
  </authors>
  <commentList>
    <comment ref="D8" authorId="0" shapeId="0" xr:uid="{772DC8C1-480D-4808-BDBA-6EA6DA0C9A3B}">
      <text>
        <r>
          <rPr>
            <sz val="9"/>
            <color indexed="81"/>
            <rFont val="Tahoma"/>
            <family val="2"/>
          </rPr>
          <t xml:space="preserve">Base de dades, llenguatges, frameworks, servidor, etc.
</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tc={EE77B44E-C4A0-415D-B945-60E29AA0F72F}</author>
  </authors>
  <commentList>
    <comment ref="B8" authorId="0" shapeId="0" xr:uid="{EE77B44E-C4A0-415D-B945-60E29AA0F72F}">
      <text>
        <t>[Comentario encadenado]
Su versión de Excel le permite leer este comentario encadenado; sin embargo, las ediciones que se apliquen se quitarán si el archivo se abre en una versión más reciente de Excel. Más información: https://go.microsoft.com/fwlink/?linkid=870924
Comentario:
    D'on surten aquests conjunts? Dels catàleg s de Tarragona? Mataro? 
Respuesta:
    Crec que el conjunt de dades ha d'incorporar el contingut del conjunt de forma concreta
Respuesta:
    Crec que és important saber perquè l'incorporem. En quin inventari dels que hem analitzat s'ha proposat. En el de Tarragona? En el de Mataro?</t>
      </text>
    </comment>
  </commentList>
</comments>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<sst xmlns="http://schemas.openxmlformats.org/spreadsheetml/2006/main" count="1479" uniqueCount="964">
  <si>
    <t>Instruccions</t>
  </si>
  <si>
    <t>Sistemes de dades</t>
  </si>
  <si>
    <t>Sistema de dades</t>
  </si>
  <si>
    <t>Descripció</t>
  </si>
  <si>
    <t>Tecnologies principals</t>
  </si>
  <si>
    <t>Tipus de servei</t>
  </si>
  <si>
    <t>Arquitectura cloud</t>
  </si>
  <si>
    <t>Domini de dades principal</t>
  </si>
  <si>
    <t>Estat Sistema</t>
  </si>
  <si>
    <t>Data revisió estat</t>
  </si>
  <si>
    <t>És extern?</t>
  </si>
  <si>
    <t>Administrador del sistema (nom)</t>
  </si>
  <si>
    <t>Administrador del sistema (rol)</t>
  </si>
  <si>
    <t>Sensibilitat de les dades</t>
  </si>
  <si>
    <t>Criticitat</t>
  </si>
  <si>
    <t>Riscos</t>
  </si>
  <si>
    <t>Integracions</t>
  </si>
  <si>
    <t>Model d’autenticació</t>
  </si>
  <si>
    <t>SaaS (software com a servei)</t>
  </si>
  <si>
    <t>En producció</t>
  </si>
  <si>
    <t>Alta (dades personals / bancàries)</t>
  </si>
  <si>
    <t>Mitjana</t>
  </si>
  <si>
    <t>On-premise</t>
  </si>
  <si>
    <t>No</t>
  </si>
  <si>
    <t>Alta</t>
  </si>
  <si>
    <t>PaaS (plataforma com a servei)</t>
  </si>
  <si>
    <t>Alta (dades personals)</t>
  </si>
  <si>
    <t>Baixa</t>
  </si>
  <si>
    <t>IaaS (infraestructura com a servei)</t>
  </si>
  <si>
    <t>ERP</t>
  </si>
  <si>
    <t>Alta (dades especials)</t>
  </si>
  <si>
    <t>Pendent d'actualització</t>
  </si>
  <si>
    <t>Substitució planificada</t>
  </si>
  <si>
    <t>Padró municipal d’habitants</t>
  </si>
  <si>
    <t>ERET Enquesta retributiva per a ús municipal</t>
  </si>
  <si>
    <t>Cultura</t>
  </si>
  <si>
    <t>SeTDIBA Registre i tramitació d’expedients als ajuntaments.</t>
  </si>
  <si>
    <t>SeTDIBA-SECRETARIA Aplicació per gestionar els òrgans col·legiats</t>
  </si>
  <si>
    <t>EPSILON Gestió de nòmines municipals</t>
  </si>
  <si>
    <t>GIA Expedients d’activitats econòmiques</t>
  </si>
  <si>
    <t>PCOM Gestió dels plans de protecció civil municipal</t>
  </si>
  <si>
    <t>IMAGINA Repositori imatges arxius municipals</t>
  </si>
  <si>
    <t>XALOC Serveis locals d’ocupació</t>
  </si>
  <si>
    <t>SICALWIN Comptabilitat per als ajuntaments</t>
  </si>
  <si>
    <t>ACCEDE-SUB Subvencions</t>
  </si>
  <si>
    <t>GPA Gestió patrimonial</t>
  </si>
  <si>
    <t>DS-DIBA Valoració de diagnosi social</t>
  </si>
  <si>
    <t>TASSAD Càlcul copagament SSAD i teleassistència</t>
  </si>
  <si>
    <t>HÈSTIA Expedients atenció primària serveis socials</t>
  </si>
  <si>
    <t>SIAPE Auditories pobresa energètica</t>
  </si>
  <si>
    <t>Dominis de dades</t>
  </si>
  <si>
    <t>Un domini de dades és una classificació lògica que agrupa dades relacionades per un significat, tema o propòsit comú, independentment de l’aplicació</t>
  </si>
  <si>
    <t>Domini de dades</t>
  </si>
  <si>
    <t>Àrea propietària</t>
  </si>
  <si>
    <t>Tipus d'informació</t>
  </si>
  <si>
    <t>Activitat administrativa</t>
  </si>
  <si>
    <t>Registra l'entrada i sortida de documents, els expedients interns, les notificacions i el seguiment de tràmits municipals. Inclou calendaris d'actes, terminis i evidències per garantir traçabilitat i bon funcionament diari.</t>
  </si>
  <si>
    <t>Secretaria General</t>
  </si>
  <si>
    <t>Altres</t>
  </si>
  <si>
    <t>Aigua i sanejament</t>
  </si>
  <si>
    <t>Inclou dades d'abonats, comptadors, lectures, incidències de xarxa i actuacions de manteniment. Serveix per planificar reparacions, controlar el consum i coordinar les empreses concessionàries amb el servei municipal.</t>
  </si>
  <si>
    <t>Serveis Urbans</t>
  </si>
  <si>
    <t>Dades de servei/operacionals</t>
  </si>
  <si>
    <t>Atenció ciutadana</t>
  </si>
  <si>
    <t>Recull sol·licituds, queixes, consultes i cites prèvies dels veïns, amb el seu estat i resposta. Permet mesurar temps d'atenció, derivacions entre àrees i qualitat del servei a l'Oficina d'Atenció.</t>
  </si>
  <si>
    <t>Atenció Ciutadana</t>
  </si>
  <si>
    <t>Dades personals</t>
  </si>
  <si>
    <t>Bon govern, transparència i participació</t>
  </si>
  <si>
    <t>Agrupa informació publicada i de seguiment: agenda institucional, acords de govern, indicadors, consultes i processos participatius. Facilita rendició de comptes, accés públic a la informació i registre de propostes veïnals.</t>
  </si>
  <si>
    <t>Alcaldia i Govern Obert</t>
  </si>
  <si>
    <t>Dades públiques</t>
  </si>
  <si>
    <t>Cementiri i serveis funeraris</t>
  </si>
  <si>
    <t>Inclou concessions de nínxols, inhumacions, exhumacions, registre de difunts, quotes i manteniment del recinte. Dona suport a l'atenció a famílies i a la gestió administrativa i econòmica del cementiri.</t>
  </si>
  <si>
    <t>Serveis Funeraris</t>
  </si>
  <si>
    <t>Reuneix registres d'accessos, alertes, inventari de riscos, incidències de seguretat i controls aplicats. Serveix per detectar atacs, auditar canvis i garantir que els sistemes municipals compleixen les polítiques internes.</t>
  </si>
  <si>
    <t>TIC i Seguretat</t>
  </si>
  <si>
    <t>Dades sensibles</t>
  </si>
  <si>
    <t>Contractació, convenis i subvencions</t>
  </si>
  <si>
    <t>Gestiona expedients de contractes, licitacions, adjudicacions, convenis i subvencions, amb terminis, imports i documentació. Ajuda a controlar obligacions, publicitat, seguiment d'execució i justificacions davant òrgans de control.</t>
  </si>
  <si>
    <t>Contractació i Intervenció</t>
  </si>
  <si>
    <t>Dades financeres</t>
  </si>
  <si>
    <t>Dades d’inventari/patrimoni</t>
  </si>
  <si>
    <t>Economia local, comerç i mercats</t>
  </si>
  <si>
    <t>Recull llicències i comunicacions d'activitats comercials, parades de mercat, inspeccions i campanyes de dinamització. Serveix per ordenar l'espai comercial, atendre peticions i fer seguiment de taxes i ocupacions.</t>
  </si>
  <si>
    <t>Promoció Econòmica</t>
  </si>
  <si>
    <t>Educació</t>
  </si>
  <si>
    <t>Inclou inscripcions i participació en activitats educatives, beques, menjador, absentisme i coordinació amb centres. Permet planificar oferta, controlar places i comunicar incidències amb famílies i equips directius.</t>
  </si>
  <si>
    <t>Esport</t>
  </si>
  <si>
    <t>Inclou abonaments, reserves d'instal·lacions, activitats dirigides, escoles esportives, competicions i manteniment d'equipaments. Permet gestionar aforaments, cobraments, calendaris, incidències i comunicacions amb clubs, entitats i usuaris.</t>
  </si>
  <si>
    <t>Esports</t>
  </si>
  <si>
    <t>Formació i ocupació</t>
  </si>
  <si>
    <t>Registra persones participants, itineraris d'orientació, cursos, ofertes de feina i contactes amb empreses. Serveix per fer seguiment de resultats, gestionar ajuts i coordinar accions amb altres administracions i agents locals.</t>
  </si>
  <si>
    <t>Govern i organització</t>
  </si>
  <si>
    <t>Inclou estructura organitzativa, unitats, càrrecs, òrgans col·legiats, delegacions i catàlegs de serveis. Dona suport a la presa de decisions, la publicació d'organigrames i la coordinació interna entre àrees.</t>
  </si>
  <si>
    <t>Gerència Municipal</t>
  </si>
  <si>
    <t>Dades d’organització/estructura</t>
  </si>
  <si>
    <t>Habitatge</t>
  </si>
  <si>
    <t>Recull sol·licituds d'ajuts, borsa de lloguer, inspeccions, mediacions i expedients d'emergència habitacional. Permet prioritzar casos, coordinar visites i gestionar comunicacions amb propietaris, llogaters i entitats socials.</t>
  </si>
  <si>
    <t>Hisenda</t>
  </si>
  <si>
    <t>Inclou padrons fiscals, liquidacions, recaptació, domiciliacions i gestió pressupostària. Serveix per calcular impostos i taxes, controlar ingressos, fer seguiment de morositat i generar informes per a intervenció i govern.</t>
  </si>
  <si>
    <t>Incidències de la via pública</t>
  </si>
  <si>
    <t>Via Pública</t>
  </si>
  <si>
    <t>Informació i comunicació</t>
  </si>
  <si>
    <t>Inclou notes de premsa, continguts web, xarxes socials, campanyes i butlletins. Ajuda a coordinar missatges, calendaris i canals, i a mantenir informació actualitzada per a veïns, entitats i mitjans locals.</t>
  </si>
  <si>
    <t>Comunicació</t>
  </si>
  <si>
    <t>Agrupa cartografia, carrers, adreces, parcel·les, equipaments i capes temàtiques. Serveix per suportar tràmits, planificació i consultes internes, i per compartir mapes amb altres organismes quan cal.</t>
  </si>
  <si>
    <t>Urbanisme</t>
  </si>
  <si>
    <t>Dades de localització/geoespacials</t>
  </si>
  <si>
    <t>Medi ambient</t>
  </si>
  <si>
    <t>Inclou controls de qualitat de l'aire i soroll, gestió d'espais naturals, permisos ambientals i seguiment de sancions. Permet planificar campanyes, gestionar denúncies i elaborar indicadors per a informes i transparència.</t>
  </si>
  <si>
    <t>Medi Ambient</t>
  </si>
  <si>
    <t>Dades estadístiques/analítiques</t>
  </si>
  <si>
    <t>Informació desactualitzada</t>
  </si>
  <si>
    <t>Recull regulació de trànsit, zones d'estacionament, sancions, incidències, aforaments i informació de transport. Ajuda a prendre decisions de circulació, millorar el servei i coordinar actuacions amb operadors i policia.</t>
  </si>
  <si>
    <t>Mobilitat</t>
  </si>
  <si>
    <t>Neteja viària</t>
  </si>
  <si>
    <t>Inclou rutes de neteja, planificació de torns, incidències, inspeccions i control de qualitat del servei. Permet fer seguiment del contracte, registrar queixes i ajustar recursos segons zones i esdeveniments.</t>
  </si>
  <si>
    <t>Obres públiques i manteniment</t>
  </si>
  <si>
    <t>Obres i Manteniment</t>
  </si>
  <si>
    <t>Inclou el padró, altes i baixes, canvis de domicili i certificats. És clau per a serveis municipals, estadística i finançament. Permet garantir adreces correctes i traçabilitat de moviments de veïns.</t>
  </si>
  <si>
    <t>Padró i Estadística</t>
  </si>
  <si>
    <t>Protecció civil i emergències</t>
  </si>
  <si>
    <t>Reuneix plans d'emergència, inventari de recursos, avisos, activacions i informes d'incidents. Ajuda a coordinar operatius, gestionar comunicacions amb altres cossos i conservar evidències per avaluar i millorar respostes.</t>
  </si>
  <si>
    <t>Protecció Civil</t>
  </si>
  <si>
    <t>Recursos humans</t>
  </si>
  <si>
    <t>Inclou fitxes de personal, contractes, nòmines, permisos, formació i processos selectius. Serveix per planificar plantilla, controlar absències i garantir compliment legal, amb accés restringit i auditable.</t>
  </si>
  <si>
    <t>Recursos Humans</t>
  </si>
  <si>
    <t>Residus</t>
  </si>
  <si>
    <t>Inclou recollida, contenidors, rutes, incidències, inspeccions i dades de pes o volum. Ajuda a millorar el servei, controlar objectius de reciclatge i gestionar contractes i campanyes amb la ciutadania.</t>
  </si>
  <si>
    <t>Salut pública</t>
  </si>
  <si>
    <t>Recull inspeccions sanitàries, controls d'aigua de consum, plagues, campanyes de vacunació i registres d'establiments. Permet prioritzar actuacions i compartir informació amb autoritats sanitàries quan hi ha risc.</t>
  </si>
  <si>
    <t>Salut Pública</t>
  </si>
  <si>
    <t>Secretaria</t>
  </si>
  <si>
    <t>Inclou actes i acords dels òrgans municipals, fe pública, registres, decrets i assessorament jurídic. Dona suport a la validesa dels procediments, la conservació documental i l'accés a la informació administrativa.</t>
  </si>
  <si>
    <t>Inclou incidències policials, denúncies, atestats, controls, intervencions i gestió de recursos. Permet coordinar patrulles, tramitar sancions i compartir informació operativa amb altres cossos quan és necessari.</t>
  </si>
  <si>
    <t>Policia Local</t>
  </si>
  <si>
    <t>Recull expedients d'atenció social, valoracions, prestacions, plans de treball i derivacions. Permet prioritzar urgències, coordinar professionals i garantir confidencialitat en informació molt sensible de persones i famílies.</t>
  </si>
  <si>
    <t>Serveis Socials</t>
  </si>
  <si>
    <t>Turisme i oci</t>
  </si>
  <si>
    <t>Inclou recursos turístics, agenda d'activitats, reserves de visites, consultes i estadístiques de demanda. Permet informar visitants, coordinar agents locals i avaluar l'impacte d'esdeveniments amb dades clares i comparables.</t>
  </si>
  <si>
    <t>Turisme</t>
  </si>
  <si>
    <t>Urbanisme i planejament</t>
  </si>
  <si>
    <t>Inclou planejament urbanístic, llicències, expedients d'obres, disciplina i informació de sòl. Serveix per tramitar permisos, consultar normativa i coordinar informes tècnics, amb cartografia i documentació vinculada a cada actuació.</t>
  </si>
  <si>
    <t>Conjunts de dades</t>
  </si>
  <si>
    <t>Nom Conjunt de dades</t>
  </si>
  <si>
    <t>Intern</t>
  </si>
  <si>
    <t>Ciutadania</t>
  </si>
  <si>
    <t>Entitats</t>
  </si>
  <si>
    <t>Nom Entitat</t>
  </si>
  <si>
    <t>És entitat global?</t>
  </si>
  <si>
    <t>Entitat global referida</t>
  </si>
  <si>
    <t>Àrea propietària principal</t>
  </si>
  <si>
    <t>Sistema de dades d'orígen</t>
  </si>
  <si>
    <t>Responsable de l'entitat (Propietari de dades)</t>
  </si>
  <si>
    <t>Rol del responsable de l'entitat</t>
  </si>
  <si>
    <t>Nom del terme relacionat (Glossari)</t>
  </si>
  <si>
    <t>Informació continguda</t>
  </si>
  <si>
    <t>Referent tècnic</t>
  </si>
  <si>
    <t>Rol del referent tècnic</t>
  </si>
  <si>
    <t>Origen de les dades</t>
  </si>
  <si>
    <t>Arquitecte de la dada</t>
  </si>
  <si>
    <t>Unitat orgànica Arquitecte de la dada</t>
  </si>
  <si>
    <t>Custodi de dades</t>
  </si>
  <si>
    <t>Cadència d'actualització</t>
  </si>
  <si>
    <t>Reutilització de dades</t>
  </si>
  <si>
    <t>Ajut</t>
  </si>
  <si>
    <t>Declaracions de ciutadans</t>
  </si>
  <si>
    <t>Mensual</t>
  </si>
  <si>
    <t>Planificació estratègica</t>
  </si>
  <si>
    <t>Si</t>
  </si>
  <si>
    <t>Diària</t>
  </si>
  <si>
    <t>Sistemes municipals interns</t>
  </si>
  <si>
    <t>Transparència</t>
  </si>
  <si>
    <t>Administracions supramunicipals</t>
  </si>
  <si>
    <t>Sensors o sistemes Iot</t>
  </si>
  <si>
    <t>Optimització de serveis</t>
  </si>
  <si>
    <t>No informat</t>
  </si>
  <si>
    <t>En temps real</t>
  </si>
  <si>
    <t>&lt;No aplica&gt;</t>
  </si>
  <si>
    <t>Trimestral</t>
  </si>
  <si>
    <t>Informes interns</t>
  </si>
  <si>
    <t>Empreses contractistes</t>
  </si>
  <si>
    <t>Quadres de comandament</t>
  </si>
  <si>
    <t>Anual</t>
  </si>
  <si>
    <t>Proveïdor</t>
  </si>
  <si>
    <t>Relacions de Conjunts de dades amb entitats</t>
  </si>
  <si>
    <t>Conjunt de dades</t>
  </si>
  <si>
    <t>Entitat</t>
  </si>
  <si>
    <t>Descripció de la relació</t>
  </si>
  <si>
    <t>Sol·licitud d'ajut</t>
  </si>
  <si>
    <t>Persona sol·licitant d'ajut</t>
  </si>
  <si>
    <t>Persones que estan inscrites al registre de voluntaris</t>
  </si>
  <si>
    <t>Documentació ajut aportada</t>
  </si>
  <si>
    <t>Resolució ajut</t>
  </si>
  <si>
    <t>Nom Atribut</t>
  </si>
  <si>
    <t>Descripció de l'atribut</t>
  </si>
  <si>
    <t>Pertany a entitat global?</t>
  </si>
  <si>
    <t>És clau?</t>
  </si>
  <si>
    <t>Sistema</t>
  </si>
  <si>
    <t>Tipus d'Atribut</t>
  </si>
  <si>
    <t>Informació sensible</t>
  </si>
  <si>
    <t>Terme de negoci relacionat (Glossari)</t>
  </si>
  <si>
    <t>Format de base de dades</t>
  </si>
  <si>
    <t>Admet valor nul?</t>
  </si>
  <si>
    <t>Criteris de precisió</t>
  </si>
  <si>
    <t>Criteris de completitud</t>
  </si>
  <si>
    <t>Criteris de consistència</t>
  </si>
  <si>
    <t>Criteris d'actualització</t>
  </si>
  <si>
    <t>Regla de validació</t>
  </si>
  <si>
    <t>Nivel qualitat esperada</t>
  </si>
  <si>
    <t>Catàleg de valors</t>
  </si>
  <si>
    <t>Origen</t>
  </si>
  <si>
    <t>Freqüència d'actualització</t>
  </si>
  <si>
    <t>Usos principals de la dada</t>
  </si>
  <si>
    <t>Compartició amb altres sistemes</t>
  </si>
  <si>
    <t>Text</t>
  </si>
  <si>
    <t>Data</t>
  </si>
  <si>
    <t>Decimal</t>
  </si>
  <si>
    <t>1:N</t>
  </si>
  <si>
    <t>N:M</t>
  </si>
  <si>
    <t>Qualitat i completitut de l'inventari d'actius de dades</t>
  </si>
  <si>
    <t>Dominis identificats</t>
  </si>
  <si>
    <t>Completitut informació</t>
  </si>
  <si>
    <t>Dominis amb conjunts de dades</t>
  </si>
  <si>
    <t>Atributs</t>
  </si>
  <si>
    <t>Sistemes</t>
  </si>
  <si>
    <t>Sistemes identificats</t>
  </si>
  <si>
    <t>Llegenda</t>
  </si>
  <si>
    <t>Format</t>
  </si>
  <si>
    <t>Nom amb què s’identifica el sistema o aplicació dins de l’organització. Ha de ser clar i recognoscible per a tots els equips.</t>
  </si>
  <si>
    <t>Selecció</t>
  </si>
  <si>
    <t>Situació actual del sistema dins del seu cicle de vida, indicant si està operatiu o en una altra fase.</t>
  </si>
  <si>
    <t>Data en què es va revisar per última vegada l’estat del sistema, per garantir que la informació és actualitzada.</t>
  </si>
  <si>
    <t>Nivell de sensibilitat de la informació que tracta el sistema, rellevant per a la protecció de dades i el compliment normatiu.</t>
  </si>
  <si>
    <t>Importància del sistema per al funcionament dels serveis i processos municipals.</t>
  </si>
  <si>
    <t>Principals riscos associats a l’ús, la disponibilitat o la seguretat del sistema.</t>
  </si>
  <si>
    <t>Altres sistemes o plataformes amb els quals aquest sistema intercanvia informació.</t>
  </si>
  <si>
    <t>Mecanisme utilitzat per verificar i controlar l’accés dels usuaris al sistema.</t>
  </si>
  <si>
    <t>Resumeix en una o dues frases què recull el conjunt de dades i per a què s'utilitza en el dia a dia. Indica els principals processos municipals on intervé i algun exemple d'ús, com ara informes, tramitació o atenció ciutadana.</t>
  </si>
  <si>
    <t>Indica el domini de dades al qual pertany el conjunt de dades, per exemple: serveis socials, via pública, hisenda o educació.</t>
  </si>
  <si>
    <t>Calculat en funció del Domini de dades seleccionat</t>
  </si>
  <si>
    <t>Indica el nom i cognoms de la persona que assumeix la responsabilitat funcional del conjunt de dades dins l'ajuntament. Normalment serà una cap de servei, direcció o figura similar amb capacitat de decisió sobre l'ús de la informació.</t>
  </si>
  <si>
    <t>Especifica quin rol hi té la persona indicada, per exemple: propietari funcional de les dades, responsable legal o custodi de dades. Aquesta descripció ha d'ajudar a entendre si pren decisions, defineix el model de dades o només en fa la gestió diària.</t>
  </si>
  <si>
    <t>Poseu un nom clar i fàcil d’entendre, que permeti identificar ràpidament de quina entitat es tracta sense haver de llegir cap detall addicional.</t>
  </si>
  <si>
    <t>Expliqueu en poques línies què representa aquesta entitat i en quin context del servei o procés es fa servir habitualment.</t>
  </si>
  <si>
    <t>Indiqueu si l’entitat és comuna a diversos àmbits o només s’utilitza en un context concret.</t>
  </si>
  <si>
    <t>Quan no sigui global, especifiqueu a quina altra entitat queda vinculada o en depèn.</t>
  </si>
  <si>
    <t>Selecció de Entitat marcada com global</t>
  </si>
  <si>
    <t>Mostreu l’àmbit funcional o servei on aquesta entitat té sentit i on s’utilitza de forma natural.</t>
  </si>
  <si>
    <t>Identifiqueu l’àrea o servei que vetlla perquè la informació sigui correcta i coherent amb les seves funcions.</t>
  </si>
  <si>
    <t>Calculat en funció del Domini de dades principal</t>
  </si>
  <si>
    <t>Escriviu el sistema principal del qual provenen les dades que formen aquesta entitat.</t>
  </si>
  <si>
    <t>Descriviu de manera general quin tipus d’informació conté: dades personals, operatives, organitzatives, etc.</t>
  </si>
  <si>
    <t>Indiqueu qui és la persona que supervisa i valida el bon ús de la informació associada a l’entitat.</t>
  </si>
  <si>
    <t>Expliqueu de manera breu quin paper té aquesta persona en la gestió, seguiment i qualitat de la informació.</t>
  </si>
  <si>
    <t>Poseu el terme del glossari que millor ajuda a comprendre què és l’entitat i com s’interpreta.</t>
  </si>
  <si>
    <t>Descriviu els elements principals que conté la informació i què aporten al servei o procés.</t>
  </si>
  <si>
    <t>Identifiqueu la persona de suport que pot ajudar a resoldre dubtes tècnics o funcionals sobre la informació.</t>
  </si>
  <si>
    <t>Expliqueu quines tasques o responsabilitats té aquesta figura en relació amb la dada.</t>
  </si>
  <si>
    <t>Indiqueu d’on surt realment la informació: declaracions, sensors, tràmits, sistemes externs, etc.</t>
  </si>
  <si>
    <t>Identifiqueu qui defineix el model i com s’estructura aquesta informació dins del sistema.</t>
  </si>
  <si>
    <t>Escriviu la unitat on treballa la persona o equip que gestiona l’arquitectura d’aquesta dada.</t>
  </si>
  <si>
    <t>Mostreu quin servei o equip custodiar i manté l’accés, seguretat i preservació de la informació.</t>
  </si>
  <si>
    <t>Expliqueu el nivell de protecció o sensibilitat que requereixen aquestes dades segons el seu contingut.</t>
  </si>
  <si>
    <t>Indiqueu amb quina freqüència es renova, revisa o actualitza la informació.</t>
  </si>
  <si>
    <t>Eina de gestió</t>
  </si>
  <si>
    <t>Escriviu el programari o eina que s’utilitza per consultar o gestionar aquestes dades.</t>
  </si>
  <si>
    <t>Si la informació s’obté també d’altres fonts, especifiqueu-les de manera senzilla.</t>
  </si>
  <si>
    <t>Expliqueu en quins processos, serveis o finalitats es reutilitzen aquestes dades habitualment.</t>
  </si>
  <si>
    <t>Indica l’àmbit o grup de dades al qual pertany la informació, normalment vinculat al procés o servei on es genera.</t>
  </si>
  <si>
    <t>Es refereix al tipus d’element implicat (persona, sol·licitud, documentació...). Ha de ser un concepte comprensible per qualsevol usuari.</t>
  </si>
  <si>
    <t>Explica amb una frase o dues quin és el vincle entre la dada i l’entitat. Ha de ser directe i evitar tecnicismes innecessaris.</t>
  </si>
  <si>
    <t>Poseu un nom curt i entenedor que ajudi a identificar què és la dada dins l’entitat sense haver de revisar més camp detall.</t>
  </si>
  <si>
    <t>Expliqueu amb un parell de frases què representa la dada i en quin moment del procés és útil, pensant en algú que la vegi per primera vegada.</t>
  </si>
  <si>
    <t>Indiqueu a quina entitat pertany aquest atribut, és a dir, l’objecte principal del qual forma part (persona, sol·licitud, incidència…).</t>
  </si>
  <si>
    <t>Assenyaleu si aquest atribut forma part d'una entitat global o si és només complementari.</t>
  </si>
  <si>
    <t>Calculat en funció de l'Entitat</t>
  </si>
  <si>
    <t>Indiqueu si aquesta dada és imprescindible per identificar de manera única un registre dins l’entitat.</t>
  </si>
  <si>
    <t>Escriviu el sistema on es genera o manté el valor d’aquest atribut en el dia a dia.</t>
  </si>
  <si>
    <t>Descriviu breument el tipus general de la dada: text, número, data, codi… sense tecnicismes.</t>
  </si>
  <si>
    <t>Indiqueu si la dada pot contenir informació delicada segons la normativa o el seu contingut.</t>
  </si>
  <si>
    <t>Escriviu el terme del glossari que ajuda a entendre millor el significat del camp.</t>
  </si>
  <si>
    <t>Poseu el format tècnic que utilitza el sistema (ex.: text, número, data), només perquè l’usuari sàpiga què esperar.</t>
  </si>
  <si>
    <t>Indiqueu si el camp pot quedar buit en casos justificats o si sempre ha de tenir valor.</t>
  </si>
  <si>
    <t>Expliqueu quin grau d’exactitud o validació s’espera del valor perquè sigui correcte.</t>
  </si>
  <si>
    <t>Descriviu quin percentatge o nivell d’informació hauria d’estar informat de manera habitual.</t>
  </si>
  <si>
    <t>Indiqueu amb quines altres dades ha de quadrar o mantenir coherència perquè tingui sentit.</t>
  </si>
  <si>
    <t>Expliqueu en quines situacions es pot modificar la dada i cada quant pot canviar realment en el procés.</t>
  </si>
  <si>
    <t>Relacions entre Atributs</t>
  </si>
  <si>
    <t>Atribut</t>
  </si>
  <si>
    <t>Atribut d'origen</t>
  </si>
  <si>
    <t>Nom de l'atribut per al qual la relació serà SORTINT</t>
  </si>
  <si>
    <t>Atribut de destinació</t>
  </si>
  <si>
    <t>Nom de l'atribut per al qual la relació serà ENTRANT</t>
  </si>
  <si>
    <t>Tipus relació</t>
  </si>
  <si>
    <t>Indica el tipus de relació que existeix entre els atributs origen i destinació</t>
  </si>
  <si>
    <t>Entitat d'origen</t>
  </si>
  <si>
    <t>Entitat a la què  pertany l'atribut per al qual la relació serà SORTINT</t>
  </si>
  <si>
    <t>Sistema d'origen</t>
  </si>
  <si>
    <t>Sistema on pertany l'entitat que conté l'atribut per al qual la relació serà SORTINT</t>
  </si>
  <si>
    <t>Entitat de destinació</t>
  </si>
  <si>
    <t>Nom de l'entitat a la què pertany l'atribut per al qual la relació serà ENTRANT</t>
  </si>
  <si>
    <t>Sistema de destinació</t>
  </si>
  <si>
    <t>Nom curt del sistema on pertany l'entitat que conté l'atribut per al qual la relació serà ENTRANT</t>
  </si>
  <si>
    <t>Relació inventaris</t>
  </si>
  <si>
    <t>Inventari</t>
  </si>
  <si>
    <t>Principal referència</t>
  </si>
  <si>
    <t>Detalls</t>
  </si>
  <si>
    <t>Tarragona</t>
  </si>
  <si>
    <r>
      <t>A Tarragona apareix de manera recurrent la columna “</t>
    </r>
    <r>
      <rPr>
        <b/>
        <sz val="11"/>
        <rFont val="Calibri"/>
        <family val="2"/>
      </rPr>
      <t>Sistema d’informació</t>
    </r>
    <r>
      <rPr>
        <sz val="11"/>
        <rFont val="Calibri"/>
        <family val="2"/>
      </rPr>
      <t xml:space="preserve">”, associada als conjunts de dades. Aquest patró es repeteix de forma implícita a Mataró </t>
    </r>
    <r>
      <rPr>
        <b/>
        <sz val="11"/>
        <rFont val="Calibri"/>
        <family val="2"/>
      </rPr>
      <t>(Sistema de Gestió de Bases de Dades, Tipus de sistema/aplicació</t>
    </r>
    <r>
      <rPr>
        <sz val="11"/>
        <rFont val="Calibri"/>
        <family val="2"/>
      </rPr>
      <t>) i a Sant Cugat (</t>
    </r>
    <r>
      <rPr>
        <b/>
        <sz val="11"/>
        <rFont val="Calibri"/>
        <family val="2"/>
      </rPr>
      <t>Sistema on es genera</t>
    </r>
    <r>
      <rPr>
        <sz val="11"/>
        <rFont val="Calibri"/>
        <family val="2"/>
      </rPr>
      <t>). El conjunt Sistemes recull aquesta coincidència transversal: el sistema sempre és present com a element clau.
En aquest inventari hem inclòs la font de dades principal (sistema o aplicació de procedència), una descripció, així com informació tècnica i del proveïdor.  Altres camps com l'</t>
    </r>
    <r>
      <rPr>
        <b/>
        <sz val="11"/>
        <rFont val="Calibri"/>
        <family val="2"/>
      </rPr>
      <t>administrador i rol del sistema</t>
    </r>
    <r>
      <rPr>
        <sz val="11"/>
        <rFont val="Calibri"/>
        <family val="2"/>
      </rPr>
      <t>, han estat inspirats en els camps Gestor, contacte_gestor, custodi, que apareixen a l'inventari de la DIBA</t>
    </r>
  </si>
  <si>
    <r>
      <t>Tarragona disposa explícitament d’un inventari de Dominis de dades</t>
    </r>
    <r>
      <rPr>
        <b/>
        <sz val="11"/>
        <rFont val="Calibri"/>
        <family val="2"/>
      </rPr>
      <t xml:space="preserve"> </t>
    </r>
    <r>
      <rPr>
        <sz val="11"/>
        <rFont val="Calibri"/>
        <family val="2"/>
      </rPr>
      <t xml:space="preserve">utilitzat per agrupar conjunts segons àmbits funcionals (padró, urbanisme, medi ambient, etc.). Allà podem trobar informació com Domini de dades, Descripció breu, Àrea municipal habitual que hem utilitzat per crear aquest inventari: </t>
    </r>
    <r>
      <rPr>
        <b/>
        <sz val="11"/>
        <rFont val="Calibri"/>
        <family val="2"/>
      </rPr>
      <t>Domini de dades, Descripció, Àrea propietària.</t>
    </r>
    <r>
      <rPr>
        <sz val="11"/>
        <rFont val="Calibri"/>
        <family val="2"/>
      </rPr>
      <t xml:space="preserve">
Aquest mateix criteri de classificació funcional s’alinea amb enfocaments generals com els que promou DIBA. 
També  s'inclouen altres termes com administrador i rol del sistema</t>
    </r>
  </si>
  <si>
    <t>Tarragona + Mataró</t>
  </si>
  <si>
    <r>
      <t>Tant Tarragona com Mataró treballen explícitament amb el concepte de conjunt de dades. A Tarragona forma part de l’inventari estructurat; a Mataró és l’eix central de l’Inventari de fonts d’informació, mitjançant el camp “</t>
    </r>
    <r>
      <rPr>
        <b/>
        <sz val="11"/>
        <rFont val="Calibri"/>
        <family val="2"/>
      </rPr>
      <t>Nom del conjunt de dades</t>
    </r>
    <r>
      <rPr>
        <sz val="11"/>
        <rFont val="Calibri"/>
        <family val="2"/>
      </rPr>
      <t xml:space="preserve">”, amb atributs de governança associats.
Camps com </t>
    </r>
    <r>
      <rPr>
        <b/>
        <sz val="11"/>
        <rFont val="Calibri"/>
        <family val="2"/>
      </rPr>
      <t>Nom Conjunt de dades, Descripció, Domini de dades, Àrea propietària o Sistema d'informació d'origen principal</t>
    </r>
    <r>
      <rPr>
        <sz val="11"/>
        <rFont val="Calibri"/>
        <family val="2"/>
      </rPr>
      <t>, han estat agafats de l'inventari de Mataró.
També  s'inclouen altres termes com 'administrador i rol del conjunt de dades</t>
    </r>
  </si>
  <si>
    <t>Sant Cugat</t>
  </si>
  <si>
    <r>
      <t xml:space="preserve">L’inventari Entitats inclou diversos camps que no apareixen a cap dels inventaris de referència, ja que aquests treballen a nivell de domini o de conjunt de dades i no baixen al nivell d’unitat informativa. Entre aquests camps destaquen, per exemple: </t>
    </r>
    <r>
      <rPr>
        <b/>
        <sz val="11"/>
        <rFont val="Calibri"/>
        <family val="2"/>
      </rPr>
      <t xml:space="preserve">Entitat global referida, Sistema de dades d'orígen, etc. </t>
    </r>
    <r>
      <rPr>
        <sz val="11"/>
        <rFont val="Calibri"/>
        <family val="2"/>
      </rPr>
      <t xml:space="preserve">
També  s'inclouen altres termes com administrador i rol de l'entitat</t>
    </r>
  </si>
  <si>
    <t>Rel.Conjunts-Entitats</t>
  </si>
  <si>
    <t>Elaboració pròpia</t>
  </si>
  <si>
    <t>Taula desenvolupada específicament per garantir la traçabilitat entre conjunts de dades i entitats, inspirada en les relacions de Sant Cugat i els criteris de traçabilitat de DIBA.</t>
  </si>
  <si>
    <t xml:space="preserve">Sant Cugat </t>
  </si>
  <si>
    <r>
      <t xml:space="preserve">Sant Cugat descriu cada dada amb un conjunt ric de característiques: </t>
    </r>
    <r>
      <rPr>
        <b/>
        <sz val="11"/>
        <rFont val="Calibri"/>
        <family val="2"/>
      </rPr>
      <t>tipus de camp, obligatorietat, qualitat, dades personals, anonimització, reutilització, etc</t>
    </r>
    <r>
      <rPr>
        <sz val="11"/>
        <rFont val="Calibri"/>
        <family val="2"/>
      </rPr>
      <t>. Aquest nivell de detall coincideix plenament amb el concepte d’atribut.</t>
    </r>
  </si>
  <si>
    <t>Arquitectura Cloud</t>
  </si>
  <si>
    <t xml:space="preserve"> </t>
  </si>
  <si>
    <t>Categoria Conjunt de Dades</t>
  </si>
  <si>
    <t>És Domini de dades principal?</t>
  </si>
  <si>
    <t>TipusRelEntitats</t>
  </si>
  <si>
    <t>RelacióGlosari</t>
  </si>
  <si>
    <t>Confidencialitat</t>
  </si>
  <si>
    <t>Seguretat</t>
  </si>
  <si>
    <t>Sistemes d'informació</t>
  </si>
  <si>
    <t>Prioritats</t>
  </si>
  <si>
    <t>Cadència</t>
  </si>
  <si>
    <t>Pública</t>
  </si>
  <si>
    <t> informen sobre persones físiques identificades o identificables (ciutadania, personal…)</t>
  </si>
  <si>
    <t>Accés a dades sensibles</t>
  </si>
  <si>
    <t>Ajuntaments</t>
  </si>
  <si>
    <t>Dada mestre</t>
  </si>
  <si>
    <t>1:1</t>
  </si>
  <si>
    <t>Jeràrquica (Un terme general (categoria) agrupa termes més específics)</t>
  </si>
  <si>
    <t>No Personal</t>
  </si>
  <si>
    <t>Públic</t>
  </si>
  <si>
    <t>BI</t>
  </si>
  <si>
    <t>1. Molt baixa</t>
  </si>
  <si>
    <t>Híbrida</t>
  </si>
  <si>
    <t> dades amb impacte ètic, legal o reputacional si es divulguen (salut, orientació, menors…)</t>
  </si>
  <si>
    <t>Altres entitats</t>
  </si>
  <si>
    <t>Dada de referència</t>
  </si>
  <si>
    <t>Àlies (Diferents termes que representen el mateix concepte dins del negoci)</t>
  </si>
  <si>
    <t>Personal</t>
  </si>
  <si>
    <t>Numèric</t>
  </si>
  <si>
    <t>CRM ciutadà</t>
  </si>
  <si>
    <t>2. Baixa</t>
  </si>
  <si>
    <t>Privada</t>
  </si>
  <si>
    <t>Obsolet</t>
  </si>
  <si>
    <t> informació no restringida, objecte de transparència o ús general</t>
  </si>
  <si>
    <t>Anàlisi</t>
  </si>
  <si>
    <t>Dada de negoci</t>
  </si>
  <si>
    <t>N:1</t>
  </si>
  <si>
    <t>Dependència (Un terme només té sentit en funció d’un altre)</t>
  </si>
  <si>
    <t>Personal privat</t>
  </si>
  <si>
    <t>Sensible</t>
  </si>
  <si>
    <t>3. Mitja</t>
  </si>
  <si>
    <t>Setmanal</t>
  </si>
  <si>
    <t> rellevants per a gestió econòmica (pressupost, tributs, facturació, subvencions…)</t>
  </si>
  <si>
    <t>Metadada</t>
  </si>
  <si>
    <t>Correspondència (Terme similar que pot tenir variacions en diferents departaments o sistemes)</t>
  </si>
  <si>
    <t>Percentatge</t>
  </si>
  <si>
    <t>Crític</t>
  </si>
  <si>
    <t>Gestor d’activitats</t>
  </si>
  <si>
    <t>4. Alta</t>
  </si>
  <si>
    <t>Quinzenal</t>
  </si>
  <si>
    <t> referenciades a ubicació física (adreces, parcel·les, geoposicionament…)</t>
  </si>
  <si>
    <t>Metadada de negoci</t>
  </si>
  <si>
    <t>Fracció</t>
  </si>
  <si>
    <t>Molt crític</t>
  </si>
  <si>
    <t>Gestor del servei</t>
  </si>
  <si>
    <t>5. Molt alta</t>
  </si>
  <si>
    <t> relatives als serveis prestats, tràmits, processos o activitat interna</t>
  </si>
  <si>
    <t/>
  </si>
  <si>
    <t>Metadada tècnica</t>
  </si>
  <si>
    <t> registres d’actius, equipaments, infraestructures, vehicles…</t>
  </si>
  <si>
    <t>Metadada operacional</t>
  </si>
  <si>
    <t>Hora</t>
  </si>
  <si>
    <t>Plataforma contractació</t>
  </si>
  <si>
    <t> formats agregats, anonimitzats o per a anàlisi, no directament identificables</t>
  </si>
  <si>
    <t>Metadada de qualitat</t>
  </si>
  <si>
    <t>Data i Hora</t>
  </si>
  <si>
    <t>Queixes i Suggeriments</t>
  </si>
  <si>
    <t> referides a organigrames, processos, rols o unitats</t>
  </si>
  <si>
    <t>Metadada de seguretat/privadesa</t>
  </si>
  <si>
    <t>Marca de temps</t>
  </si>
  <si>
    <t>Sistema d'Informació Geogràfica</t>
  </si>
  <si>
    <t> si escau, especificar al camp “Observacions”</t>
  </si>
  <si>
    <t>Metadada de govern</t>
  </si>
  <si>
    <t>Booleà</t>
  </si>
  <si>
    <t>Sistema operador</t>
  </si>
  <si>
    <t>Dades de referència / mestres no homogeneïtzades</t>
  </si>
  <si>
    <t>Candidata a dades de referència / dades mestres</t>
  </si>
  <si>
    <t>Àmbit</t>
  </si>
  <si>
    <t>Corporatiu (Dades mestres i de referència)</t>
  </si>
  <si>
    <t>Serveis a les persones</t>
  </si>
  <si>
    <t>Patrimoni i actius municipals (nou)</t>
  </si>
  <si>
    <t>Inclou codis, classificacions, declaració d'unitats administratives, països. Etc</t>
  </si>
  <si>
    <t>Govern i administració</t>
  </si>
  <si>
    <t>Gestió de l'espai públic</t>
  </si>
  <si>
    <t>Dades de referència (comú a tot l'ecosistema de dades de país)</t>
  </si>
  <si>
    <t>ORALIMS Anàlisi de la qualitat de l’aigua</t>
  </si>
  <si>
    <t>Portal de dades obertes municipal</t>
  </si>
  <si>
    <t>I els atributs de l'inventari de la DIBA i de la GENE? I els que vam preveure nosaltres inicialment?</t>
  </si>
  <si>
    <t>GIAM</t>
  </si>
  <si>
    <t>Gestió de fons de l'arxiu municipal</t>
  </si>
  <si>
    <t>Gestió de cementiris</t>
  </si>
  <si>
    <t>Gestió de queixes i suggeriments</t>
  </si>
  <si>
    <t>Diputació</t>
  </si>
  <si>
    <t>Relacions de Conjunts de dades amb sistemes</t>
  </si>
  <si>
    <t>Sistemes amb Conjunts de dades</t>
  </si>
  <si>
    <t>Conjunts de dades identificats</t>
  </si>
  <si>
    <t>Dominis sense cap Conjunt de dades</t>
  </si>
  <si>
    <t xml:space="preserve">Nom de la classificació lògica que permeten agrupar Conjunts de dades que comparteixen un mateix significat, àmbit temàtic o propòsit funcional. </t>
  </si>
  <si>
    <t xml:space="preserve">Una explicació clara i sintètica que ajuda a comprendre per què existeix el domini de dades i quin tipus d'informació recull, de manera que qualsevol persona el pugui interpretar sense dificultat. </t>
  </si>
  <si>
    <t>És la categoria d’alt nivell que indica l’àmbit general al qual pertany el domini de dades, aquest pot agrupar més d'un domini de dades.</t>
  </si>
  <si>
    <t>És l'àrea organitzativa de l’ens local que assumeix la responsabilitat funcional i operativa de les dades, més enllà del lloc on es trobin allotjades o gestionades.</t>
  </si>
  <si>
    <t>Tecnologies, programes, o plataformes principals utilitza el sistema. Això dona una idea senzilla del seu entorn tècnic.</t>
  </si>
  <si>
    <t>Nom de l’empresa o entitat que subministra el sistema, el manté o dona suport tècnic, addicionalment es pot afegeix el NIF.</t>
  </si>
  <si>
    <t>Funció o responsabilitat que exerceix la persona administradora del sistema dins de l'organització.</t>
  </si>
  <si>
    <t>Si / No</t>
  </si>
  <si>
    <t>El sistema d'informació és propi i l'administra l'ens local?</t>
  </si>
  <si>
    <t>Nom de la persona que gestiona i administra el sistema de dades actualment. És qui pot resoldre dubtes o incidències.</t>
  </si>
  <si>
    <t>Nom clar i específic que identifiqui de que permeti identificar el conjunt de dades dins l'ens local.</t>
  </si>
  <si>
    <t>Tenint en compte la definició del domini de dades al que pertany, automàticament s'informa l'àrea organitzativa de l’ens local que assumeix la responsabilitat funcional i operativa de les dades.</t>
  </si>
  <si>
    <t>Amb quina freqüència es revisa o actualitza el conjunt. Exemple: “Setmanal”, “Mensual”, “Anual”</t>
  </si>
  <si>
    <t>D’on provenen les dades originals. Exemple: “Declaracions de ciutadans”, “Sensors o sistemes Iot”</t>
  </si>
  <si>
    <t>Si el conjunt es fa servir per a altres processos, serveis o informes, indiqueu a quins.</t>
  </si>
  <si>
    <t>La plantilla de l'inventari d'actius de dades s'organitza en les pestanyes següents:</t>
  </si>
  <si>
    <r>
      <t>Sistemes:</t>
    </r>
    <r>
      <rPr>
        <sz val="11"/>
        <color theme="1"/>
        <rFont val="Arial"/>
        <family val="2"/>
      </rPr>
      <t xml:space="preserve"> Registre i descripció dels sistemes d'informació de l'ens local vinculats a les dades.</t>
    </r>
  </si>
  <si>
    <r>
      <t>Dominis de dades:</t>
    </r>
    <r>
      <rPr>
        <sz val="11"/>
        <color theme="1"/>
        <rFont val="Arial"/>
        <family val="2"/>
      </rPr>
      <t xml:space="preserve"> Recull els dominis de dades més habituals en un ens local. Per a cadascun cal completar la informació específica del domini. Es poden afegir dominis addicionals que no figurin a la proposta inicial.</t>
    </r>
  </si>
  <si>
    <r>
      <t>Conjunts de dades:</t>
    </r>
    <r>
      <rPr>
        <sz val="11"/>
        <color theme="1"/>
        <rFont val="Arial"/>
        <family val="2"/>
      </rPr>
      <t xml:space="preserve"> Identificació, registre i descripció dels conjunts de dades associats a cada domini.</t>
    </r>
  </si>
  <si>
    <r>
      <t>Qualitat:</t>
    </r>
    <r>
      <rPr>
        <sz val="11"/>
        <color theme="1"/>
        <rFont val="Arial"/>
        <family val="2"/>
      </rPr>
      <t xml:space="preserve"> Avaluació de la completitud i la coherència de l'inventari.</t>
    </r>
  </si>
  <si>
    <r>
      <t>Llegenda:</t>
    </r>
    <r>
      <rPr>
        <sz val="11"/>
        <color theme="1"/>
        <rFont val="Arial"/>
        <family val="2"/>
      </rPr>
      <t xml:space="preserve"> Instruccions per complimentar correctament totes les pestanyes.</t>
    </r>
  </si>
  <si>
    <r>
      <t>Relació inventaris:</t>
    </r>
    <r>
      <rPr>
        <sz val="11"/>
        <color theme="1"/>
        <rFont val="Arial"/>
        <family val="2"/>
      </rPr>
      <t xml:space="preserve"> Fonts i referents tinguts en compte en el disseny de la plantilla.</t>
    </r>
  </si>
  <si>
    <r>
      <t xml:space="preserve">Llistes: </t>
    </r>
    <r>
      <rPr>
        <sz val="11"/>
        <color theme="1"/>
        <rFont val="Arial"/>
        <family val="2"/>
      </rPr>
      <t>Valors de referència vàlids per a les columnes amb valors restringits</t>
    </r>
  </si>
  <si>
    <r>
      <t>Entitats:</t>
    </r>
    <r>
      <rPr>
        <i/>
        <sz val="11"/>
        <color theme="1" tint="0.499984740745262"/>
        <rFont val="Arial"/>
        <family val="2"/>
      </rPr>
      <t xml:space="preserve"> Identificació, registre i descripció de les entitats vinculades als conjunts de dades.</t>
    </r>
  </si>
  <si>
    <r>
      <t>Rel. Conjunts–Entitats:</t>
    </r>
    <r>
      <rPr>
        <i/>
        <sz val="11"/>
        <color theme="1" tint="0.499984740745262"/>
        <rFont val="Arial"/>
        <family val="2"/>
      </rPr>
      <t xml:space="preserve"> Documentació de les relacions entre conjunts de dades i entitats.</t>
    </r>
  </si>
  <si>
    <r>
      <t>Atributs:</t>
    </r>
    <r>
      <rPr>
        <i/>
        <sz val="11"/>
        <color theme="1" tint="0.499984740745262"/>
        <rFont val="Arial"/>
        <family val="2"/>
      </rPr>
      <t xml:space="preserve"> Registre i descripció dels atributs de cada entitat.</t>
    </r>
  </si>
  <si>
    <r>
      <t>Rel. Entitats–Entitats:</t>
    </r>
    <r>
      <rPr>
        <i/>
        <sz val="11"/>
        <color theme="1" tint="0.499984740745262"/>
        <rFont val="Arial"/>
        <family val="2"/>
      </rPr>
      <t xml:space="preserve"> Documentació de les relacions entre entitats.</t>
    </r>
  </si>
  <si>
    <t>L'àmbit de suport en governança de dades municipal i el responsable de dades de l'ens local són els responsables de documentar, mantenir i gestionar l'inventari d'actius de dades.</t>
  </si>
  <si>
    <t xml:space="preserve">Dominis de dades. S'han agrupat en àmbits: </t>
  </si>
  <si>
    <r>
      <t xml:space="preserve">Gestió de l'espai públic: </t>
    </r>
    <r>
      <rPr>
        <sz val="11"/>
        <color theme="1"/>
        <rFont val="Arial"/>
        <family val="2"/>
      </rPr>
      <t>tot allò que te a veure amb la gestió de la ciutat (residus, clavegueram, informació geogràfica, etc.).</t>
    </r>
  </si>
  <si>
    <r>
      <t xml:space="preserve">Govern i administració: </t>
    </r>
    <r>
      <rPr>
        <sz val="11"/>
        <color theme="1"/>
        <rFont val="Arial"/>
        <family val="2"/>
      </rPr>
      <t>tot allò que té a veure amb la gestió administrativa</t>
    </r>
    <r>
      <rPr>
        <b/>
        <sz val="11"/>
        <color theme="1"/>
        <rFont val="Arial"/>
        <family val="2"/>
      </rPr>
      <t>.</t>
    </r>
  </si>
  <si>
    <r>
      <t>Serveis a les persones:</t>
    </r>
    <r>
      <rPr>
        <sz val="11"/>
        <color theme="1"/>
        <rFont val="Arial"/>
        <family val="2"/>
      </rPr>
      <t xml:space="preserve"> tot el que fa referència a serveis municipals.</t>
    </r>
  </si>
  <si>
    <r>
      <t xml:space="preserve">Corporatiu (dades mestres i de referència): </t>
    </r>
    <r>
      <rPr>
        <sz val="11"/>
        <color theme="1"/>
        <rFont val="Arial"/>
        <family val="2"/>
      </rPr>
      <t>Les dades de referència haurien de ser comunes a tot l'espai de dades</t>
    </r>
  </si>
  <si>
    <t>Indisponiblitat del sistema</t>
  </si>
  <si>
    <t>Major a l'any</t>
  </si>
  <si>
    <t>Enquesta retributiva per a ús municipal</t>
  </si>
  <si>
    <t>Tramitació d’expedients administratius</t>
  </si>
  <si>
    <t>Registre d'entrada i sortida</t>
  </si>
  <si>
    <t>Registre d'analítiques de la qualitat de l’aigua</t>
  </si>
  <si>
    <t>Gestió de nòmines municipals</t>
  </si>
  <si>
    <t>Registre d'activitats econòmiques (GIA)</t>
  </si>
  <si>
    <t>Gestió dels plans de protecció civil municipal</t>
  </si>
  <si>
    <t>Repositori imatges arxius municipals (IMAGINA )</t>
  </si>
  <si>
    <t>Sistema per a la gestió de serveis locals d’ocupació (XALOC)</t>
  </si>
  <si>
    <t>Comptabilitat municipal</t>
  </si>
  <si>
    <t>Gestió de subvencions</t>
  </si>
  <si>
    <t>Gestió de l'inventari de bens mobles i inmobles</t>
  </si>
  <si>
    <t>SITMUN - Corporatiu SIG Sistema d’Informació geogràfica</t>
  </si>
  <si>
    <t>Sistema d’Informació geogràfica municipal</t>
  </si>
  <si>
    <t>Eina per a la valoració de diagnosi social</t>
  </si>
  <si>
    <t>Eina per al càlcul del copagament SSAD i teleassistència</t>
  </si>
  <si>
    <t>Gestió d'expedients atenció primària serveis socials</t>
  </si>
  <si>
    <t>Sistema de gestió de les auditories pobresa energètica</t>
  </si>
  <si>
    <t>Portal de transparència municipal</t>
  </si>
  <si>
    <t>Catàleg de tràmits i eina de tramitació digital</t>
  </si>
  <si>
    <t>Seu electrònica</t>
  </si>
  <si>
    <t>Gestió de serveis bibliotecaris</t>
  </si>
  <si>
    <t>SIERRA - eina de gestió de serveis bibliotecaris</t>
  </si>
  <si>
    <t>Consorci AOC</t>
  </si>
  <si>
    <t>Ajuntament</t>
  </si>
  <si>
    <t>Gestió de representacions</t>
  </si>
  <si>
    <t>Sistema de cita prèvia</t>
  </si>
  <si>
    <t>Sistema de gestió d'impostos municipals</t>
  </si>
  <si>
    <t>Sistema de gestió de personal</t>
  </si>
  <si>
    <t>Control horari</t>
  </si>
  <si>
    <t>Gestió d'incidències a la via pública i manteniment d'equipaments</t>
  </si>
  <si>
    <t>Gestió de residus</t>
  </si>
  <si>
    <t>Gestió dels sistemes de videovigilància</t>
  </si>
  <si>
    <t>Gestió policial d'atestats</t>
  </si>
  <si>
    <t>Gestió de sancions</t>
  </si>
  <si>
    <t>Gestió d'aparcaments</t>
  </si>
  <si>
    <t>Web municipal</t>
  </si>
  <si>
    <t>Eina de gestió de la participació</t>
  </si>
  <si>
    <t>PMH - Berger levrault</t>
  </si>
  <si>
    <t>Gestiona</t>
  </si>
  <si>
    <t>ORACLE</t>
  </si>
  <si>
    <t>EPSILOM</t>
  </si>
  <si>
    <t>GIA - desenvolupament propi</t>
  </si>
  <si>
    <t>Desenvolupament propi</t>
  </si>
  <si>
    <t>PCOM - desenvolupament propi</t>
  </si>
  <si>
    <t>IMAGINA - desenvolupament propi</t>
  </si>
  <si>
    <t>XALOC - desenvolupament propi</t>
  </si>
  <si>
    <t>SITMUN - desenvolupament propi</t>
  </si>
  <si>
    <t>DS-DIBA - desenvolupament propi</t>
  </si>
  <si>
    <t>TASSAD - desenvolupament propi</t>
  </si>
  <si>
    <t>HÈSTIA - desenvolupament propi</t>
  </si>
  <si>
    <t>SIAPE - desenvolupament propi</t>
  </si>
  <si>
    <t>SIERRA - desenvolupament propi</t>
  </si>
  <si>
    <t>SICALWIN - Berger Levrault</t>
  </si>
  <si>
    <t>ACCEDE-SUB - Berger Levrault</t>
  </si>
  <si>
    <t>GPA - Berger Levrault</t>
  </si>
  <si>
    <t>CKAN</t>
  </si>
  <si>
    <t>Base de dades Access</t>
  </si>
  <si>
    <t>Representa</t>
  </si>
  <si>
    <t>ORGT</t>
  </si>
  <si>
    <t>Participa311</t>
  </si>
  <si>
    <t>Padró i identitat ciutadana (antic Població)</t>
  </si>
  <si>
    <t>Cultura i gestió del patrimoni cultural i històric (formulat anteriorment com Cultura i patrimoni)</t>
  </si>
  <si>
    <t>Conté informació de consums, avaries i ordres de treball. Ajuda a prioritzar reparacions, optimitzar energia i comprovar el compliment del contracte de manteniment.</t>
  </si>
  <si>
    <t xml:space="preserve">Consum energètic </t>
  </si>
  <si>
    <t>Registra avisos de desperfectes, mobiliari malmès, manteniment enllumenat, senyalització, semàfors i petites reparacions. Permet assignar brigades, controlar terminis, informar la ciutadania i analitzar punts amb més recurrència d'incidències.</t>
  </si>
  <si>
    <t xml:space="preserve">Inclou edificis, locals, solars, vehicles, equipaments, mobiliari urbà, punts enllumenat, inventari patrimonial, sensors, equip informàtic, llicències, etc.
</t>
  </si>
  <si>
    <t>Informació territorial i geoespacial</t>
  </si>
  <si>
    <t>Mobilitat i trànsit</t>
  </si>
  <si>
    <t xml:space="preserve">Explicació breu i entenedora de per a què serveix el sistema i quins processos o serveis municipals hi dona suport. Indica també des de quan conté dades. </t>
  </si>
  <si>
    <t>Tramitació administrativa</t>
  </si>
  <si>
    <t>Conjunt de dades amb el detall dels expedients administratius, el seu estat, tipus d'interessat, sèrie documental, temps de resolució entre d'altres</t>
  </si>
  <si>
    <t>Nivell d'accés</t>
  </si>
  <si>
    <t>Organització</t>
  </si>
  <si>
    <t>Públiques</t>
  </si>
  <si>
    <t>Retenció</t>
  </si>
  <si>
    <t>Si No</t>
  </si>
  <si>
    <t>Parcialment</t>
  </si>
  <si>
    <t>Dades obertes</t>
  </si>
  <si>
    <t>Previst a futur</t>
  </si>
  <si>
    <t>Pendent d'anàlisi</t>
  </si>
  <si>
    <t>Restriccions dades obertes</t>
  </si>
  <si>
    <t>Observacions</t>
  </si>
  <si>
    <t>Disponibilitat històrica</t>
  </si>
  <si>
    <t>PERSISTENCIA</t>
  </si>
  <si>
    <t>RETENCIO</t>
  </si>
  <si>
    <t>Dades transaccionals (es modifiquen constantment)</t>
  </si>
  <si>
    <t>Dades històriques (es mantenen per consulta, però no es modifiquen)</t>
  </si>
  <si>
    <t>Dades arxivades (ja no s'utilitzen activament, però es conserven)</t>
  </si>
  <si>
    <t>No hi ha una política definida</t>
  </si>
  <si>
    <t>Retenció indefinida (les dades no s'eliminen)</t>
  </si>
  <si>
    <t>Retenció segons polítiques internes</t>
  </si>
  <si>
    <t>Retenció per un període fix (ex. 1, 5, 10 anys)</t>
  </si>
  <si>
    <t>Arxiu després d'un període d'inactivitat</t>
  </si>
  <si>
    <t>Persistència</t>
  </si>
  <si>
    <t>Àrea</t>
  </si>
  <si>
    <t>Tipus Conjunt de dades</t>
  </si>
  <si>
    <t>Dades de referència</t>
  </si>
  <si>
    <t>De negoci</t>
  </si>
  <si>
    <t>Data mestra</t>
  </si>
  <si>
    <t>Tipus conjunt de dades</t>
  </si>
  <si>
    <t>Candidat a dades de referència / dades mestres</t>
  </si>
  <si>
    <t>Categoria alt valor</t>
  </si>
  <si>
    <t>Geoespacial</t>
  </si>
  <si>
    <t>Observació de la terra i el medi ambient</t>
  </si>
  <si>
    <t>Meteorologia</t>
  </si>
  <si>
    <t>Estadística</t>
  </si>
  <si>
    <t>Societats i propietat de societat</t>
  </si>
  <si>
    <t>Categoria de les dades d'alt valor</t>
  </si>
  <si>
    <t>No aplica</t>
  </si>
  <si>
    <t>Informació o conjunt de dades que, per la seva rellevància, impacte o utilitat, és considerat especialment important per a la societat, l'economia o les institucions públiques, segons la normativa europea de HVD Directiva (UE) 2019/1024.Existèixen les següents possibilitats:
  • Geoespacial
  • Observació de la terra i el medi ambient
  • Meteorologia
  • Estadística
  • Societats i propietat de societat
  • Mobilitat</t>
  </si>
  <si>
    <t>Qualsevol informació addicional o comentari que ajudi a entendre millor el conjunt de dades</t>
  </si>
  <si>
    <t>Criteris de retenció de les dades que apliquen al conjunt de dades</t>
  </si>
  <si>
    <t>Data des de la que hi ha dades disponibles</t>
  </si>
  <si>
    <t>Quines restriccions hi ha per obrir el conjunt de dades a Dades Obertes</t>
  </si>
  <si>
    <t>Tecnologies: serveis i seguretat digitals</t>
  </si>
  <si>
    <t>Quadre de classificació documental</t>
  </si>
  <si>
    <t>Control conjunts de dades</t>
  </si>
  <si>
    <t>Control sistemes d'informació</t>
  </si>
  <si>
    <t>PENDENTS DE DADES COHERENTS</t>
  </si>
  <si>
    <t>Calculat automàticament</t>
  </si>
  <si>
    <t>Núm. Conjunts de dades</t>
  </si>
  <si>
    <t>Càlcul automàtic de quants conjunts de dades hi ha relacionats amb el domini de dades, es calcula a partir de les dades de la pestanya "Conjunts de dades". Les caselles en vermell corresponen als registres que descriuen dominis de dades sense cap conjunt de dades relacionat.</t>
  </si>
  <si>
    <t>Càlcul automàtic de quants conjunts de dades hi ha relacionats amb el sistema d'informació, es calcula a partir de les dades de la pestanya "Rel.Conjunts-Sistemes". Les caselles en vermell corresponen als registres que descriuen sistemes d'informació sense cap conjunt de dades relacionat.</t>
  </si>
  <si>
    <t>Núm. Sistemes d'indormació</t>
  </si>
  <si>
    <t>Núm. Dominis de dades</t>
  </si>
  <si>
    <t>Càlcul automàtic de si el dominis de dades relacionat al camp domini de dades és coherent amb els dominis de dades descrita  a la pestanya "Dominis de dades". Les caselles en vermell corresponen als registres que descriuen conjunts de dades sense un domini de dades coherent.</t>
  </si>
  <si>
    <t>Càlcul automàtic de quants sistemes d'informació hi ha relacionats amb el conjun de dades, es calcula a partir de les dades de la pestanya "Rel.Conjunts-Sistemes". Les caselles en vermell corresponen als registres que descriuen conjunts de dades sense cap sistema d'informació relacionat.</t>
  </si>
  <si>
    <t>Incoherència de dades</t>
  </si>
  <si>
    <t>Publicació d'informació incorrecta</t>
  </si>
  <si>
    <t>Registres duplicats</t>
  </si>
  <si>
    <t>Riscos associats</t>
  </si>
  <si>
    <t>Exposició de dades (menors, personals, sensibles o socials)</t>
  </si>
  <si>
    <t>Filtració o fuita de dades</t>
  </si>
  <si>
    <t>Pèrdua de dades</t>
  </si>
  <si>
    <t>Ús previst de les dades</t>
  </si>
  <si>
    <t>Nom del responsable del Conjunt de dades (Propietari de dades)</t>
  </si>
  <si>
    <t>Detall de la persistència de les dades. Temps que les dades es queden en entorns productius</t>
  </si>
  <si>
    <t>Accés o ús indegut</t>
  </si>
  <si>
    <t>Falta de traçabilitat i evidències sobre la gestió de les dades</t>
  </si>
  <si>
    <t>Falta de seguiment o auditories sobre accessos i usos</t>
  </si>
  <si>
    <t>Falta de pla de resposta a incidents</t>
  </si>
  <si>
    <t>Intern departamental</t>
  </si>
  <si>
    <t>Intern transversal</t>
  </si>
  <si>
    <t>Intern multiorganisme</t>
  </si>
  <si>
    <t>Extern obert</t>
  </si>
  <si>
    <t>Conté dades de gènere u orientació sexual?</t>
  </si>
  <si>
    <t>Conté dades personals?</t>
  </si>
  <si>
    <t>Conté dades de salut?</t>
  </si>
  <si>
    <t>Conté dades confidencials de l'ens local?</t>
  </si>
  <si>
    <t>Nom del gestor del Conjunt de dades</t>
  </si>
  <si>
    <t>Nom del custodi del Conjunt de dades</t>
  </si>
  <si>
    <t>Persona encarregada de la gestió operativa de les dades. Té la capacitat de decidir que es guarda en aquest conjunt de dades.</t>
  </si>
  <si>
    <t>Persona responsable de la infraestructura tècnica de les dades. Te la capacitat de decidir com es guarda aquest conjunt de dades.</t>
  </si>
  <si>
    <t>Càrrec  del Gestor/a dins l'organització.</t>
  </si>
  <si>
    <t>Càrrec  del custodi dins l'organització.</t>
  </si>
  <si>
    <t>Conté dades biomètriques?</t>
  </si>
  <si>
    <t>Varis</t>
  </si>
  <si>
    <t>Arxiu en un sistema separat</t>
  </si>
  <si>
    <t>Retenció segons normativa legal</t>
  </si>
  <si>
    <t>Anàlisi Riscos</t>
  </si>
  <si>
    <t>Indica el tipus de conjunt de dades, existeixen les següents possibilitats:
 - Dades de referència: dades amb la finalitat de facilitar la classificació i la gestió de la informació. 
 - De negoci:  dades que descriuen conceptes clau de l’ens local de manera precisa, estandarditzada i consistent. Aquests ajuden a contextualitzar les dades i asseguren que tots els usuaris tenen una comprensió comuna d’aquests.
 - Mestra: dades comunes i compartides a tota l’organització que descriuen conceptes clau per a l’ens local i proporcionen context per a la seva activitat. Representen perímetres determinats de dades, acotats de forma consensuada, i que serveixen com a referència transversal per a tota l'organització o una part.
  - Dades de referència / mestres no homogeneïtzades: dades que s'identifiquen com a rellevants per a ser considerades dades de referència / mestres, però que tenen un origen diferent a l'oficial.
  - Candidat a dades de referència / dades mestres: dada identificada com a possible dada de referència o mestra, que encara està en procés d'avaluació per determinar si compleix els criteris per ser-ho.</t>
  </si>
  <si>
    <t>Conté dades d'ideologia o creences?</t>
  </si>
  <si>
    <t>Marqueu "Sí" quan  el conjunt de dades conté:
 - Dades específiques d'orientació sexual, identitat de gènere o nom sentit.
 - Dades recollides en serveis d'atenció LGTBI, protocols contra la LGTBI-fòbia o violència per raó d'orientació/identitat.
 - Informació sobre processos de transició de gènere.</t>
  </si>
  <si>
    <t>Marqueu "Sí" quan  el conjunt de dades conté:
 - Registres de composició de meses electorals o participació política identificable.
 - Dades sobre creences religioses (p.e. menús escolars per motiu religiós, cementiris confessionals, cessió d'espais de culte).
 - Dades d'afiliació sindical (p.e. descompte de quota sindical en nòmina, crèdit horari sindical).
 - Dades de participació identificable en consultes o processos amb component ideològic explícit.</t>
  </si>
  <si>
    <t>Marqueu "Sí" quan  el conjunt de dades conté:
 - Dades de control d'accés o de presència mitjançant empremta dactilar, reconeixement facial o de veu.
 - Signatura biomètrica dinàmica (captura de pressió, velocitat i traç, no una simple imatge escanejada).
 - Videovigilància únicament quan incorpora reconeixement facial automàtic actiu (identificació unívoca).</t>
  </si>
  <si>
    <t>Marqueu "Sí" quan  el conjunt de dades conté:
 - Certificats mèdics i informes de baixa laboral quan el motiu és identificable o se'n pot deduir el diagnòstic.
 - Graus de discapacitat o de dependència.
 - Dades de serveis socials relacionades amb addiccions, salut mental o atenció a la dependència.
 - Al·lèrgies o intoleràncies alimentàries en menjadors escolars o casals.
 - Dades de vacunació o d'aptitud física.</t>
  </si>
  <si>
    <t>Marqueu "Sí" quan  el conjunt de dades conté:
 - Informes jurídics o dictàmens interns previs a una decisió, mentre no siguin públics.
 - Ofertes econòmiques d'empreses en processos de contractació encara no resolts.
 - Informes d'auditoria interna, control financer o intervenció amb detecció d'irregularitats.
 - Esborranys de pressupostos o plans urbanístics en fase d'estudi, previs a la seva aprovació.
 - Informació operativa de seguretat ciutadana no divulgable.</t>
  </si>
  <si>
    <t>Marqueu "Sí" quan  el conjunt de dades conté:
 - Usuaris i contrasenyes, tokens, certificats digitals o claus d'API.
 - Registres (logs) d'accés a sistemes o edificis amb marca horària i identificació d'usuari.
 - Plans de seguretat, plans d'autoprotecció o protocols d'emergència amb informació sensible d'infraestructures crítiques.
 - Imatges de videovigilància amb finalitat de seguretat (a més de marcar-se com a dada personal, cal indicar també aquesta categoria).</t>
  </si>
  <si>
    <t>Existeix el risc de representar la mateixa dada de manera diferent en més d'un lloc?</t>
  </si>
  <si>
    <t>Existeix el risc de que hi hagi dades que no reflecteixin la realitat actual?</t>
  </si>
  <si>
    <t>Existeix el risc de que hi hagi dades que no hagin passat validacions de qualitat?</t>
  </si>
  <si>
    <t>Existeix el risc de dades repetides?</t>
  </si>
  <si>
    <t>Existeix el risc de que algú, que no hagi de tenir accés, pugui accedir a dades sensibles?</t>
  </si>
  <si>
    <t>Existeix el risc de algú pugui utilitzar les dades per a una finalitat diferent a l'autoritzada?</t>
  </si>
  <si>
    <t>Existeix el risc d'exposició indeguda de dades sensibles?</t>
  </si>
  <si>
    <t>Existeix el risc de que les dades surtin de l'àmbit de control de l'ens local per error o per un atac?</t>
  </si>
  <si>
    <t>Existeix el risc de pèrdua de disponibilitat de les dades i dels sistemes?</t>
  </si>
  <si>
    <t>Existeix el risc de pèrdua definitiva de dades?</t>
  </si>
  <si>
    <t>Existeix el risc de no saber qui, quan i com s'ha fet un canvi a les dades?</t>
  </si>
  <si>
    <t>Existeix el risc de no hi hagi procediments documentats de com actuar davant un incident amb les dades?</t>
  </si>
  <si>
    <t>L'espai de treball on les dades són necessàries o es poden utilitzar, ja sigui dins un únic servei, compartides entre diverses àrees o en col·laboració amb entitats externes, indicant el nivell de coordinació que això comporta.
L’abast organitzatiu pot ser:
 - Intern departamental
 - Intern transversal
 - Intern multiorganisme
 - Extern obert</t>
  </si>
  <si>
    <t>Conté dades de seguretat i accés?</t>
  </si>
  <si>
    <t>Rols i responsabilitats</t>
  </si>
  <si>
    <t>Càrrec del responsable del conjunt de dades</t>
  </si>
  <si>
    <t>Càrrec del gestor del conjunt de dades</t>
  </si>
  <si>
    <t>Càrrec del custodi del conjunt de dades</t>
  </si>
  <si>
    <t>Existeix el risc de que les dades i els accessos no siguin revisats o auditats de forma periòdica?</t>
  </si>
  <si>
    <t>Marqueu "Sí" quan  el conjunt de dades conté:
 - Noms, cognoms, DNI/NIF, adreça, telèfon, correu electrònic, matrícula, IP o qualsevol identificador d'expedient vinculat a una persona física concreta.
 - Dades pseudonimitzades o xifrades que l'ens pugui re-identificar amb informació addicional que ja posseeix.
 - Dades de contacte d'una persona física que actua en representació d'una persona jurídica (nom i cognoms del representant).</t>
  </si>
  <si>
    <t>Inventari de finques agrícoles i forestals</t>
  </si>
  <si>
    <t>Inventari de l'Arbrat Urbà i Zones Verdes</t>
  </si>
  <si>
    <t>Registre Municipal de Parelles de Fet</t>
  </si>
  <si>
    <t>Cens d'Activitats de Risc i Plans d'Autoprotecció (PAU)</t>
  </si>
  <si>
    <t>Registre anonimitzat del perfil sociodemogràfic dels demandants d'ocupació (edat, gènere, nivell d'estudis, sector professional, temps en atur).</t>
  </si>
  <si>
    <t>Detall de les ofertes gestionades (sector, tipus de contracte, requisits) i indicadors d'eficiència (temps mitjà per cobrir la vacant).</t>
  </si>
  <si>
    <t>Indicador econòmic i cens geolocalitzat dels establiments comercials sense activitat a peu de carrer, orientat a plans de dinamització comercial.</t>
  </si>
  <si>
    <t>Delimitació geogràfica, parcel·lari, serveis disponibles i directori d'empreses ubicades a les zones industrials de la localitat.</t>
  </si>
  <si>
    <t>Flux de documents de la corporació (presencial i online) amb indicació del canal d'entrada/sortida, tipus de document i classificació.</t>
  </si>
  <si>
    <t>Registre oficial de subvencions concedides a entitats i ciutadans, estructurat segons els camps de la Base de Dades Nacional de Subvencions (BDNS).</t>
  </si>
  <si>
    <t>Matriu de contribuents i objectes tributaris subjectes a impostos i taxes municipals (IBI, IVTM, Taxa de Residus) garantint l'anonimització.</t>
  </si>
  <si>
    <t>Informació sobre el valor cadastral, superfícies de parcel·les, anys de construcció i referències cadastrals del terme.</t>
  </si>
  <si>
    <t>Cens geolocalitzat de centres educatius, instal·lacions esportives, casals, teatres, biblioteques i espais administratius de titularitat pública.</t>
  </si>
  <si>
    <t>Registre dels treballs de reparació, pintura, fusteria o paleta realitzats de forma directa o subcontractada als edificis municipals i carrers.</t>
  </si>
  <si>
    <t>Inventari de terrenys, parcel·les i sostres de propietat pública destinats per llei a la construcció d'habitatges protegits.</t>
  </si>
  <si>
    <t>Parc d'habitatges públics de lloguer, immobles assignats a programes de mediació o a la bossa de lloguer municipal.</t>
  </si>
  <si>
    <t>Llistat exhaustiu de persones i unitats familiars inscrites al registre de demandants d'habitatge protegit amb dades de renda.</t>
  </si>
  <si>
    <t>Registre agregat i anònim de casos atesos per risc d'exclusió residencial, execucions hipotecàries o mediacions de lloguer (SIDH).</t>
  </si>
  <si>
    <t>Inspecció Tècnica d'Edificis (ITE)</t>
  </si>
  <si>
    <t>Estat de conservació del parc immobiliari privat: relació de finques que han passat la ITE, resultats i requeriments de rehabilitació.</t>
  </si>
  <si>
    <t>Padró Municipal d'Habitants i Demografia</t>
  </si>
  <si>
    <t>Històric i xifres oficials de la població resident agrupada per seccions censals, edats, gèneres, altes i baixes.</t>
  </si>
  <si>
    <t>Nomenclàtor de Vies Públiques i Numeració Postal</t>
  </si>
  <si>
    <t>Registre oficial i unificat de noms de carrers, places, avingudes i codis de numeració postal associats del municipi.</t>
  </si>
  <si>
    <t>Cartografia de la Xarxa Viària i Carrers</t>
  </si>
  <si>
    <t>Eixos viaris, traçats de carrers, sentits de la marxa, amplades de via i dades espacials del callejero municipal.</t>
  </si>
  <si>
    <t>Elements Tècnics del Pla de Protecció Civil (DUPROCIM)</t>
  </si>
  <si>
    <t>Inventari de recursos, zones de risc, hidrants i elements crítics definits en el pla d'emergència municipal (SITMUN/PCOM).</t>
  </si>
  <si>
    <t>Llistat d'establiments obligats a tenir un pla d'autoprotecció homologat (discoteques, recintes de gran aforament, indústries).</t>
  </si>
  <si>
    <t>Inscripcions i Formació de Treballadors Públics</t>
  </si>
  <si>
    <t>Registre del personal de l'ens local inscrit a les accions de capacitació i cursos de formació contínua (DIBA o propis).</t>
  </si>
  <si>
    <t>Gestió de Nòmines i Costos de Personal</t>
  </si>
  <si>
    <t>Estructura agregada de despeses de personal, retencions d'IRPF, cotitzacions a la Seguretat Social, tipus de contractes i altes/baixes.</t>
  </si>
  <si>
    <t>Gestió de Personal: Plantilla i Relació de Llocs de Treball (RLT)</t>
  </si>
  <si>
    <t>Taula unificada que detalla l'organigrama municipal: llocs físics de treball, funcions, categories professionals i dades del personal.</t>
  </si>
  <si>
    <t>Històric d'accidents laborals ocorreguts als treballadors públics, tipologia del succés, data, hora, àrea afectada i dies de baixa.</t>
  </si>
  <si>
    <t>Directori de Contacte del Personal de l'Ens Local</t>
  </si>
  <si>
    <t>Indicadors de Sostenibilitat: Consums i Canvi Climàtic</t>
  </si>
  <si>
    <t>Sèries temporals de consum d'energia, aigua i residus dels equipaments públics per a l'inventari d'emissions (PAESC) i vulnerabilitat.</t>
  </si>
  <si>
    <t>Recollida i Gestió de Residus Municipals</t>
  </si>
  <si>
    <t>Dades de tones de residus recollides fraccionades (rebuig, orgànica, paper, vidre, envasos) i estadístiques de la deixalleria.</t>
  </si>
  <si>
    <t>Cens geomàtic de tots els arbres plantats a la via pública, espècies vegetals de parcs i paratges urbans de manteniment municipal.</t>
  </si>
  <si>
    <t>Fons Documental de l'Arxiu Municipal</t>
  </si>
  <si>
    <t>Catàleg, índex i quadre de classificació dels fons documentals històrics i administratius conservats a l'arxiu de la vila.</t>
  </si>
  <si>
    <t>Fons Fotogràfic i Audiovisual de l'Arxiu</t>
  </si>
  <si>
    <t>Catàleg d'imatges històriques i modernes registrades o cedides a l'ajuntament, amb metadades de data, autor i temàtica.</t>
  </si>
  <si>
    <t>Inventari de Béns Culturals d'Interès Local (BCIL)</t>
  </si>
  <si>
    <t>Catàleg de monuments, obres i elements d'alt valor històric definits sota la protecció de la figura jurídica de BCIL.</t>
  </si>
  <si>
    <t>Catàleg de Protecció del Patrimoni Arquitectònic i Paisatgístic</t>
  </si>
  <si>
    <t>Llistat detallat d'edificis protegits, façanes, conjunts històrics i jaciments arqueològics (inclou el nivell BCIL i BCIN).</t>
  </si>
  <si>
    <t>Usuaris i Préstecs de la Xarxa de Biblioteques</t>
  </si>
  <si>
    <t>Activitat del servei bibliotecari local gestionat de forma centralitzada: altes d'usuaris, catàleg de volums disponibles i préstecs (DIBA).</t>
  </si>
  <si>
    <t>Venda d'Entrades per a Activitats Culturals (Ticketing)</t>
  </si>
  <si>
    <t>Dades de consum cultural: volum d'entrades venudes, aforaments de teatres/concerts municipals i tipologia de tarifes.</t>
  </si>
  <si>
    <t>Agenda d'Activitats i Esdeveniments Municipals</t>
  </si>
  <si>
    <t>Programació pública d'actes institucionals, culturals, esportius i de lleure que es fan al municipi.</t>
  </si>
  <si>
    <t>Xarxes d'Infraestructures de Serveis i Subministraments</t>
  </si>
  <si>
    <t>Cartografia de les xarxes subterrànies i aèries: clavegueram, aigua potable, pluvials, hidrants, enllumenat i fibra òptica.</t>
  </si>
  <si>
    <t>Cens geolocalitzat de punts de llum, fanals, tipus de lluminàries (LED/vapor de sodi), quadres elèctrics i consum.</t>
  </si>
  <si>
    <t>Inventari de Béns Mobles, Immobles i Vehicles</t>
  </si>
  <si>
    <t>Registre legal i obligatori de tots els actius patrimonials, finques, edificis, parcs de vehicles i drets de propietat de l'Ajuntament.</t>
  </si>
  <si>
    <t>Atenció i Intervenció en Serveis Socials</t>
  </si>
  <si>
    <t>Matriu de dades d'indicadors de vulnerabilitat social i atencions bàsiques realitzades pels equips de serveis socials de l'ens local.</t>
  </si>
  <si>
    <t>Prestacions de Protecció Social per Unitat Familiar</t>
  </si>
  <si>
    <t>Dades agregades de l'ajuda econòmica o de serveis atorgats a nuclis familiars (menjadors escolars, ajuts d'urgència, targetes).</t>
  </si>
  <si>
    <t>Dades del Servei d'Atenció Domiciliària (SAD)</t>
  </si>
  <si>
    <t>Indicadors del servei assistencial a les llars: nombre de beneficiaris, hores de servei prestades, perfil d'usuaris i assistència.</t>
  </si>
  <si>
    <t>Dades del Servei de Teleassistència Municipal</t>
  </si>
  <si>
    <t>Registre d'usuaris del servei de polsador d'emergències (perfil d'edat, ràtio d'alertes resoltes, dispositius actius).</t>
  </si>
  <si>
    <t>Atenció Integral a les Dones (Servei SIAD)</t>
  </si>
  <si>
    <t>Estadístiques anònimes dels expedients assistencials en l'àmbit de la igualtat i atenció a dones en situació de violència (Hèstia).</t>
  </si>
  <si>
    <t>Atenció al Col·lectiu LGTBI (Servei SAI)</t>
  </si>
  <si>
    <t>Indicadors de les consultes i expedients atesos pel Servei d'Atenció Integral LGTBI per discriminació o assessorament (Hèstia).</t>
  </si>
  <si>
    <t>Registre d'Habitatges d'Ús Turístic (HUT)</t>
  </si>
  <si>
    <t>Llistat de llicències concedides per a apartaments i habitatges vacacionals reglats, amb capacitat de places i ubicació.</t>
  </si>
  <si>
    <t>Ocupacions del Sòl i Terrasses a la Via Pública</t>
  </si>
  <si>
    <t>Llicències vigents per a la instal·lació de terrasses de bars (taules, cadires, tendals) subjectes a taxa de via pública.</t>
  </si>
  <si>
    <t>Oferta Formativa i Educació al Municipi</t>
  </si>
  <si>
    <t>Catàleg de cursos, tallers i programes educatius adreçats a la ciutadania (escoles d'adults, tallers de cultura, formació).</t>
  </si>
  <si>
    <t>Dades d'Alumnes d'Escoles Municipals</t>
  </si>
  <si>
    <t>Registre d'Entitats, Associacions i Clubs Locals</t>
  </si>
  <si>
    <t>Cens públic i actualitzat d'entitats veïnals, culturals, esportives, juvenils i de comerciants inscrites al registre municipal.</t>
  </si>
  <si>
    <t>Gestió de la Cita Prèvia Municipal</t>
  </si>
  <si>
    <t>Indicadors del servei de reserves d'atenció: volum de cites sol·licitades per departament, temps d'espera i absentisme.</t>
  </si>
  <si>
    <t>Bústia de Queixes, Suggeriments i Propostes</t>
  </si>
  <si>
    <t>Registre de les comunicacions ciutadanes de millora, classificades per temàtica, estat del tràmit i temps de resposta.</t>
  </si>
  <si>
    <t>Indicadors de l'Atenció Ciutadana Presencial (OAC)</t>
  </si>
  <si>
    <t>Estadístiques d'atenció als taulells de l'Oficina d'Atenció Ciutadana: tràmits demanats, temps d'atenció i franges horàries.</t>
  </si>
  <si>
    <t>Interaccions i Consultes del Conversador Virtual (Chatbot)</t>
  </si>
  <si>
    <t>Registre de converses anònimes processades pel servei de chatbot: preguntes freqüents, respostes i ràtio de resolució.</t>
  </si>
  <si>
    <t>Registre de llicències ambientals, comunicacions prèvies i autoritzacions d'activitats permeses en locals del municipi.</t>
  </si>
  <si>
    <t>Avaluació i Qualitat dels Serveis Públics</t>
  </si>
  <si>
    <t>Control Analític de l'Aigua de Consum Humà</t>
  </si>
  <si>
    <t>Resultats dels controls de potabilitat, presència de clor, bacteris i paràmetres químics de l'aigua de boca de la xarxa.</t>
  </si>
  <si>
    <t>Dades Analítiques de Fonts Públiques i Piscines</t>
  </si>
  <si>
    <t>Paràmetres periòdics de qualitat de l'aigua, nivells de clor, pH, controls bacteriològics i estat sanitari de les piscines i fonts.</t>
  </si>
  <si>
    <t>Inventari i Cartografia de Camins Públics i Forestals</t>
  </si>
  <si>
    <t>Catàleg complet amb validesa jurídica i de traçat de la xarxa de camins rurals, pistes forestals i senders de titularitat pública.</t>
  </si>
  <si>
    <t>Registre de les publicacions obligatòries, ordenances aprovades, anuncis de licitació i notificacions exposades al tauler digital.</t>
  </si>
  <si>
    <t>Inventari de Finques Agrícoles i Forestals</t>
  </si>
  <si>
    <t>Mapificació, delimitació de parcel·les i règim de propietat del sòl d'explotació agrícola i àrees boscoses del municipi.</t>
  </si>
  <si>
    <t>Reclamacions i Denúncies de Consum (OMIC)</t>
  </si>
  <si>
    <t>Gestió de l'Oficina Municipal d'Atenció al Consumidor: expedients oberts, sectors amb més reclamacions, temps de mediació i imports.</t>
  </si>
  <si>
    <t>Registre d'Actuacions i Incidències de la Policia Local</t>
  </si>
  <si>
    <t>Diari d'intervencions de seguretat: fets delictius, avisos per soroll, vandalisme, vehicles al dipòsit i vehicles abandonats.</t>
  </si>
  <si>
    <t>Registre de Sancions i Infraccions de la Policia Local</t>
  </si>
  <si>
    <t>Base de dades de multes de trànsit, infraccions de les ordenances de civisme i actes aixecades pels agents de l'autoritat.</t>
  </si>
  <si>
    <t>Accidents de Trànsit Urbà (Integració SIDAT)</t>
  </si>
  <si>
    <t>Dades d'accidents al nucli urbà amb víctimes o danys materials: perfil dels conductors, proves d'alcoholèmia, causes (SCT).</t>
  </si>
  <si>
    <t>Registre de Trucades i Atenció Telefònica</t>
  </si>
  <si>
    <t>Registre de la centraleta de l'ajuntament i del telèfon d'atenció ciutadana (volum de trucades, durada mitjana, derivacions).</t>
  </si>
  <si>
    <t>Llicències de Guals i Reserves d'Espai per a Càrrega</t>
  </si>
  <si>
    <t>Registre de concessions de guals (vados) operatius, reserves de càrrega i descàrrega i zones d'estacionament reservat.</t>
  </si>
  <si>
    <t>Targetes d'Estacionament Regulat i Autoritzacions</t>
  </si>
  <si>
    <t>Punts de Càrrega de Vehicles Elèctrics</t>
  </si>
  <si>
    <t>Geolocalització de les electrolineres públiques, estadístiques de consum (kW/h), ús i registre d'usuaris amb targeta municipal.</t>
  </si>
  <si>
    <t>Aforament i Intensitat de Trànsit al Municipi</t>
  </si>
  <si>
    <t>Volum de vehicles que circulen pels accessos obtingut mitjançant càmeres de lectura de matrícules (OCR) o espires magnètiques.</t>
  </si>
  <si>
    <t>Estadístiques de Visites de la Web Municipal</t>
  </si>
  <si>
    <t>Mètriques de trànsit digital, pàgines més visitades, procedència dels usuaris i temps de permanència (Google Analytics).</t>
  </si>
  <si>
    <t>Resultats històrics d'eleccions (municipals, autonòmiques, generals) desglossats per partits, vots en blanc, nuls i abstenció per mesa.</t>
  </si>
  <si>
    <t>Abonaments de les Instal·lacions Esportives i Piscines</t>
  </si>
  <si>
    <t>Registre de socis, modalitats de quotes d'abonament i accessos diaris registrats a la piscina municipal i complexos esportius.</t>
  </si>
  <si>
    <t>Cens d'Instal·lacions Esportives (Públiques i Privades)</t>
  </si>
  <si>
    <t>Inventari homologat de tots els espais, camps, pavellons i pistes on es practica esport al municipi, utilitzat per a la planificació.</t>
  </si>
  <si>
    <t>Suport Informàtic Intern i Gestió d'Incidències (HelpDesk)</t>
  </si>
  <si>
    <t>Volum de peticions dels treballadors de l'ajuntament, resolució de tiquets informàtics de maquinari, programari i temps mitjà.</t>
  </si>
  <si>
    <t>Catàleg d'Aplicacions i Llicències Corporatives</t>
  </si>
  <si>
    <t>Mapa de programari del consistori amb el llistat d'aplicacions en ús, llicències adquirides, proveïdors i dates de renovació.</t>
  </si>
  <si>
    <t>Registres d'Activitat i Seguretat Informàtica (Logs)</t>
  </si>
  <si>
    <t>Registre de tot el maquinari (servidors, ordinadors, pantalles, mòbils corporatius) de l'Ajuntament.</t>
  </si>
  <si>
    <t>Xarxa de Sensòrica Urbana (Internet de les Cotes - IoT)</t>
  </si>
  <si>
    <t>Fonts Locals, Pous i Punts d'Aigua</t>
  </si>
  <si>
    <t>Inventari de fonts d'aigua potable urbanes, fonts naturals de muntanya, pous municipals i basses forestals contra incendis.</t>
  </si>
  <si>
    <t>Registre d'Animals de Companyia</t>
  </si>
  <si>
    <t>Cens de mascotes (gossos, gats, ferrets) identificades amb microxip registrades al municipi per a la gestió de la convivència.</t>
  </si>
  <si>
    <t>Cens específic de gossos de races potencialment perilloses que compten amb la llicència administrativa obligatòria.</t>
  </si>
  <si>
    <t>Torres de Refrigeració i Control de la Legionel·losi</t>
  </si>
  <si>
    <t>Cens d'instal·lacions industrials, hotels o superfícies comercials amb torres de refrigeració per a la prevenció de brots de legionel·la.</t>
  </si>
  <si>
    <t>Llistat històric i vigent de les inscripcions d'unions civils no matrimonials formalitzades a l'ajuntament.</t>
  </si>
  <si>
    <t>Targetes d'Aparcament per a Persones amb Mobilitat Reduïda (PMR)</t>
  </si>
  <si>
    <t>Control i registre de targetes de transport lliurades a persones amb discapacitat per a l'ús de places de pàrquing reservades.</t>
  </si>
  <si>
    <t>Llistat i detall de convenis signats per l'Ajuntament amb altres administracions, entitats del tercer sector o empreses.</t>
  </si>
  <si>
    <t>Agenda de reunions, trobades institucionals i relació d'actors privats o sectorials rebuts pels càrrecs electors de l'ajuntament.</t>
  </si>
  <si>
    <t>Estructura de càrrecs polítics i de confiança, les seves retribucions oficials i el registre públic de la seva declaració de béns i activitats.</t>
  </si>
  <si>
    <t>Cens d'Activitas de Risc i Plans d'Autoprotecció (PAU)</t>
  </si>
  <si>
    <t>Guia telefònica i de correu electrònic invisible dels treballadors públics agrupada per departaments.</t>
  </si>
  <si>
    <t>Inventari de l'Enllumenat Públic</t>
  </si>
  <si>
    <t>Registre de matriculacions a coles bressol municipals, escoles de música o centres de formació propis (edats, ràtios, beques).</t>
  </si>
  <si>
    <t>Subvencions Sol·licitades per Entitats i Associacions</t>
  </si>
  <si>
    <t>Resultats d'enquestes de satisfacció, indicadors de rendiment dels services obligatoris i auditories externes de qualitat.</t>
  </si>
  <si>
    <t>Infraestructura de Vies Ciclables i Vehicles de Mobilitat Personal (VMP)</t>
  </si>
  <si>
    <t>Inventari d'Actius Tecnològics (Actius TIC)</t>
  </si>
  <si>
    <t>Captació de dades en tempo real de sensors desplegats a la ciutat (qualitat de l'aire, nivell de soroll, ocupació de zones).</t>
  </si>
  <si>
    <t>Calendari d'Esdeveniments i Curses Esportives Urbanes</t>
  </si>
  <si>
    <t>Cronograma anual d'actes atlètics, tornejos o maratons que requereixen l'ús o tall programat de la via pública municipal.</t>
  </si>
  <si>
    <t>Actuacions de Desinfestació i Control de Plagues Urbanes</t>
  </si>
  <si>
    <t>Registre de tractaments i avisos resolts per al control de rosegadors, insectes, coloms o altres vectors a l'espai públic.</t>
  </si>
  <si>
    <t>Inspeccions Sanitàries d'Establiment Alimentaris i Consum</t>
  </si>
  <si>
    <t>Auditories, controls de cadenes de fred i registres d'inspecció de mercats municipals, comerços d'alimentació o menjadors públics.</t>
  </si>
  <si>
    <t>Registre d'activitats econòmiques de la ciutat actives a peu de carrer o en oficines, classificades per sector econòmic.</t>
  </si>
  <si>
    <t>Traçabilitat de la gestió interna: expedients oberts, procediment, sèrie documental, àrea responsable, terminis de resolució i estat actual.</t>
  </si>
  <si>
    <t>Estructura jeràrquica de referència utilitzada per a l'organització, codificació i emmagatzematgede la informació dins de l'organització.</t>
  </si>
  <si>
    <t>Sol·licitants d'ocupació del servei local d'ocupació</t>
  </si>
  <si>
    <t>Ofertes de treball del servei local d'ocupació</t>
  </si>
  <si>
    <t>Cens de locals comercials buits</t>
  </si>
  <si>
    <t>Cens d'empreses, comerços i establiments</t>
  </si>
  <si>
    <t>Polígons de l'activitat econòmica i industrial</t>
  </si>
  <si>
    <t>Tramitació i expedients administratius</t>
  </si>
  <si>
    <t>Registre general d'entrada i sortida de documents</t>
  </si>
  <si>
    <t>Registre municipal de convenis i acords institucionals</t>
  </si>
  <si>
    <t>Taulell d'anuncis i edictes oficials</t>
  </si>
  <si>
    <t>Resultats electorals per mesa i secció censal</t>
  </si>
  <si>
    <t>Subvencions i ajuts Atorgats</t>
  </si>
  <si>
    <t>Tresoreria: pagaments, ingressos i indicador de morositat</t>
  </si>
  <si>
    <t>Dades financeres de pagaments, amb informació de temps mig de pagament a proveïdors i ingressos.</t>
  </si>
  <si>
    <t>Pressupost municipal i previsions financeres</t>
  </si>
  <si>
    <t>Detall de la planificació anual de despeses i ingressos de la corporació local i de les seves entitats adscrites.</t>
  </si>
  <si>
    <t>Execució del presupost municipal</t>
  </si>
  <si>
    <t>Seguiment en temps real o trimestral del grau de cumplimient del pressupost (despesa compromesa, pagaments realitzats i ingressos liquidats).</t>
  </si>
  <si>
    <t>Relació de contractes menors</t>
  </si>
  <si>
    <t>Detall de les contractacions i compres menors de la corporació amb detall d'import, proveïdor i objecte.</t>
  </si>
  <si>
    <t>Licitacions de l'ens local</t>
  </si>
  <si>
    <t>Detall dels concursos i licitacions de contractes de serveis, obres o subministraments incloent plecs i empreses adjudicatàries.</t>
  </si>
  <si>
    <t>Processos participatius i pressupostos participatius</t>
  </si>
  <si>
    <t>Detall dels processos, nombre de participants, propostes de la ciutadania, resultats de votacions populars i estat de l'execució de projectes derivats dels canals de participació municipal.</t>
  </si>
  <si>
    <t>Registre de l'agenda d'alts càrrecs amb grups d'Interès</t>
  </si>
  <si>
    <t>Organigrama polític i declaració de béns</t>
  </si>
  <si>
    <t>Actes del ple i decrets d'Alcaldia</t>
  </si>
  <si>
    <t>Dades d'acords aprovats en les sessions del Ple, de la Junta de Govern Local, així com les resolucions dictades per l'alcalde.</t>
  </si>
  <si>
    <t>Dades de cadastre municipal</t>
  </si>
  <si>
    <t>Planejament urbanístic i ordenació del territori</t>
  </si>
  <si>
    <t>Detall de les parcel·les, qualificacions del sòl, usos permesos i plans que li afecten.</t>
  </si>
  <si>
    <t>Inventari d'equipaments i edificis municipals</t>
  </si>
  <si>
    <t>Actuacions de manteniment en equipaments i via Pública</t>
  </si>
  <si>
    <t>Relació de projectes d'obres noves o de reurbanització amb pressupost, empresa adjudicatària, responsable tècnic i terminis.</t>
  </si>
  <si>
    <t>Actuacions de millora i obres a la via pública</t>
  </si>
  <si>
    <t>Inventari d'activitats del municipi</t>
  </si>
  <si>
    <t>Patrimoni municipal del sòl i de l'habitatge (PMSH)</t>
  </si>
  <si>
    <t>Registre municipal d'habitatges de lloguer públic i social</t>
  </si>
  <si>
    <t>Sol·licitants d'habitatge de protecció oficial (HPO)</t>
  </si>
  <si>
    <t>Drets socials</t>
  </si>
  <si>
    <t>Seguretat, civisme i policia local</t>
  </si>
  <si>
    <t>Registre de concessions funeràries</t>
  </si>
  <si>
    <t>Relació de les concessions administratives atorgades per a l'ús privatiu de sepultures, amb informació sobre titularitat, termini de vigència, renovacions i situació administrativa.</t>
  </si>
  <si>
    <t>Titulars de drets funeraris</t>
  </si>
  <si>
    <t>Registre de persones físiques o jurídiques titulars de concessions funeràries i dels drets associats a les unitats d'enterrament.</t>
  </si>
  <si>
    <t>Persones difuntes inhumades</t>
  </si>
  <si>
    <t>Registre de les persones enterrades al cementiri municipal, amb informació sobre la sepultura ocupada, dates d'inhumació i, si escau, exhumació o trasllat.</t>
  </si>
  <si>
    <t>Dades de consum energètic dels equipaments municipals</t>
  </si>
  <si>
    <t>Dades de consum d'aigua dels equipaments municipals</t>
  </si>
  <si>
    <t>Padrons fiscals i tributs locals</t>
  </si>
  <si>
    <t>Informació dels consums energètics dels edificis, equipaments i instal·lacions municipals, incloent electricitat, gas i altres fonts d'energia. Permet fer el seguiment dels consums, controlar la despesa energètica, identificar oportunitats d'estalvi i avaluar les polítiques d'eficiència energètica municipal.</t>
  </si>
  <si>
    <t>Conjunt de dades que recull la informació dels consums d'aigua dels edificis, equipaments i instal·lacions municipals. Permet monitorar l'ús dels recursos hídrics, detectar consums anòmals o fuites, optimitzar la despesa associada al servei i impulsar mesures d'estalvi i sostenibilitat.</t>
  </si>
  <si>
    <t>Inventari de projectes d'obres municipals, plans de manteniment i afectacions a la via. Serveix per controlar terminis, pressupostos i coordinació amb serveis afectats, incloent empreses contractistes i permisos.</t>
  </si>
  <si>
    <t>Rutes de neteja viària</t>
  </si>
  <si>
    <t>Conjunt de dades que recull la planificació i els itineraris dels serveis de neteja viària en els diferents carrers, places i espais públics del municipi. Permet organitzar els recursos del servei, garantir la cobertura territorial i optimitzar la prestació de les tasques de neteja.</t>
  </si>
  <si>
    <t>Conjunt de dades que recull la informació dels projectes d'obra promoguts per l'ajuntament, incloent objecte de l'actuació, ubicació, pressupost, termini d'execució i estat de tramitació. Permet fer el seguiment de les inversions municipals i de l'execució de les obres.</t>
  </si>
  <si>
    <t>Projectes d'obres municipals i projectes de manteniment</t>
  </si>
  <si>
    <t>Inscripcions i formació de treballadors públics</t>
  </si>
  <si>
    <t>Inventari de béns culturals d'interès local (BCIL)</t>
  </si>
  <si>
    <t>Inventari de béns mobles, immobles i vehicles</t>
  </si>
  <si>
    <t>Xarxes d'infraestructures de serveis i subministraments</t>
  </si>
  <si>
    <t>Atenció i intervenció en serveis socials</t>
  </si>
  <si>
    <t>Avaluació i qualitat dels serveis públics</t>
  </si>
  <si>
    <t>Fons documental de l'arxiu municipal</t>
  </si>
  <si>
    <t>Fons fotogràfic i audiovisual de l'arxiu</t>
  </si>
  <si>
    <t>Registre municipal de parelles de fet</t>
  </si>
  <si>
    <t>Subvencions i ajuts atorgats</t>
  </si>
  <si>
    <t>Inspecció tècnica d'edificis (ITE)</t>
  </si>
  <si>
    <t>Padró municipal d'habitants i demografia</t>
  </si>
  <si>
    <t>Nomenclàtor de vies públiques i numeració Postal</t>
  </si>
  <si>
    <t>Cartografia de la xarxa viària i carrers</t>
  </si>
  <si>
    <t>Elements tècnics del pla de protecció civil (DUPROCIM)</t>
  </si>
  <si>
    <t>Cens d'activitas de risc i plans d'autoprotecció (PAU)</t>
  </si>
  <si>
    <t>Gestió de nòmines i costos de personal</t>
  </si>
  <si>
    <t>Gestió de personal: plantilla i relació de llocs de treball (RLT)</t>
  </si>
  <si>
    <t>Sinistralitat i accidents laborals dels treballadors</t>
  </si>
  <si>
    <t>Directori de contacte del personal de l'ens Local</t>
  </si>
  <si>
    <t>Indicadors de sostenibilitat: consums i canvi climàtic</t>
  </si>
  <si>
    <t>Recollida i gestió de residus municipals</t>
  </si>
  <si>
    <t>Inventari de l'arbrat urbà i zones verdes</t>
  </si>
  <si>
    <t>Inventari i cartografia de camins públics i forestals</t>
  </si>
  <si>
    <t>Registre d'animals de companyia</t>
  </si>
  <si>
    <t xml:space="preserve">Registre d'animals potencialment perillosos </t>
  </si>
  <si>
    <t>Catàleg de protecció del patrimoni arquitectònic i paisatgístic</t>
  </si>
  <si>
    <t>Usuaris i préstecs de les biblioteques</t>
  </si>
  <si>
    <t>Venda d'entrades per a activitats culturals (Ticketing)</t>
  </si>
  <si>
    <t>Agenda d'activitats i esdeveniments municipals</t>
  </si>
  <si>
    <t>Inventari de l'enllumenat públic</t>
  </si>
  <si>
    <t>Prestacions de protecció social per unitat familiar</t>
  </si>
  <si>
    <t>Dades del servei d'atenció domiciliària (SAD)</t>
  </si>
  <si>
    <t>Dades del servei de teleassistència municipal</t>
  </si>
  <si>
    <t>Atenció Integral a les dones (Servei SIAD)</t>
  </si>
  <si>
    <t xml:space="preserve">Atenció al col·lectiu LGTBI </t>
  </si>
  <si>
    <t>Reclamacions i denúncies de consum (OMIC)</t>
  </si>
  <si>
    <t>Registre d'habitatges d'ús turístic (HUT)</t>
  </si>
  <si>
    <t>Ocupacions del sòl i terrasses a la via pública</t>
  </si>
  <si>
    <t>Oferta formativa i educativa del Municipi</t>
  </si>
  <si>
    <t>Dades d'alumnes d'escoles municipals</t>
  </si>
  <si>
    <t>Registre d'entitats, Associacions i Clubs Locals</t>
  </si>
  <si>
    <t>Gestió de la cita prèvia municipal</t>
  </si>
  <si>
    <t>Bústia de queixes, suggeriments i propostes</t>
  </si>
  <si>
    <t>Indicadors de l'atenció ciutadana presencial (OAC)</t>
  </si>
  <si>
    <t>Interaccions i consultes del conversador virtual (Chatbot)</t>
  </si>
  <si>
    <t>Registre de trucades i atenció telefònica</t>
  </si>
  <si>
    <t>Control analític de l'aigua de consum humà</t>
  </si>
  <si>
    <t>Control analític de fonts públiques i piscines</t>
  </si>
  <si>
    <t>Fonts locals, pous i punts d'Aigua</t>
  </si>
  <si>
    <t>Registre d'actuacions i incidències de la policia local</t>
  </si>
  <si>
    <t>Registre de sancions i infraccions de la policia local</t>
  </si>
  <si>
    <t>Accidents de trànsit urbà</t>
  </si>
  <si>
    <t>Llicències de guals i reserves d'espai per a càrrega</t>
  </si>
  <si>
    <t>Targetes d'estacionament regulat i autoritzacions</t>
  </si>
  <si>
    <t>Punts de càrrega de vehicles elèctrics</t>
  </si>
  <si>
    <t>Aforament i intensitat de trànsit al municipi</t>
  </si>
  <si>
    <t>Targetes d'aparcament per a persones amb mobilitat reduïda (PMR)</t>
  </si>
  <si>
    <t>Registre de vehicles autoritzats per aparcar en zones reservades de residents (zona verda/blava) o condicions especials (exclós mobilitat reduïda).</t>
  </si>
  <si>
    <t>Infraestructura de vies ciclables i vehicles de mobilitat personal (VMP)</t>
  </si>
  <si>
    <t>Inventari georeferenciat de carrils bici, zones 30, aparcaments tancats i punts de lloguer de bicicletes i patinetsde la ciutat.</t>
  </si>
  <si>
    <t>Estadístiques de visites de la web municipal</t>
  </si>
  <si>
    <t>Suport informàtic intern i gestió d'incidències (HelpDesk)</t>
  </si>
  <si>
    <t>Catàleg d'aplicacions i llicències corporatives</t>
  </si>
  <si>
    <t>Registres d'activitat i seguretat informàtica (Logs)</t>
  </si>
  <si>
    <t>Traça d'auditoria tècnica dels accessos a servidors, entrades a aplicacions web municipals i rendiment</t>
  </si>
  <si>
    <t>Inventari d'actius tecnològics (Actius TIC)</t>
  </si>
  <si>
    <t>Inspeccions sanitàries d'establiments alimentaris i de consum</t>
  </si>
  <si>
    <t>Actuacions de desinfestació i control de plagues urbanes</t>
  </si>
  <si>
    <t>Torres de refrigeració i control de la legionel·losi</t>
  </si>
  <si>
    <t>Calendari d'esdeveniments i curses esportives en el municipi</t>
  </si>
  <si>
    <t>Cens d'instal·lacions esportives (públiques i privades)</t>
  </si>
  <si>
    <t>Abonaments de les instal·lacions esportives i piscines</t>
  </si>
  <si>
    <t>Xarxa de sensòrica urbana (IoT)</t>
  </si>
  <si>
    <t>Núm. Sistemes d'informació</t>
  </si>
  <si>
    <t>Gestió de l'espai públic i serveis al territori</t>
  </si>
  <si>
    <t>Inclou programació cultural, reserves d'espais, activitats, subvencions culturals. Permet planificar esdeveniments, gestionar aforaments, i conservar informació sobre col·leccions i edificis d'interès.</t>
  </si>
  <si>
    <t>Model de provisió i responsabilitat amb què es presta o s’utilitza el sistema, indicant el nivell de gestió que recau internament i quin sobre proveïdors externs.
El tipus de servei pot ser:
 - On-premise, si es basa en infraestructura pròpia i l’ens local assumeix la gestió completa de maquinari, programari i dades.
 - IaaS, si un proveïdor extern facilita la infraestructura bàsica  (servidors virtuals, emmagatzematge i xarxa), i l’ens local gestiona el sistema operatiu,  el programari i les dades.
 - PaaS, si un proveïdor extern facilita la infraestructura i l’entorn de la plataforma (bàsica  (sistema operatiu, bases de dades, entorns d'execució), i l’ens local gestiona el programari i les dades.
 - SaaS, si un proveïdor extern gestiona la totalitat de la solució, incloent-hi el programari.</t>
  </si>
  <si>
    <t xml:space="preserve">Indica on s’allotja el sistema: en servidors municipals (local), en plataformes de núvol (cloud) o en un model mixt (híbrid).
L’arquitectura pot ser:
 - On-premise (local), si el sistema s’allotja en servidors propis de l’ens local gestionats per ells mateixos i les dades no surten en cap moment de la infraestructura pròpia.
 - Pública (núvol públic), si el sistema s’allotja a la infraestructura d’un proveïdor de serveis al núvol de manera compartida amb altres clients amb un aïllament lògic.
 - Privada (núvol privat), si el sistema s’allotja a la infraestructura d’un proveïdor de serveis al núvol de dedicada en exclusiva a l’ens local.
 - Híbrida, si el sistema combina components allotjats de manera local amb components al núvol (públic o privat). </t>
  </si>
  <si>
    <t>Probabilitat: Baixa 
Impacte: Baix (1)</t>
  </si>
  <si>
    <t>Probabilitat: Baixa 
Impacte: Moderat (1)</t>
  </si>
  <si>
    <t>Probabilitat: Baixa 
Impacte: Alt (2)</t>
  </si>
  <si>
    <t>Probabilitat: Mitja 
Impacte: Baix (1)</t>
  </si>
  <si>
    <t>Probabilitat: Mitja 
Impacte: Moderat (3)</t>
  </si>
  <si>
    <t>Probabilitat: Mitja 
Impacte: Alt (4)</t>
  </si>
  <si>
    <t>Probabilitat: Alta 
Impacte: Baix (3)</t>
  </si>
  <si>
    <t>Probabilitat: Alta 
Impacte: Moderat (4)</t>
  </si>
  <si>
    <t>Probabilitat: Alta 
Impacte: Alt (4)</t>
  </si>
  <si>
    <t>Nivell de risc general</t>
  </si>
  <si>
    <t>Els riscos es defineixen segons la probabilitat i l’impacte que poden tenir:
Probabilitat:
 - Baixa quan és improbable o no ha ocorregut en els darrers dos anys
 - Mitja quan és possible que el risc es materialitzi o ha ocorregut al menys un cop l'any.
 - Alta quan és altament probable o ha ocorregut diversos cops l'any.
Impacte:
 - Baix quan l'impacte és assumible i no afecta dades sensibles.
 - Mig quan l'impacte és significatiu.
 - Alt quan l'impacte és greu i implica aturades de servei, costos econòmics o sancions, o afectació a dades sensibles.</t>
  </si>
  <si>
    <t>Indica el nivell de risc general calculat automàticament fent el promig dels valors associats als riscos anteriors.</t>
  </si>
  <si>
    <t>Plataforma de gestió d'informació de sensors</t>
  </si>
  <si>
    <t>Intermediació en deutes de l'habitatge</t>
  </si>
  <si>
    <r>
      <t>Sistema de dades</t>
    </r>
    <r>
      <rPr>
        <b/>
        <sz val="10"/>
        <color theme="0"/>
        <rFont val="Aptos Narrow"/>
        <family val="2"/>
        <scheme val="minor"/>
      </rPr>
      <t xml:space="preserve"> (CALCULAT - NO TOCAR)</t>
    </r>
  </si>
  <si>
    <r>
      <t>Domini de dades principal</t>
    </r>
    <r>
      <rPr>
        <b/>
        <sz val="10"/>
        <color theme="0"/>
        <rFont val="Aptos Narrow"/>
        <family val="2"/>
        <scheme val="minor"/>
      </rPr>
      <t xml:space="preserve"> (CALCULAT - NO TOCAR)</t>
    </r>
  </si>
  <si>
    <r>
      <t>Conjunt de dades</t>
    </r>
    <r>
      <rPr>
        <b/>
        <sz val="10"/>
        <color theme="0"/>
        <rFont val="Aptos Narrow"/>
        <family val="2"/>
        <scheme val="minor"/>
      </rPr>
      <t xml:space="preserve"> (CALCULAT - NO TOCAR)</t>
    </r>
  </si>
  <si>
    <r>
      <t>Àrea propietària</t>
    </r>
    <r>
      <rPr>
        <i/>
        <sz val="8"/>
        <color theme="0"/>
        <rFont val="Aptos Narrow"/>
        <family val="2"/>
        <scheme val="minor"/>
      </rPr>
      <t xml:space="preserve"> (Calculat pel Domini)</t>
    </r>
  </si>
  <si>
    <t>Sistemes amb informació de Conjunts de dades</t>
  </si>
  <si>
    <t>Dominis amb informació de conjunts de dades</t>
  </si>
  <si>
    <t>Control relacións correctes</t>
  </si>
  <si>
    <t>Sistemes sense relacions correctes amb Conjunt de dades</t>
  </si>
  <si>
    <t>Relacions correctes Conjunts i Sistemes de dades</t>
  </si>
  <si>
    <t>Relacions Conjunts i Sistemes de dades amb errors</t>
  </si>
  <si>
    <t>Conjunts de dades relacionats amb Sistemes de dades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</si>
</sst>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70" x14ac:knownFonts="1">
    <font>
      <sz val="11"/>
      <color theme="1"/>
      <name val="Aptos Narrow"/>
      <family val="2"/>
      <scheme val="minor"/>
    </font>
    <font>
      <sz val="11"/>
      <color theme="1"/>
      <name val="Aptos Narrow"/>
      <family val="2"/>
      <scheme val="minor"/>
    </font>
    <font>
      <sz val="11"/>
      <color rgb="FF000000"/>
      <name val="Calibri"/>
      <family val="2"/>
    </font>
    <font>
      <sz val="11"/>
      <color theme="1"/>
      <name val="Arial"/>
      <family val="2"/>
    </font>
    <font>
      <sz val="12"/>
      <color theme="1"/>
      <name val="Aptos Narrow"/>
      <family val="2"/>
      <scheme val="minor"/>
    </font>
    <font>
      <sz val="11"/>
      <color rgb="FF000000"/>
      <name val="Arial"/>
      <family val="2"/>
    </font>
    <font>
      <b/>
      <sz val="11"/>
      <color rgb="FF000000"/>
      <name val="Arial"/>
      <family val="2"/>
    </font>
    <font>
      <b/>
      <sz val="20"/>
      <color rgb="FF000000"/>
      <name val="Calibri"/>
      <family val="2"/>
    </font>
    <font>
      <b/>
      <sz val="11"/>
      <color rgb="FFC00000"/>
      <name val="Aptos Narrow"/>
      <family val="2"/>
      <scheme val="minor"/>
    </font>
    <font>
      <b/>
      <sz val="18"/>
      <color theme="1"/>
      <name val="Arial"/>
      <family val="2"/>
    </font>
    <font>
      <b/>
      <sz val="11"/>
      <color theme="1"/>
      <name val="Calibri"/>
      <family val="2"/>
    </font>
    <font>
      <sz val="11"/>
      <name val="Calibri"/>
      <family val="2"/>
    </font>
    <font>
      <b/>
      <sz val="16"/>
      <color rgb="FFFFFFFF"/>
      <name val="Calibri"/>
      <family val="2"/>
    </font>
    <font>
      <sz val="11"/>
      <color rgb="FF000000"/>
      <name val="Calibri"/>
      <family val="2"/>
    </font>
    <font>
      <sz val="8"/>
      <name val="Aptos Narrow"/>
      <family val="2"/>
      <scheme val="minor"/>
    </font>
    <font>
      <sz val="10"/>
      <color theme="1"/>
      <name val="Arial"/>
      <family val="2"/>
    </font>
    <font>
      <sz val="10"/>
      <color theme="1"/>
      <name val="Aptos Narrow"/>
      <family val="2"/>
      <scheme val="minor"/>
    </font>
    <font>
      <strike/>
      <sz val="10"/>
      <color theme="1"/>
      <name val="Aptos Narrow"/>
      <family val="2"/>
      <scheme val="minor"/>
    </font>
    <font>
      <b/>
      <sz val="10"/>
      <color rgb="FF000000"/>
      <name val="Calibri"/>
      <family val="2"/>
    </font>
    <font>
      <sz val="10"/>
      <color rgb="FF000000"/>
      <name val="Calibri"/>
      <family val="2"/>
    </font>
    <font>
      <b/>
      <sz val="10"/>
      <color rgb="FFFFFFFF"/>
      <name val="Calibri"/>
      <family val="2"/>
    </font>
    <font>
      <sz val="18"/>
      <color theme="1"/>
      <name val="Aptos Narrow"/>
      <family val="2"/>
      <scheme val="minor"/>
    </font>
    <font>
      <b/>
      <sz val="18"/>
      <color rgb="FF000000"/>
      <name val="Calibri"/>
      <family val="2"/>
    </font>
    <font>
      <b/>
      <strike/>
      <sz val="18"/>
      <color rgb="FF000000"/>
      <name val="Calibri"/>
      <family val="2"/>
    </font>
    <font>
      <b/>
      <sz val="10"/>
      <color theme="1"/>
      <name val="Arial"/>
      <family val="2"/>
    </font>
    <font>
      <b/>
      <sz val="10"/>
      <color theme="1"/>
      <name val="Aptos Narrow"/>
      <family val="2"/>
      <scheme val="minor"/>
    </font>
    <font>
      <b/>
      <sz val="10"/>
      <color theme="0"/>
      <name val="Aptos Narrow"/>
      <family val="2"/>
      <scheme val="minor"/>
    </font>
    <font>
      <sz val="10"/>
      <color rgb="FFC00000"/>
      <name val="Calibri"/>
      <family val="2"/>
    </font>
    <font>
      <sz val="10"/>
      <name val="Calibri"/>
      <family val="2"/>
    </font>
    <font>
      <sz val="10"/>
      <color theme="1"/>
      <name val="Calibri"/>
      <family val="2"/>
    </font>
    <font>
      <b/>
      <sz val="8"/>
      <color theme="0"/>
      <name val="Aptos Narrow"/>
      <family val="2"/>
      <scheme val="minor"/>
    </font>
    <font>
      <sz val="8"/>
      <color theme="1"/>
      <name val="Aptos Narrow"/>
      <family val="2"/>
      <scheme val="minor"/>
    </font>
    <font>
      <i/>
      <sz val="8"/>
      <name val="Aptos Narrow"/>
      <family val="2"/>
      <scheme val="minor"/>
    </font>
    <font>
      <b/>
      <sz val="11"/>
      <color theme="0"/>
      <name val="Aptos Narrow"/>
      <family val="2"/>
      <scheme val="minor"/>
    </font>
    <font>
      <b/>
      <sz val="11"/>
      <color theme="1"/>
      <name val="Aptos Narrow"/>
      <family val="2"/>
      <scheme val="minor"/>
    </font>
    <font>
      <sz val="8"/>
      <color theme="1"/>
      <name val="Arial"/>
      <family val="2"/>
    </font>
    <font>
      <i/>
      <sz val="8"/>
      <color theme="1" tint="0.499984740745262"/>
      <name val="Arial"/>
      <family val="2"/>
    </font>
    <font>
      <b/>
      <sz val="11"/>
      <color theme="1"/>
      <name val="Arial"/>
      <family val="2"/>
    </font>
    <font>
      <sz val="9"/>
      <color rgb="FFFF0000"/>
      <name val="Aptos Narrow"/>
      <family val="2"/>
      <scheme val="minor"/>
    </font>
    <font>
      <b/>
      <sz val="9"/>
      <color rgb="FFFF0000"/>
      <name val="Calibri"/>
      <family val="2"/>
    </font>
    <font>
      <i/>
      <sz val="9"/>
      <color rgb="FFFF0000"/>
      <name val="Aptos Narrow"/>
      <family val="2"/>
      <scheme val="minor"/>
    </font>
    <font>
      <sz val="9"/>
      <color indexed="81"/>
      <name val="Tahoma"/>
      <family val="2"/>
    </font>
    <font>
      <b/>
      <sz val="11"/>
      <name val="Calibri"/>
      <family val="2"/>
    </font>
    <font>
      <i/>
      <sz val="11"/>
      <color theme="2" tint="-9.9978637043366805E-2"/>
      <name val="Aptos Narrow"/>
      <family val="2"/>
      <scheme val="minor"/>
    </font>
    <font>
      <b/>
      <i/>
      <sz val="11"/>
      <color theme="1" tint="0.499984740745262"/>
      <name val="Arial"/>
      <family val="2"/>
    </font>
    <font>
      <i/>
      <sz val="11"/>
      <color theme="1" tint="0.499984740745262"/>
      <name val="Arial"/>
      <family val="2"/>
    </font>
    <font>
      <b/>
      <sz val="10"/>
      <color theme="0"/>
      <name val="Calibri"/>
      <family val="2"/>
    </font>
    <font>
      <b/>
      <sz val="10"/>
      <color rgb="FFFFFFFF"/>
      <name val="Calibri"/>
      <family val="2"/>
    </font>
    <font>
      <i/>
      <sz val="8"/>
      <color theme="1" tint="0.499984740745262"/>
      <name val="Arial"/>
      <family val="2"/>
    </font>
    <font>
      <b/>
      <sz val="10"/>
      <color theme="0"/>
      <name val="Calibri"/>
      <family val="2"/>
    </font>
    <font>
      <b/>
      <sz val="18"/>
      <color rgb="FF000000"/>
      <name val="Calibri"/>
      <family val="2"/>
    </font>
    <font>
      <sz val="10"/>
      <color theme="1"/>
      <name val="Calibri"/>
      <family val="2"/>
    </font>
    <font>
      <sz val="11"/>
      <name val="Calibri"/>
      <family val="2"/>
    </font>
    <font>
      <b/>
      <sz val="11"/>
      <color theme="1"/>
      <name val="Calibri"/>
      <family val="2"/>
    </font>
    <font>
      <b/>
      <sz val="16"/>
      <color rgb="FFFFFFFF"/>
      <name val="Calibri"/>
      <family val="2"/>
    </font>
    <font>
      <b/>
      <sz val="11"/>
      <color rgb="FF000000"/>
      <name val="Calibri"/>
      <family val="2"/>
    </font>
    <font>
      <b/>
      <sz val="11"/>
      <color theme="1"/>
      <name val="Arial"/>
      <family val="2"/>
    </font>
    <font>
      <b/>
      <sz val="20"/>
      <color rgb="FF000000"/>
      <name val="Calibri"/>
      <family val="2"/>
    </font>
    <font>
      <b/>
      <sz val="12"/>
      <color theme="0"/>
      <name val="Aptos Narrow"/>
      <family val="2"/>
      <scheme val="minor"/>
    </font>
    <font>
      <sz val="8"/>
      <color theme="0"/>
      <name val="Aptos Narrow"/>
      <family val="2"/>
      <scheme val="minor"/>
    </font>
    <font>
      <sz val="10"/>
      <color theme="0"/>
      <name val="Calibri"/>
      <family val="2"/>
    </font>
    <font>
      <b/>
      <sz val="8"/>
      <color theme="1"/>
      <name val="Aptos Narrow"/>
      <family val="2"/>
      <scheme val="minor"/>
    </font>
    <font>
      <sz val="8"/>
      <color rgb="FF000000"/>
      <name val="Calibri"/>
      <family val="2"/>
    </font>
    <font>
      <sz val="10"/>
      <color theme="1"/>
      <name val="Arial"/>
      <family val="2"/>
    </font>
    <font>
      <b/>
      <i/>
      <sz val="8"/>
      <color theme="1" tint="0.499984740745262"/>
      <name val="Arial"/>
      <family val="2"/>
    </font>
    <font>
      <i/>
      <sz val="11"/>
      <color theme="1"/>
      <name val="Calibri"/>
      <family val="2"/>
    </font>
    <font>
      <sz val="10"/>
      <color theme="1"/>
      <name val="Segoe UI"/>
      <family val="2"/>
    </font>
    <font>
      <b/>
      <sz val="10"/>
      <color theme="1"/>
      <name val="Segoe UI"/>
      <family val="2"/>
    </font>
    <font>
      <i/>
      <sz val="8"/>
      <color theme="0"/>
      <name val="Aptos Narrow"/>
      <family val="2"/>
      <scheme val="minor"/>
    </font>
    <font>
      <b/>
      <sz val="12"/>
      <color theme="1"/>
      <name val="Aptos Narrow"/>
      <family val="2"/>
      <scheme val="minor"/>
    </font>
  </fonts>
  <fills count="26">
    <fill>
      <patternFill patternType="none"/>
    </fill>
    <fill>
      <patternFill patternType="gray125"/>
    </fill>
    <fill>
      <patternFill patternType="solid">
        <fgColor theme="0"/>
        <bgColor indexed="64"/>
      </patternFill>
    </fill>
    <fill>
      <patternFill patternType="solid">
        <fgColor rgb="FF9E1732"/>
        <bgColor rgb="FF000000"/>
      </patternFill>
    </fill>
    <fill>
      <patternFill patternType="solid">
        <fgColor theme="0" tint="-0.14999847407452621"/>
        <bgColor indexed="64"/>
      </patternFill>
    </fill>
    <fill>
      <patternFill patternType="solid">
        <fgColor theme="2"/>
        <bgColor indexed="64"/>
      </patternFill>
    </fill>
    <fill>
      <patternFill patternType="solid">
        <fgColor theme="0" tint="-4.9989318521683403E-2"/>
        <bgColor indexed="64"/>
      </patternFill>
    </fill>
    <fill>
      <patternFill patternType="solid">
        <fgColor rgb="FF9E1732"/>
        <bgColor indexed="64"/>
      </patternFill>
    </fill>
    <fill>
      <patternFill patternType="solid">
        <fgColor theme="5"/>
        <bgColor indexed="64"/>
      </patternFill>
    </fill>
    <fill>
      <patternFill patternType="solid">
        <fgColor theme="0" tint="-0.249977111117893"/>
        <bgColor indexed="64"/>
      </patternFill>
    </fill>
    <fill>
      <patternFill patternType="solid">
        <fgColor theme="9"/>
        <bgColor indexed="64"/>
      </patternFill>
    </fill>
    <fill>
      <patternFill patternType="solid">
        <fgColor theme="9" tint="0.79998168889431442"/>
        <bgColor indexed="64"/>
      </patternFill>
    </fill>
    <fill>
      <patternFill patternType="solid">
        <fgColor theme="4"/>
        <bgColor indexed="64"/>
      </patternFill>
    </fill>
    <fill>
      <patternFill patternType="solid">
        <fgColor theme="3" tint="0.499984740745262"/>
        <bgColor indexed="64"/>
      </patternFill>
    </fill>
    <fill>
      <patternFill patternType="solid">
        <fgColor theme="8"/>
        <bgColor indexed="64"/>
      </patternFill>
    </fill>
    <fill>
      <patternFill patternType="solid">
        <fgColor rgb="FFD9D9D9"/>
        <bgColor rgb="FF000000"/>
      </patternFill>
    </fill>
    <fill>
      <patternFill patternType="solid">
        <fgColor rgb="FFFFFFFF"/>
        <bgColor rgb="FF000000"/>
      </patternFill>
    </fill>
    <fill>
      <patternFill patternType="solid">
        <fgColor rgb="FFFFFF00"/>
        <bgColor indexed="64"/>
      </patternFill>
    </fill>
    <fill>
      <patternFill patternType="solid">
        <fgColor theme="7"/>
        <bgColor indexed="64"/>
      </patternFill>
    </fill>
    <fill>
      <patternFill patternType="solid">
        <fgColor theme="4" tint="0.79998168889431442"/>
        <bgColor indexed="64"/>
      </patternFill>
    </fill>
    <fill>
      <patternFill patternType="solid">
        <fgColor theme="6" tint="0.79998168889431442"/>
        <bgColor indexed="64"/>
      </patternFill>
    </fill>
    <fill>
      <patternFill patternType="solid">
        <fgColor theme="5" tint="0.39997558519241921"/>
        <bgColor indexed="64"/>
      </patternFill>
    </fill>
    <fill>
      <patternFill patternType="solid">
        <fgColor rgb="FFFF0000"/>
        <bgColor indexed="64"/>
      </patternFill>
    </fill>
    <fill>
      <patternFill patternType="solid">
        <fgColor rgb="FFFFC000"/>
        <bgColor indexed="64"/>
      </patternFill>
    </fill>
    <fill>
      <patternFill patternType="solid">
        <fgColor rgb="FFCC6600"/>
        <bgColor indexed="64"/>
      </patternFill>
    </fill>
    <fill>
      <patternFill patternType="solid">
        <fgColor theme="5" tint="0.79998168889431442"/>
        <bgColor indexed="64"/>
      </patternFill>
    </fill>
  </fills>
  <borders count="16">
    <border>
      <left/>
      <right/>
      <top/>
      <bottom/>
      <diagonal/>
    </border>
    <border>
      <left style="thin">
        <color indexed="64"/>
      </left>
      <right style="thin">
        <color indexed="64"/>
      </right>
      <top style="thin">
        <color indexed="64"/>
      </top>
      <bottom style="thin">
        <color indexed="64"/>
      </bottom>
      <diagonal/>
    </border>
    <border>
      <left/>
      <right/>
      <top/>
      <bottom style="thick">
        <color rgb="FF9E1732"/>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top style="thin">
        <color indexed="64"/>
      </top>
      <bottom style="medium">
        <color indexed="64"/>
      </bottom>
      <diagonal/>
    </border>
    <border>
      <left/>
      <right/>
      <top style="thin">
        <color indexed="64"/>
      </top>
      <bottom style="medium">
        <color indexed="64"/>
      </bottom>
      <diagonal/>
    </border>
    <border>
      <left style="thin">
        <color theme="1" tint="0.499984740745262"/>
      </left>
      <right style="thin">
        <color theme="1" tint="0.499984740745262"/>
      </right>
      <top style="thin">
        <color theme="1" tint="0.499984740745262"/>
      </top>
      <bottom style="thin">
        <color theme="1" tint="0.499984740745262"/>
      </bottom>
      <diagonal/>
    </border>
    <border>
      <left style="thin">
        <color theme="1" tint="0.499984740745262"/>
      </left>
      <right/>
      <top style="thin">
        <color theme="1" tint="0.499984740745262"/>
      </top>
      <bottom style="thin">
        <color theme="1" tint="0.499984740745262"/>
      </bottom>
      <diagonal/>
    </border>
    <border>
      <left/>
      <right/>
      <top/>
      <bottom style="thin">
        <color theme="1" tint="0.499984740745262"/>
      </bottom>
      <diagonal/>
    </border>
    <border>
      <left/>
      <right/>
      <top style="thin">
        <color theme="1" tint="0.499984740745262"/>
      </top>
      <bottom style="thin">
        <color theme="1" tint="0.499984740745262"/>
      </bottom>
      <diagonal/>
    </border>
    <border>
      <left style="thin">
        <color theme="1" tint="0.499984740745262"/>
      </left>
      <right/>
      <top/>
      <bottom style="thin">
        <color theme="1" tint="0.499984740745262"/>
      </bottom>
      <diagonal/>
    </border>
    <border>
      <left/>
      <right style="thin">
        <color theme="1" tint="0.499984740745262"/>
      </right>
      <top/>
      <bottom style="thin">
        <color theme="1" tint="0.499984740745262"/>
      </bottom>
      <diagonal/>
    </border>
    <border>
      <left style="thin">
        <color theme="1" tint="0.499984740745262"/>
      </left>
      <right style="thin">
        <color theme="1" tint="0.499984740745262"/>
      </right>
      <top style="thin">
        <color theme="1" tint="0.499984740745262"/>
      </top>
      <bottom/>
      <diagonal/>
    </border>
    <border>
      <left style="thin">
        <color theme="0" tint="-0.499984740745262"/>
      </left>
      <right style="thin">
        <color theme="0" tint="-0.499984740745262"/>
      </right>
      <top style="thin">
        <color theme="0" tint="-0.499984740745262"/>
      </top>
      <bottom style="thin">
        <color theme="0" tint="-0.499984740745262"/>
      </bottom>
      <diagonal/>
    </border>
  </borders>
  <cellStyleXfs count="4">
    <xf numFmtId="0" fontId="0" fillId="0" borderId="0"/>
    <xf numFmtId="9" fontId="1" fillId="0" borderId="0" applyFont="0" applyFill="0" applyBorder="0" applyAlignment="0" applyProtection="0"/>
    <xf numFmtId="0" fontId="2" fillId="0" borderId="0"/>
    <xf numFmtId="0" fontId="13" fillId="0" borderId="0"/>
  </cellStyleXfs>
  <cellXfs count="216">
    <xf numFmtId="0" fontId="0" fillId="0" borderId="0" xfId="0"/>
    <xf numFmtId="0" fontId="3" fillId="2" borderId="0" xfId="2" applyFont="1" applyFill="1" applyAlignment="1">
      <alignment horizontal="left" vertical="center"/>
    </xf>
    <xf numFmtId="49" fontId="0" fillId="2" borderId="0" xfId="0" applyNumberFormat="1" applyFill="1"/>
    <xf numFmtId="49" fontId="0" fillId="2" borderId="0" xfId="0" applyNumberFormat="1" applyFill="1" applyAlignment="1">
      <alignment vertical="center"/>
    </xf>
    <xf numFmtId="0" fontId="0" fillId="2" borderId="0" xfId="0" applyFill="1"/>
    <xf numFmtId="0" fontId="0" fillId="2" borderId="0" xfId="0" applyFill="1" applyAlignment="1">
      <alignment vertical="top" wrapText="1"/>
    </xf>
    <xf numFmtId="0" fontId="7" fillId="2" borderId="2" xfId="0" applyFont="1" applyFill="1" applyBorder="1" applyAlignment="1">
      <alignment horizontal="left" vertical="center" readingOrder="1"/>
    </xf>
    <xf numFmtId="0" fontId="0" fillId="2" borderId="2" xfId="0" applyFill="1" applyBorder="1"/>
    <xf numFmtId="9" fontId="8" fillId="2" borderId="2" xfId="1" applyFont="1" applyFill="1" applyBorder="1"/>
    <xf numFmtId="0" fontId="3" fillId="2" borderId="0" xfId="2" applyFont="1" applyFill="1" applyAlignment="1">
      <alignment horizontal="left" vertical="center" wrapText="1"/>
    </xf>
    <xf numFmtId="0" fontId="7" fillId="2" borderId="2" xfId="0" applyFont="1" applyFill="1" applyBorder="1" applyAlignment="1">
      <alignment horizontal="left" vertical="center" wrapText="1" readingOrder="1"/>
    </xf>
    <xf numFmtId="49" fontId="0" fillId="2" borderId="0" xfId="0" applyNumberFormat="1" applyFill="1" applyAlignment="1">
      <alignment vertical="center" wrapText="1"/>
    </xf>
    <xf numFmtId="0" fontId="15" fillId="2" borderId="0" xfId="2" applyFont="1" applyFill="1" applyAlignment="1">
      <alignment horizontal="left" vertical="center"/>
    </xf>
    <xf numFmtId="49" fontId="16" fillId="2" borderId="0" xfId="0" applyNumberFormat="1" applyFont="1" applyFill="1" applyAlignment="1">
      <alignment vertical="center"/>
    </xf>
    <xf numFmtId="49" fontId="16" fillId="2" borderId="0" xfId="0" applyNumberFormat="1" applyFont="1" applyFill="1" applyAlignment="1">
      <alignment vertical="center" wrapText="1"/>
    </xf>
    <xf numFmtId="49" fontId="17" fillId="2" borderId="0" xfId="0" applyNumberFormat="1" applyFont="1" applyFill="1" applyAlignment="1">
      <alignment vertical="center" wrapText="1"/>
    </xf>
    <xf numFmtId="49" fontId="17" fillId="2" borderId="0" xfId="0" applyNumberFormat="1" applyFont="1" applyFill="1" applyAlignment="1">
      <alignment vertical="center"/>
    </xf>
    <xf numFmtId="49" fontId="19" fillId="2" borderId="0" xfId="2" applyNumberFormat="1" applyFont="1" applyFill="1"/>
    <xf numFmtId="49" fontId="19" fillId="2" borderId="0" xfId="2" applyNumberFormat="1" applyFont="1" applyFill="1" applyAlignment="1">
      <alignment wrapText="1"/>
    </xf>
    <xf numFmtId="49" fontId="19" fillId="2" borderId="0" xfId="2" applyNumberFormat="1" applyFont="1" applyFill="1" applyAlignment="1">
      <alignment vertical="center" wrapText="1"/>
    </xf>
    <xf numFmtId="0" fontId="21" fillId="2" borderId="0" xfId="0" applyFont="1" applyFill="1"/>
    <xf numFmtId="0" fontId="22" fillId="2" borderId="2" xfId="0" applyFont="1" applyFill="1" applyBorder="1" applyAlignment="1">
      <alignment horizontal="left" vertical="center" readingOrder="1"/>
    </xf>
    <xf numFmtId="0" fontId="23" fillId="2" borderId="2" xfId="0" applyFont="1" applyFill="1" applyBorder="1" applyAlignment="1">
      <alignment horizontal="left" vertical="center" readingOrder="1"/>
    </xf>
    <xf numFmtId="0" fontId="24" fillId="2" borderId="0" xfId="2" applyFont="1" applyFill="1" applyAlignment="1">
      <alignment horizontal="left" vertical="center"/>
    </xf>
    <xf numFmtId="0" fontId="25" fillId="2" borderId="0" xfId="0" applyFont="1" applyFill="1" applyAlignment="1">
      <alignment vertical="center" wrapText="1"/>
    </xf>
    <xf numFmtId="0" fontId="26" fillId="7" borderId="8" xfId="0" applyFont="1" applyFill="1" applyBorder="1" applyAlignment="1">
      <alignment horizontal="center" vertical="center" wrapText="1"/>
    </xf>
    <xf numFmtId="0" fontId="16" fillId="2" borderId="0" xfId="0" applyFont="1" applyFill="1" applyAlignment="1">
      <alignment vertical="center"/>
    </xf>
    <xf numFmtId="14" fontId="16" fillId="2" borderId="8" xfId="0" applyNumberFormat="1" applyFont="1" applyFill="1" applyBorder="1" applyAlignment="1">
      <alignment vertical="center" wrapText="1"/>
    </xf>
    <xf numFmtId="0" fontId="16" fillId="2" borderId="8" xfId="0" applyFont="1" applyFill="1" applyBorder="1" applyAlignment="1">
      <alignment vertical="center" wrapText="1"/>
    </xf>
    <xf numFmtId="0" fontId="16" fillId="2" borderId="8" xfId="0" applyFont="1" applyFill="1" applyBorder="1" applyAlignment="1">
      <alignment horizontal="center" vertical="center" wrapText="1"/>
    </xf>
    <xf numFmtId="0" fontId="16" fillId="0" borderId="0" xfId="0" applyFont="1" applyAlignment="1">
      <alignment vertical="center"/>
    </xf>
    <xf numFmtId="0" fontId="16" fillId="0" borderId="0" xfId="0" applyFont="1" applyAlignment="1">
      <alignment vertical="center" wrapText="1"/>
    </xf>
    <xf numFmtId="49" fontId="27" fillId="2" borderId="0" xfId="3" applyNumberFormat="1" applyFont="1" applyFill="1" applyAlignment="1">
      <alignment vertical="center"/>
    </xf>
    <xf numFmtId="49" fontId="28" fillId="2" borderId="0" xfId="3" applyNumberFormat="1" applyFont="1" applyFill="1" applyAlignment="1">
      <alignment vertical="center"/>
    </xf>
    <xf numFmtId="49" fontId="19" fillId="2" borderId="0" xfId="3" applyNumberFormat="1" applyFont="1" applyFill="1" applyAlignment="1">
      <alignment vertical="center" wrapText="1"/>
    </xf>
    <xf numFmtId="49" fontId="19" fillId="2" borderId="0" xfId="3" applyNumberFormat="1" applyFont="1" applyFill="1" applyAlignment="1">
      <alignment vertical="center"/>
    </xf>
    <xf numFmtId="0" fontId="22" fillId="2" borderId="0" xfId="0" applyFont="1" applyFill="1" applyAlignment="1">
      <alignment horizontal="left" vertical="center" readingOrder="1"/>
    </xf>
    <xf numFmtId="0" fontId="23" fillId="2" borderId="0" xfId="0" applyFont="1" applyFill="1" applyAlignment="1">
      <alignment horizontal="left" vertical="center" readingOrder="1"/>
    </xf>
    <xf numFmtId="0" fontId="19" fillId="2" borderId="0" xfId="0" applyFont="1" applyFill="1" applyAlignment="1">
      <alignment horizontal="left" vertical="center" readingOrder="1"/>
    </xf>
    <xf numFmtId="0" fontId="32" fillId="6" borderId="0" xfId="0" applyFont="1" applyFill="1" applyAlignment="1">
      <alignment vertical="center"/>
    </xf>
    <xf numFmtId="20" fontId="31" fillId="6" borderId="0" xfId="0" quotePrefix="1" applyNumberFormat="1" applyFont="1" applyFill="1" applyAlignment="1">
      <alignment horizontal="center" vertical="center"/>
    </xf>
    <xf numFmtId="0" fontId="31" fillId="6" borderId="0" xfId="0" applyFont="1" applyFill="1" applyAlignment="1">
      <alignment horizontal="center" vertical="center"/>
    </xf>
    <xf numFmtId="0" fontId="34" fillId="0" borderId="0" xfId="0" applyFont="1"/>
    <xf numFmtId="0" fontId="34" fillId="2" borderId="0" xfId="0" applyFont="1" applyFill="1"/>
    <xf numFmtId="0" fontId="35" fillId="2" borderId="0" xfId="2" applyFont="1" applyFill="1" applyAlignment="1">
      <alignment horizontal="left" vertical="center"/>
    </xf>
    <xf numFmtId="3" fontId="36" fillId="2" borderId="0" xfId="1" applyNumberFormat="1" applyFont="1" applyFill="1" applyAlignment="1">
      <alignment horizontal="center" vertical="center"/>
    </xf>
    <xf numFmtId="9" fontId="36" fillId="2" borderId="0" xfId="1" applyFont="1" applyFill="1" applyAlignment="1">
      <alignment horizontal="center" vertical="center"/>
    </xf>
    <xf numFmtId="49" fontId="31" fillId="2" borderId="0" xfId="0" applyNumberFormat="1" applyFont="1" applyFill="1" applyAlignment="1">
      <alignment vertical="center"/>
    </xf>
    <xf numFmtId="0" fontId="16" fillId="2" borderId="8" xfId="0" applyFont="1" applyFill="1" applyBorder="1" applyAlignment="1">
      <alignment horizontal="left" vertical="center" wrapText="1"/>
    </xf>
    <xf numFmtId="0" fontId="37" fillId="2" borderId="0" xfId="2" applyFont="1" applyFill="1" applyAlignment="1">
      <alignment horizontal="left" vertical="center"/>
    </xf>
    <xf numFmtId="49" fontId="34" fillId="2" borderId="0" xfId="0" applyNumberFormat="1" applyFont="1" applyFill="1" applyAlignment="1">
      <alignment vertical="center" wrapText="1"/>
    </xf>
    <xf numFmtId="49" fontId="34" fillId="2" borderId="0" xfId="0" applyNumberFormat="1" applyFont="1" applyFill="1" applyAlignment="1">
      <alignment vertical="center"/>
    </xf>
    <xf numFmtId="0" fontId="34" fillId="2" borderId="0" xfId="0" applyFont="1" applyFill="1" applyAlignment="1">
      <alignment vertical="center" wrapText="1"/>
    </xf>
    <xf numFmtId="0" fontId="33" fillId="7" borderId="8" xfId="0" applyFont="1" applyFill="1" applyBorder="1" applyAlignment="1">
      <alignment horizontal="center" vertical="center" wrapText="1"/>
    </xf>
    <xf numFmtId="49" fontId="38" fillId="2" borderId="0" xfId="0" applyNumberFormat="1" applyFont="1" applyFill="1" applyAlignment="1">
      <alignment vertical="center" wrapText="1"/>
    </xf>
    <xf numFmtId="49" fontId="19" fillId="2" borderId="10" xfId="3" applyNumberFormat="1" applyFont="1" applyFill="1" applyBorder="1" applyAlignment="1">
      <alignment vertical="center" wrapText="1"/>
    </xf>
    <xf numFmtId="0" fontId="37" fillId="2" borderId="0" xfId="2" applyFont="1" applyFill="1" applyAlignment="1">
      <alignment horizontal="left" vertical="center" wrapText="1"/>
    </xf>
    <xf numFmtId="0" fontId="16" fillId="2" borderId="8" xfId="0" applyFont="1" applyFill="1" applyBorder="1" applyAlignment="1">
      <alignment vertical="center"/>
    </xf>
    <xf numFmtId="0" fontId="16" fillId="2" borderId="8" xfId="0" applyFont="1" applyFill="1" applyBorder="1" applyAlignment="1">
      <alignment horizontal="left" vertical="center"/>
    </xf>
    <xf numFmtId="49" fontId="11" fillId="0" borderId="1" xfId="0" applyNumberFormat="1" applyFont="1" applyBorder="1" applyAlignment="1">
      <alignment vertical="top" wrapText="1"/>
    </xf>
    <xf numFmtId="0" fontId="12" fillId="3" borderId="3" xfId="0" applyFont="1" applyFill="1" applyBorder="1" applyAlignment="1">
      <alignment horizontal="center" vertical="top" wrapText="1"/>
    </xf>
    <xf numFmtId="0" fontId="9" fillId="5" borderId="7" xfId="2" applyFont="1" applyFill="1" applyBorder="1" applyAlignment="1">
      <alignment vertical="top" wrapText="1"/>
    </xf>
    <xf numFmtId="0" fontId="0" fillId="0" borderId="0" xfId="0" applyAlignment="1">
      <alignment vertical="top" wrapText="1"/>
    </xf>
    <xf numFmtId="49" fontId="10" fillId="4" borderId="1" xfId="0" applyNumberFormat="1" applyFont="1" applyFill="1" applyBorder="1" applyAlignment="1">
      <alignment horizontal="left" vertical="center" wrapText="1"/>
    </xf>
    <xf numFmtId="0" fontId="12" fillId="3" borderId="5" xfId="0" applyFont="1" applyFill="1" applyBorder="1" applyAlignment="1">
      <alignment horizontal="center" vertical="top" wrapText="1"/>
    </xf>
    <xf numFmtId="0" fontId="0" fillId="2" borderId="0" xfId="0" applyFill="1" applyAlignment="1">
      <alignment horizontal="left" wrapText="1"/>
    </xf>
    <xf numFmtId="49" fontId="0" fillId="2" borderId="0" xfId="0" applyNumberFormat="1" applyFill="1" applyAlignment="1">
      <alignment horizontal="left" wrapText="1"/>
    </xf>
    <xf numFmtId="0" fontId="12" fillId="3" borderId="4" xfId="0" applyFont="1" applyFill="1" applyBorder="1" applyAlignment="1">
      <alignment horizontal="left" vertical="top" wrapText="1"/>
    </xf>
    <xf numFmtId="49" fontId="0" fillId="2" borderId="0" xfId="0" applyNumberFormat="1" applyFill="1" applyAlignment="1">
      <alignment wrapText="1"/>
    </xf>
    <xf numFmtId="0" fontId="0" fillId="0" borderId="0" xfId="0" applyAlignment="1">
      <alignment horizontal="left" wrapText="1"/>
    </xf>
    <xf numFmtId="0" fontId="0" fillId="2" borderId="0" xfId="0" applyFill="1" applyAlignment="1">
      <alignment wrapText="1"/>
    </xf>
    <xf numFmtId="0" fontId="0" fillId="2" borderId="2" xfId="0" applyFill="1" applyBorder="1" applyAlignment="1">
      <alignment wrapText="1"/>
    </xf>
    <xf numFmtId="49" fontId="11" fillId="2" borderId="1" xfId="0" applyNumberFormat="1" applyFont="1" applyFill="1" applyBorder="1" applyAlignment="1">
      <alignment vertical="top" wrapText="1"/>
    </xf>
    <xf numFmtId="0" fontId="7" fillId="2" borderId="0" xfId="0" applyFont="1" applyFill="1" applyAlignment="1">
      <alignment horizontal="left" vertical="top" wrapText="1" readingOrder="1"/>
    </xf>
    <xf numFmtId="49" fontId="11" fillId="2" borderId="1" xfId="0" applyNumberFormat="1" applyFont="1" applyFill="1" applyBorder="1" applyAlignment="1">
      <alignment vertical="center" wrapText="1"/>
    </xf>
    <xf numFmtId="49" fontId="10" fillId="4" borderId="3" xfId="0" applyNumberFormat="1" applyFont="1" applyFill="1" applyBorder="1" applyAlignment="1">
      <alignment horizontal="left" vertical="center" wrapText="1"/>
    </xf>
    <xf numFmtId="0" fontId="7" fillId="2" borderId="2" xfId="0" applyFont="1" applyFill="1" applyBorder="1" applyAlignment="1">
      <alignment horizontal="left" vertical="top" wrapText="1" readingOrder="1"/>
    </xf>
    <xf numFmtId="0" fontId="3" fillId="2" borderId="0" xfId="2" applyFont="1" applyFill="1" applyAlignment="1">
      <alignment horizontal="left" vertical="top" wrapText="1"/>
    </xf>
    <xf numFmtId="0" fontId="7" fillId="17" borderId="2" xfId="0" applyFont="1" applyFill="1" applyBorder="1" applyAlignment="1">
      <alignment horizontal="left" vertical="top" wrapText="1" readingOrder="1"/>
    </xf>
    <xf numFmtId="0" fontId="43" fillId="0" borderId="0" xfId="0" applyFont="1"/>
    <xf numFmtId="0" fontId="43" fillId="2" borderId="0" xfId="0" applyFont="1" applyFill="1"/>
    <xf numFmtId="0" fontId="15" fillId="2" borderId="0" xfId="2" applyFont="1" applyFill="1" applyAlignment="1">
      <alignment horizontal="left" vertical="top"/>
    </xf>
    <xf numFmtId="0" fontId="22" fillId="2" borderId="2" xfId="0" applyFont="1" applyFill="1" applyBorder="1" applyAlignment="1">
      <alignment horizontal="left" vertical="top" readingOrder="1"/>
    </xf>
    <xf numFmtId="0" fontId="12" fillId="3" borderId="4" xfId="0" applyFont="1" applyFill="1" applyBorder="1" applyAlignment="1">
      <alignment vertical="top" wrapText="1"/>
    </xf>
    <xf numFmtId="0" fontId="0" fillId="0" borderId="0" xfId="0" applyAlignment="1">
      <alignment horizontal="left" vertical="top" wrapText="1"/>
    </xf>
    <xf numFmtId="0" fontId="0" fillId="2" borderId="0" xfId="0" applyFill="1" applyAlignment="1">
      <alignment horizontal="left" vertical="top" wrapText="1"/>
    </xf>
    <xf numFmtId="49" fontId="10" fillId="4" borderId="1" xfId="0" applyNumberFormat="1" applyFont="1" applyFill="1" applyBorder="1" applyAlignment="1">
      <alignment horizontal="left" vertical="top" wrapText="1"/>
    </xf>
    <xf numFmtId="49" fontId="0" fillId="2" borderId="0" xfId="0" applyNumberFormat="1" applyFill="1" applyAlignment="1">
      <alignment vertical="top" wrapText="1"/>
    </xf>
    <xf numFmtId="0" fontId="9" fillId="5" borderId="6" xfId="2" applyFont="1" applyFill="1" applyBorder="1" applyAlignment="1">
      <alignment horizontal="left" vertical="top" wrapText="1"/>
    </xf>
    <xf numFmtId="0" fontId="12" fillId="3" borderId="3" xfId="0" applyFont="1" applyFill="1" applyBorder="1" applyAlignment="1">
      <alignment horizontal="left" vertical="top" wrapText="1"/>
    </xf>
    <xf numFmtId="0" fontId="24" fillId="2" borderId="0" xfId="2" applyFont="1" applyFill="1" applyAlignment="1">
      <alignment horizontal="left" vertical="top"/>
    </xf>
    <xf numFmtId="49" fontId="16" fillId="2" borderId="0" xfId="0" applyNumberFormat="1" applyFont="1" applyFill="1" applyAlignment="1">
      <alignment vertical="top"/>
    </xf>
    <xf numFmtId="0" fontId="12" fillId="3" borderId="5" xfId="0" applyFont="1" applyFill="1" applyBorder="1" applyAlignment="1">
      <alignment vertical="top" wrapText="1"/>
    </xf>
    <xf numFmtId="0" fontId="11" fillId="0" borderId="5" xfId="0" applyFont="1" applyBorder="1" applyAlignment="1">
      <alignment vertical="top" wrapText="1"/>
    </xf>
    <xf numFmtId="0" fontId="4" fillId="0" borderId="0" xfId="0" applyFont="1" applyAlignment="1">
      <alignment vertical="center"/>
    </xf>
    <xf numFmtId="0" fontId="5" fillId="2" borderId="0" xfId="0" applyFont="1" applyFill="1" applyAlignment="1">
      <alignment horizontal="left" vertical="center"/>
    </xf>
    <xf numFmtId="0" fontId="3" fillId="2" borderId="0" xfId="0" applyFont="1" applyFill="1" applyAlignment="1">
      <alignment vertical="center"/>
    </xf>
    <xf numFmtId="0" fontId="0" fillId="0" borderId="0" xfId="0" applyAlignment="1">
      <alignment vertical="center"/>
    </xf>
    <xf numFmtId="0" fontId="37" fillId="2" borderId="0" xfId="0" applyFont="1" applyFill="1" applyAlignment="1">
      <alignment vertical="center" wrapText="1"/>
    </xf>
    <xf numFmtId="0" fontId="44" fillId="6" borderId="0" xfId="0" applyFont="1" applyFill="1" applyAlignment="1">
      <alignment vertical="center" wrapText="1"/>
    </xf>
    <xf numFmtId="0" fontId="6" fillId="2" borderId="0" xfId="0" applyFont="1" applyFill="1" applyAlignment="1">
      <alignment horizontal="left" vertical="top" wrapText="1"/>
    </xf>
    <xf numFmtId="9" fontId="48" fillId="2" borderId="0" xfId="1" applyFont="1" applyFill="1" applyAlignment="1">
      <alignment horizontal="center" vertical="center"/>
    </xf>
    <xf numFmtId="0" fontId="50" fillId="2" borderId="2" xfId="0" applyFont="1" applyFill="1" applyBorder="1" applyAlignment="1">
      <alignment horizontal="left" vertical="center" readingOrder="1"/>
    </xf>
    <xf numFmtId="49" fontId="52" fillId="2" borderId="1" xfId="0" applyNumberFormat="1" applyFont="1" applyFill="1" applyBorder="1" applyAlignment="1">
      <alignment vertical="top" wrapText="1"/>
    </xf>
    <xf numFmtId="49" fontId="52" fillId="0" borderId="1" xfId="0" applyNumberFormat="1" applyFont="1" applyBorder="1" applyAlignment="1">
      <alignment vertical="top" wrapText="1"/>
    </xf>
    <xf numFmtId="49" fontId="53" fillId="4" borderId="1" xfId="0" applyNumberFormat="1" applyFont="1" applyFill="1" applyBorder="1" applyAlignment="1">
      <alignment horizontal="left" vertical="top" wrapText="1"/>
    </xf>
    <xf numFmtId="49" fontId="52" fillId="0" borderId="3" xfId="0" applyNumberFormat="1" applyFont="1" applyBorder="1" applyAlignment="1">
      <alignment vertical="top" wrapText="1"/>
    </xf>
    <xf numFmtId="49" fontId="53" fillId="4" borderId="3" xfId="0" applyNumberFormat="1" applyFont="1" applyFill="1" applyBorder="1" applyAlignment="1">
      <alignment horizontal="left" vertical="top" wrapText="1"/>
    </xf>
    <xf numFmtId="0" fontId="54" fillId="3" borderId="5" xfId="0" applyFont="1" applyFill="1" applyBorder="1" applyAlignment="1">
      <alignment horizontal="center" vertical="top" wrapText="1"/>
    </xf>
    <xf numFmtId="0" fontId="54" fillId="3" borderId="4" xfId="0" applyFont="1" applyFill="1" applyBorder="1" applyAlignment="1">
      <alignment horizontal="left" vertical="top" wrapText="1"/>
    </xf>
    <xf numFmtId="0" fontId="52" fillId="16" borderId="5" xfId="0" applyFont="1" applyFill="1" applyBorder="1" applyAlignment="1">
      <alignment vertical="top" wrapText="1"/>
    </xf>
    <xf numFmtId="0" fontId="55" fillId="15" borderId="3" xfId="0" applyFont="1" applyFill="1" applyBorder="1" applyAlignment="1">
      <alignment vertical="top" wrapText="1"/>
    </xf>
    <xf numFmtId="0" fontId="52" fillId="0" borderId="5" xfId="0" applyFont="1" applyBorder="1" applyAlignment="1">
      <alignment vertical="top" wrapText="1"/>
    </xf>
    <xf numFmtId="0" fontId="16" fillId="6" borderId="8" xfId="0" applyFont="1" applyFill="1" applyBorder="1" applyAlignment="1">
      <alignment horizontal="center" vertical="center"/>
    </xf>
    <xf numFmtId="0" fontId="56" fillId="2" borderId="0" xfId="2" applyFont="1" applyFill="1" applyAlignment="1">
      <alignment horizontal="left" vertical="center"/>
    </xf>
    <xf numFmtId="0" fontId="57" fillId="2" borderId="2" xfId="0" applyFont="1" applyFill="1" applyBorder="1" applyAlignment="1">
      <alignment horizontal="left" vertical="center" readingOrder="1"/>
    </xf>
    <xf numFmtId="0" fontId="16" fillId="2" borderId="8" xfId="0" applyFont="1" applyFill="1" applyBorder="1"/>
    <xf numFmtId="0" fontId="0" fillId="2" borderId="8" xfId="0" applyFill="1" applyBorder="1"/>
    <xf numFmtId="0" fontId="22" fillId="17" borderId="2" xfId="0" applyFont="1" applyFill="1" applyBorder="1" applyAlignment="1">
      <alignment horizontal="left" vertical="center" readingOrder="1"/>
    </xf>
    <xf numFmtId="0" fontId="16" fillId="2" borderId="8" xfId="0" applyFont="1" applyFill="1" applyBorder="1" applyAlignment="1">
      <alignment wrapText="1"/>
    </xf>
    <xf numFmtId="49" fontId="60" fillId="2" borderId="0" xfId="2" applyNumberFormat="1" applyFont="1" applyFill="1" applyAlignment="1">
      <alignment vertical="center" wrapText="1"/>
    </xf>
    <xf numFmtId="0" fontId="16" fillId="2" borderId="0" xfId="0" applyFont="1" applyFill="1" applyAlignment="1">
      <alignment vertical="center" wrapText="1"/>
    </xf>
    <xf numFmtId="9" fontId="64" fillId="2" borderId="0" xfId="1" applyFont="1" applyFill="1" applyAlignment="1">
      <alignment horizontal="center" vertical="center"/>
    </xf>
    <xf numFmtId="49" fontId="18" fillId="2" borderId="0" xfId="2" applyNumberFormat="1" applyFont="1" applyFill="1" applyAlignment="1">
      <alignment horizontal="center" wrapText="1"/>
    </xf>
    <xf numFmtId="0" fontId="16" fillId="2" borderId="8" xfId="0" quotePrefix="1" applyFont="1" applyFill="1" applyBorder="1" applyAlignment="1">
      <alignment vertical="center" wrapText="1"/>
    </xf>
    <xf numFmtId="0" fontId="29" fillId="0" borderId="0" xfId="0" applyFont="1" applyAlignment="1">
      <alignment vertical="center"/>
    </xf>
    <xf numFmtId="0" fontId="26" fillId="7" borderId="0" xfId="0" applyFont="1" applyFill="1" applyAlignment="1">
      <alignment horizontal="center" vertical="center" wrapText="1"/>
    </xf>
    <xf numFmtId="0" fontId="29" fillId="0" borderId="8" xfId="0" applyFont="1" applyBorder="1" applyAlignment="1">
      <alignment vertical="center"/>
    </xf>
    <xf numFmtId="0" fontId="58" fillId="7" borderId="0" xfId="0" applyFont="1" applyFill="1" applyAlignment="1">
      <alignment horizontal="center" vertical="center"/>
    </xf>
    <xf numFmtId="49" fontId="65" fillId="4" borderId="1" xfId="0" applyNumberFormat="1" applyFont="1" applyFill="1" applyBorder="1" applyAlignment="1">
      <alignment horizontal="left" vertical="top" wrapText="1" indent="1"/>
    </xf>
    <xf numFmtId="0" fontId="31" fillId="11" borderId="0" xfId="0" applyFont="1" applyFill="1" applyAlignment="1">
      <alignment vertical="center"/>
    </xf>
    <xf numFmtId="14" fontId="31" fillId="11" borderId="0" xfId="0" applyNumberFormat="1" applyFont="1" applyFill="1" applyAlignment="1">
      <alignment vertical="center"/>
    </xf>
    <xf numFmtId="0" fontId="31" fillId="0" borderId="0" xfId="0" applyFont="1" applyAlignment="1">
      <alignment vertical="center"/>
    </xf>
    <xf numFmtId="0" fontId="30" fillId="18" borderId="0" xfId="0" applyFont="1" applyFill="1" applyAlignment="1">
      <alignment vertical="center"/>
    </xf>
    <xf numFmtId="0" fontId="30" fillId="10" borderId="0" xfId="0" applyFont="1" applyFill="1" applyAlignment="1">
      <alignment vertical="center"/>
    </xf>
    <xf numFmtId="0" fontId="30" fillId="21" borderId="0" xfId="0" applyFont="1" applyFill="1" applyAlignment="1">
      <alignment vertical="center"/>
    </xf>
    <xf numFmtId="0" fontId="30" fillId="12" borderId="0" xfId="0" applyFont="1" applyFill="1" applyAlignment="1">
      <alignment vertical="center"/>
    </xf>
    <xf numFmtId="0" fontId="61" fillId="13" borderId="0" xfId="0" applyFont="1" applyFill="1" applyAlignment="1">
      <alignment vertical="center"/>
    </xf>
    <xf numFmtId="0" fontId="61" fillId="14" borderId="0" xfId="0" applyFont="1" applyFill="1" applyAlignment="1">
      <alignment vertical="center"/>
    </xf>
    <xf numFmtId="0" fontId="30" fillId="14" borderId="0" xfId="0" applyFont="1" applyFill="1" applyAlignment="1">
      <alignment vertical="center"/>
    </xf>
    <xf numFmtId="0" fontId="30" fillId="8" borderId="0" xfId="0" applyFont="1" applyFill="1" applyAlignment="1">
      <alignment vertical="center"/>
    </xf>
    <xf numFmtId="0" fontId="30" fillId="7" borderId="0" xfId="0" applyFont="1" applyFill="1" applyAlignment="1">
      <alignment vertical="center"/>
    </xf>
    <xf numFmtId="0" fontId="31" fillId="19" borderId="0" xfId="0" applyFont="1" applyFill="1" applyAlignment="1">
      <alignment vertical="center"/>
    </xf>
    <xf numFmtId="0" fontId="31" fillId="25" borderId="0" xfId="0" applyFont="1" applyFill="1" applyAlignment="1">
      <alignment vertical="center"/>
    </xf>
    <xf numFmtId="0" fontId="31" fillId="6" borderId="0" xfId="0" applyFont="1" applyFill="1" applyAlignment="1">
      <alignment vertical="center"/>
    </xf>
    <xf numFmtId="0" fontId="31" fillId="9" borderId="0" xfId="0" applyFont="1" applyFill="1" applyAlignment="1">
      <alignment vertical="center"/>
    </xf>
    <xf numFmtId="0" fontId="31" fillId="20" borderId="0" xfId="0" applyFont="1" applyFill="1" applyAlignment="1">
      <alignment vertical="center" wrapText="1"/>
    </xf>
    <xf numFmtId="2" fontId="35" fillId="25" borderId="0" xfId="0" applyNumberFormat="1" applyFont="1" applyFill="1" applyAlignment="1">
      <alignment vertical="center"/>
    </xf>
    <xf numFmtId="0" fontId="31" fillId="23" borderId="0" xfId="0" applyFont="1" applyFill="1" applyAlignment="1">
      <alignment vertical="center" wrapText="1"/>
    </xf>
    <xf numFmtId="0" fontId="31" fillId="8" borderId="0" xfId="0" applyFont="1" applyFill="1" applyAlignment="1">
      <alignment vertical="center"/>
    </xf>
    <xf numFmtId="0" fontId="31" fillId="24" borderId="0" xfId="0" applyFont="1" applyFill="1" applyAlignment="1">
      <alignment vertical="center" wrapText="1"/>
    </xf>
    <xf numFmtId="0" fontId="0" fillId="6" borderId="0" xfId="0" applyFill="1" applyAlignment="1">
      <alignment vertical="center"/>
    </xf>
    <xf numFmtId="0" fontId="31" fillId="22" borderId="0" xfId="0" applyFont="1" applyFill="1" applyAlignment="1">
      <alignment vertical="center" wrapText="1"/>
    </xf>
    <xf numFmtId="0" fontId="31" fillId="0" borderId="0" xfId="0" applyFont="1" applyAlignment="1">
      <alignment vertical="center" wrapText="1"/>
    </xf>
    <xf numFmtId="2" fontId="35" fillId="25" borderId="0" xfId="0" applyNumberFormat="1" applyFont="1" applyFill="1" applyAlignment="1">
      <alignment horizontal="left" vertical="center"/>
    </xf>
    <xf numFmtId="2" fontId="31" fillId="25" borderId="0" xfId="0" applyNumberFormat="1" applyFont="1" applyFill="1" applyAlignment="1">
      <alignment horizontal="left" vertical="center"/>
    </xf>
    <xf numFmtId="0" fontId="46" fillId="3" borderId="14" xfId="3" applyFont="1" applyFill="1" applyBorder="1" applyAlignment="1">
      <alignment horizontal="center" vertical="center" wrapText="1"/>
    </xf>
    <xf numFmtId="0" fontId="26" fillId="7" borderId="14" xfId="0" applyFont="1" applyFill="1" applyBorder="1" applyAlignment="1">
      <alignment horizontal="center" vertical="center" wrapText="1"/>
    </xf>
    <xf numFmtId="0" fontId="49" fillId="3" borderId="14" xfId="3" applyFont="1" applyFill="1" applyBorder="1" applyAlignment="1">
      <alignment horizontal="center" vertical="center" wrapText="1"/>
    </xf>
    <xf numFmtId="0" fontId="59" fillId="7" borderId="14" xfId="0" applyFont="1" applyFill="1" applyBorder="1" applyAlignment="1">
      <alignment horizontal="center" vertical="center" wrapText="1"/>
    </xf>
    <xf numFmtId="0" fontId="67" fillId="2" borderId="15" xfId="0" applyFont="1" applyFill="1" applyBorder="1" applyAlignment="1">
      <alignment vertical="center" wrapText="1"/>
    </xf>
    <xf numFmtId="0" fontId="66" fillId="2" borderId="15" xfId="0" applyFont="1" applyFill="1" applyBorder="1" applyAlignment="1">
      <alignment vertical="center" wrapText="1"/>
    </xf>
    <xf numFmtId="0" fontId="16" fillId="2" borderId="15" xfId="0" applyFont="1" applyFill="1" applyBorder="1" applyAlignment="1">
      <alignment vertical="center" wrapText="1"/>
    </xf>
    <xf numFmtId="0" fontId="16" fillId="2" borderId="15" xfId="0" applyFont="1" applyFill="1" applyBorder="1" applyAlignment="1">
      <alignment horizontal="left" vertical="center" wrapText="1"/>
    </xf>
    <xf numFmtId="49" fontId="19" fillId="2" borderId="15" xfId="2" applyNumberFormat="1" applyFont="1" applyFill="1" applyBorder="1" applyAlignment="1">
      <alignment vertical="center" wrapText="1"/>
    </xf>
    <xf numFmtId="49" fontId="19" fillId="2" borderId="15" xfId="2" applyNumberFormat="1" applyFont="1" applyFill="1" applyBorder="1" applyAlignment="1">
      <alignment horizontal="left" vertical="center" wrapText="1"/>
    </xf>
    <xf numFmtId="2" fontId="29" fillId="4" borderId="15" xfId="0" applyNumberFormat="1" applyFont="1" applyFill="1" applyBorder="1" applyAlignment="1">
      <alignment horizontal="center" vertical="center" wrapText="1"/>
    </xf>
    <xf numFmtId="0" fontId="16" fillId="6" borderId="15" xfId="0" applyFont="1" applyFill="1" applyBorder="1" applyAlignment="1">
      <alignment horizontal="center" vertical="center"/>
    </xf>
    <xf numFmtId="0" fontId="67" fillId="0" borderId="15" xfId="0" applyFont="1" applyBorder="1" applyAlignment="1">
      <alignment vertical="center" wrapText="1"/>
    </xf>
    <xf numFmtId="0" fontId="66" fillId="0" borderId="15" xfId="0" applyFont="1" applyBorder="1" applyAlignment="1">
      <alignment vertical="center" wrapText="1"/>
    </xf>
    <xf numFmtId="49" fontId="19" fillId="2" borderId="15" xfId="2" applyNumberFormat="1" applyFont="1" applyFill="1" applyBorder="1" applyAlignment="1">
      <alignment wrapText="1"/>
    </xf>
    <xf numFmtId="0" fontId="29" fillId="6" borderId="15" xfId="0" applyFont="1" applyFill="1" applyBorder="1" applyAlignment="1">
      <alignment horizontal="left" vertical="center" wrapText="1"/>
    </xf>
    <xf numFmtId="49" fontId="62" fillId="2" borderId="0" xfId="2" applyNumberFormat="1" applyFont="1" applyFill="1"/>
    <xf numFmtId="0" fontId="31" fillId="2" borderId="0" xfId="0" applyFont="1" applyFill="1" applyAlignment="1">
      <alignment vertical="center"/>
    </xf>
    <xf numFmtId="0" fontId="31" fillId="25" borderId="0" xfId="0" applyFont="1" applyFill="1" applyAlignment="1">
      <alignment horizontal="left" vertical="center"/>
    </xf>
    <xf numFmtId="3" fontId="36" fillId="2" borderId="0" xfId="1" applyNumberFormat="1" applyFont="1" applyFill="1" applyAlignment="1">
      <alignment horizontal="center" vertical="center" wrapText="1"/>
    </xf>
    <xf numFmtId="0" fontId="20" fillId="3" borderId="14" xfId="3" applyFont="1" applyFill="1" applyBorder="1" applyAlignment="1">
      <alignment horizontal="center" vertical="center" wrapText="1"/>
    </xf>
    <xf numFmtId="0" fontId="47" fillId="3" borderId="14" xfId="3" applyFont="1" applyFill="1" applyBorder="1" applyAlignment="1">
      <alignment horizontal="center" vertical="center" wrapText="1"/>
    </xf>
    <xf numFmtId="49" fontId="19" fillId="2" borderId="15" xfId="3" applyNumberFormat="1" applyFont="1" applyFill="1" applyBorder="1" applyAlignment="1">
      <alignment vertical="center" wrapText="1"/>
    </xf>
    <xf numFmtId="0" fontId="29" fillId="6" borderId="15" xfId="0" applyFont="1" applyFill="1" applyBorder="1" applyAlignment="1">
      <alignment horizontal="center" vertical="center" wrapText="1"/>
    </xf>
    <xf numFmtId="0" fontId="51" fillId="6" borderId="15" xfId="0" applyFont="1" applyFill="1" applyBorder="1" applyAlignment="1">
      <alignment horizontal="center" vertical="center" wrapText="1"/>
    </xf>
    <xf numFmtId="49" fontId="19" fillId="2" borderId="15" xfId="3" applyNumberFormat="1" applyFont="1" applyFill="1" applyBorder="1" applyAlignment="1">
      <alignment vertical="center"/>
    </xf>
    <xf numFmtId="2" fontId="63" fillId="0" borderId="15" xfId="0" applyNumberFormat="1" applyFont="1" applyBorder="1" applyAlignment="1">
      <alignment vertical="top" wrapText="1"/>
    </xf>
    <xf numFmtId="2" fontId="63" fillId="0" borderId="15" xfId="0" applyNumberFormat="1" applyFont="1" applyBorder="1" applyAlignment="1">
      <alignment horizontal="left" vertical="top" wrapText="1"/>
    </xf>
    <xf numFmtId="2" fontId="0" fillId="0" borderId="15" xfId="0" applyNumberFormat="1" applyBorder="1" applyAlignment="1">
      <alignment horizontal="left" vertical="top"/>
    </xf>
    <xf numFmtId="0" fontId="0" fillId="0" borderId="15" xfId="0" applyBorder="1" applyAlignment="1">
      <alignment horizontal="left" vertical="top" wrapText="1"/>
    </xf>
    <xf numFmtId="0" fontId="6" fillId="2" borderId="0" xfId="0" applyFont="1" applyFill="1" applyAlignment="1">
      <alignment horizontal="left" vertical="center"/>
    </xf>
    <xf numFmtId="0" fontId="6" fillId="2" borderId="0" xfId="0" applyFont="1" applyFill="1" applyAlignment="1">
      <alignment horizontal="left" vertical="top" wrapText="1"/>
    </xf>
    <xf numFmtId="0" fontId="58" fillId="7" borderId="12" xfId="0" applyFont="1" applyFill="1" applyBorder="1" applyAlignment="1">
      <alignment horizontal="center" vertical="center"/>
    </xf>
    <xf numFmtId="0" fontId="58" fillId="7" borderId="10" xfId="0" applyFont="1" applyFill="1" applyBorder="1" applyAlignment="1">
      <alignment horizontal="center" vertical="center"/>
    </xf>
    <xf numFmtId="0" fontId="58" fillId="7" borderId="9" xfId="0" applyFont="1" applyFill="1" applyBorder="1" applyAlignment="1">
      <alignment horizontal="center" vertical="center"/>
    </xf>
    <xf numFmtId="0" fontId="58" fillId="7" borderId="11" xfId="0" applyFont="1" applyFill="1" applyBorder="1" applyAlignment="1">
      <alignment horizontal="center" vertical="center"/>
    </xf>
    <xf numFmtId="0" fontId="58" fillId="7" borderId="13" xfId="0" applyFont="1" applyFill="1" applyBorder="1" applyAlignment="1">
      <alignment horizontal="center" vertical="center"/>
    </xf>
    <xf numFmtId="0" fontId="0" fillId="2" borderId="0" xfId="0" applyFill="1" applyAlignment="1">
      <alignment horizontal="center"/>
    </xf>
    <xf numFmtId="0" fontId="0" fillId="2" borderId="2" xfId="0" applyFill="1" applyBorder="1" applyAlignment="1">
      <alignment horizontal="center"/>
    </xf>
    <xf numFmtId="0" fontId="69" fillId="2" borderId="0" xfId="0" applyFont="1" applyFill="1"/>
    <xf numFmtId="0" fontId="22" fillId="2" borderId="2" xfId="0" applyFont="1" applyFill="1" applyBorder="1" applyAlignment="1">
      <alignment horizontal="left" vertical="center" wrapText="1" readingOrder="1"/>
    </xf>
    <xf numFmtId="0" fontId="22" fillId="2" borderId="0" xfId="0" applyFont="1" applyFill="1" applyAlignment="1">
      <alignment horizontal="left" vertical="center" wrapText="1" readingOrder="1"/>
    </xf>
    <xf numFmtId="0" fontId="0" fillId="2" borderId="0" xfId="0" applyFill="1" applyAlignment="1">
      <alignment vertical="center" wrapText="1"/>
    </xf>
    <xf numFmtId="0" fontId="0" fillId="2" borderId="0" xfId="0" applyFill="1" applyAlignment="1">
      <alignment vertical="center"/>
    </xf>
    <xf numFmtId="0" fontId="34" fillId="2" borderId="11" xfId="0" applyFont="1" applyFill="1" applyBorder="1" applyAlignment="1">
      <alignment vertical="center" wrapText="1"/>
    </xf>
    <xf numFmtId="0" fontId="34" fillId="2" borderId="11" xfId="0" applyFont="1" applyFill="1" applyBorder="1" applyAlignment="1">
      <alignment vertical="center"/>
    </xf>
    <xf numFmtId="164" fontId="34" fillId="2" borderId="11" xfId="0" applyNumberFormat="1" applyFont="1" applyFill="1" applyBorder="1" applyAlignment="1">
      <alignment vertical="center"/>
    </xf>
    <xf numFmtId="164" fontId="34" fillId="2" borderId="11" xfId="1" applyNumberFormat="1" applyFont="1" applyFill="1" applyBorder="1" applyAlignment="1">
      <alignment vertical="center"/>
    </xf>
    <xf numFmtId="0" fontId="0" fillId="2" borderId="11" xfId="0" applyFill="1" applyBorder="1" applyAlignment="1">
      <alignment vertical="center"/>
    </xf>
    <xf numFmtId="9" fontId="0" fillId="2" borderId="0" xfId="0" applyNumberFormat="1" applyFill="1" applyAlignment="1">
      <alignment vertical="center"/>
    </xf>
    <xf numFmtId="0" fontId="0" fillId="2" borderId="11" xfId="0" applyFont="1" applyFill="1" applyBorder="1" applyAlignment="1">
      <alignment vertical="center"/>
    </xf>
    <xf numFmtId="0" fontId="43" fillId="2" borderId="0" xfId="0" applyFont="1" applyFill="1" applyAlignment="1">
      <alignment vertical="center" wrapText="1"/>
    </xf>
    <xf numFmtId="0" fontId="43" fillId="2" borderId="0" xfId="0" applyFont="1" applyFill="1" applyAlignment="1">
      <alignment vertical="center"/>
    </xf>
    <xf numFmtId="0" fontId="0" fillId="0" borderId="0" xfId="0" applyAlignment="1">
      <alignment vertical="center" wrapText="1"/>
    </xf>
    <xf numFmtId="0" fontId="0" fillId="2" borderId="11" xfId="0" applyFill="1" applyBorder="1" applyAlignment="1">
      <alignment horizontal="left" vertical="center" wrapText="1" indent="2"/>
    </xf>
    <xf numFmtId="0" fontId="39" fillId="2" borderId="2" xfId="0" applyFont="1" applyFill="1" applyBorder="1" applyAlignment="1">
      <alignment horizontal="left" vertical="center" wrapText="1" readingOrder="1"/>
    </xf>
    <xf numFmtId="0" fontId="39" fillId="2" borderId="0" xfId="0" applyFont="1" applyFill="1" applyAlignment="1">
      <alignment horizontal="left" vertical="center" wrapText="1" readingOrder="1"/>
    </xf>
    <xf numFmtId="0" fontId="38" fillId="2" borderId="0" xfId="0" applyFont="1" applyFill="1" applyAlignment="1">
      <alignment vertical="center" wrapText="1"/>
    </xf>
    <xf numFmtId="0" fontId="40" fillId="2" borderId="0" xfId="0" applyFont="1" applyFill="1" applyAlignment="1">
      <alignment vertical="center" wrapText="1"/>
    </xf>
    <xf numFmtId="0" fontId="38" fillId="0" borderId="0" xfId="0" applyFont="1" applyAlignment="1">
      <alignment vertical="center" wrapText="1"/>
    </xf>
  </cellXfs>
  <cellStyles count="4">
    <cellStyle name="Normal" xfId="0" builtinId="0"/>
    <cellStyle name="Normal 2" xfId="2" xr:uid="{70FBA092-23EF-4F18-9AF2-20A75D7C97F9}"/>
    <cellStyle name="Normal 3" xfId="3" xr:uid="{E61055BD-EA55-4FC6-B928-301845F41BAA}"/>
    <cellStyle name="Porcentaje" xfId="1" builtinId="5"/>
  </cellStyles>
  <dxfs count="10">
    <dxf>
      <fill>
        <patternFill>
          <bgColor rgb="FFFF0000"/>
        </patternFill>
      </fill>
    </dxf>
    <dxf>
      <fill>
        <patternFill>
          <bgColor theme="9" tint="0.59996337778862885"/>
        </patternFill>
      </fill>
    </dxf>
    <dxf>
      <fill>
        <patternFill>
          <bgColor rgb="FFFF0000"/>
        </patternFill>
      </fill>
    </dxf>
    <dxf>
      <fill>
        <patternFill>
          <bgColor theme="5"/>
        </patternFill>
      </fill>
    </dxf>
    <dxf>
      <fill>
        <patternFill>
          <bgColor rgb="FFFFC000"/>
        </patternFill>
      </fill>
    </dxf>
    <dxf>
      <fill>
        <patternFill>
          <bgColor theme="9" tint="0.79998168889431442"/>
        </patternFill>
      </fill>
    </dxf>
    <dxf>
      <fill>
        <patternFill>
          <bgColor rgb="FFFF0000"/>
        </patternFill>
      </fill>
    </dxf>
    <dxf>
      <fill>
        <patternFill>
          <bgColor theme="9" tint="0.59996337778862885"/>
        </patternFill>
      </fill>
    </dxf>
    <dxf>
      <fill>
        <patternFill>
          <bgColor rgb="FFFF0000"/>
        </patternFill>
      </fill>
    </dxf>
    <dxf>
      <fill>
        <patternFill>
          <bgColor theme="9" tint="0.59996337778862885"/>
        </patternFill>
      </fill>
    </dxf>
  </dxfs>
  <tableStyles count="0" defaultTableStyle="TableStyleMedium2" defaultPivotStyle="PivotStyleLight16"/>
  <colors>
    <mruColors>
      <color rgb="FF9E1732"/>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eetMetadata" Target="metadata.xml"/><Relationship Id="rId18"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17" Type="http://schemas.openxmlformats.org/officeDocument/2006/relationships/customXml" Target="../customXml/item2.xml"/><Relationship Id="rId2" Type="http://schemas.openxmlformats.org/officeDocument/2006/relationships/worksheet" Target="worksheets/sheet2.xml"/><Relationship Id="rId16"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17/10/relationships/person" Target="persons/perso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ca-ES"/>
              <a:t>Sistemes</a:t>
            </a:r>
            <a:r>
              <a:rPr lang="ca-ES" baseline="0"/>
              <a:t> amb Conjunts de dades</a:t>
            </a:r>
            <a:endParaRPr lang="ca-ES"/>
          </a:p>
        </c:rich>
      </c:tx>
      <c:layout>
        <c:manualLayout>
          <c:xMode val="edge"/>
          <c:yMode val="edge"/>
          <c:x val="1.3394027512308969E-3"/>
          <c:y val="0"/>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ca-ES"/>
        </a:p>
      </c:txPr>
    </c:title>
    <c:autoTitleDeleted val="0"/>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explosion val="5"/>
          <c:dPt>
            <c:idx val="0"/>
            <c:bubble3D val="0"/>
            <c:spPr>
              <a:solidFill>
                <a:schemeClr val="accent3">
                  <a:lumMod val="60000"/>
                  <a:lumOff val="4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01-3A5A-4BE9-BDF6-D2FC8680ED29}"/>
              </c:ext>
            </c:extLst>
          </c:dPt>
          <c:dPt>
            <c:idx val="1"/>
            <c:bubble3D val="0"/>
            <c:spPr>
              <a:solidFill>
                <a:srgbClr val="C00000"/>
              </a:solidFill>
              <a:ln w="25400">
                <a:solidFill>
                  <a:schemeClr val="lt1"/>
                </a:solidFill>
              </a:ln>
              <a:effectLst/>
              <a:sp3d contourW="25400">
                <a:contourClr>
                  <a:schemeClr val="lt1"/>
                </a:contourClr>
              </a:sp3d>
            </c:spPr>
            <c:extLst>
              <c:ext xmlns:c16="http://schemas.microsoft.com/office/drawing/2014/chart" uri="{C3380CC4-5D6E-409C-BE32-E72D297353CC}">
                <c16:uniqueId val="{00000003-3A5A-4BE9-BDF6-D2FC8680ED29}"/>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ca-ES"/>
              </a:p>
            </c:txPr>
            <c:dLblPos val="outEnd"/>
            <c:showLegendKey val="0"/>
            <c:showVal val="1"/>
            <c:showCatName val="1"/>
            <c:showSerName val="0"/>
            <c:showPercent val="0"/>
            <c:showBubbleSize val="0"/>
            <c:separator>  </c:separator>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Qualitat!$D$11:$D$12</c:f>
              <c:strCache>
                <c:ptCount val="2"/>
                <c:pt idx="0">
                  <c:v>Sistemes amb Conjunts de dades</c:v>
                </c:pt>
                <c:pt idx="1">
                  <c:v>Sistemes sense relacions correctes amb Conjunt de dades</c:v>
                </c:pt>
              </c:strCache>
            </c:strRef>
          </c:cat>
          <c:val>
            <c:numRef>
              <c:f>Qualitat!$E$11:$E$12</c:f>
              <c:numCache>
                <c:formatCode>General</c:formatCode>
                <c:ptCount val="2"/>
                <c:pt idx="0">
                  <c:v>4</c:v>
                </c:pt>
                <c:pt idx="1">
                  <c:v>36</c:v>
                </c:pt>
              </c:numCache>
            </c:numRef>
          </c:val>
          <c:extLst>
            <c:ext xmlns:c16="http://schemas.microsoft.com/office/drawing/2014/chart" uri="{C3380CC4-5D6E-409C-BE32-E72D297353CC}">
              <c16:uniqueId val="{00000004-3A5A-4BE9-BDF6-D2FC8680ED29}"/>
            </c:ext>
          </c:extLst>
        </c:ser>
        <c:dLbls>
          <c:showLegendKey val="0"/>
          <c:showVal val="0"/>
          <c:showCatName val="0"/>
          <c:showSerName val="0"/>
          <c:showPercent val="0"/>
          <c:showBubbleSize val="0"/>
          <c:showLeaderLines val="1"/>
        </c:dLbls>
      </c:pie3D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ca-E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ca-E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ca-ES"/>
              <a:t>Dominis</a:t>
            </a:r>
            <a:r>
              <a:rPr lang="ca-ES" baseline="0"/>
              <a:t> de dades  amb Conjunts de dades</a:t>
            </a:r>
            <a:endParaRPr lang="ca-E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ca-ES"/>
        </a:p>
      </c:txPr>
    </c:title>
    <c:autoTitleDeleted val="0"/>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explosion val="5"/>
          <c:dPt>
            <c:idx val="0"/>
            <c:bubble3D val="0"/>
            <c:spPr>
              <a:solidFill>
                <a:schemeClr val="accent3">
                  <a:lumMod val="60000"/>
                  <a:lumOff val="4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01-DAFA-4A76-8AA3-E13F92E543E4}"/>
              </c:ext>
            </c:extLst>
          </c:dPt>
          <c:dPt>
            <c:idx val="1"/>
            <c:bubble3D val="0"/>
            <c:spPr>
              <a:solidFill>
                <a:srgbClr val="C00000"/>
              </a:solidFill>
              <a:ln w="25400">
                <a:solidFill>
                  <a:schemeClr val="lt1"/>
                </a:solidFill>
              </a:ln>
              <a:effectLst/>
              <a:sp3d contourW="25400">
                <a:contourClr>
                  <a:schemeClr val="lt1"/>
                </a:contourClr>
              </a:sp3d>
            </c:spPr>
            <c:extLst>
              <c:ext xmlns:c16="http://schemas.microsoft.com/office/drawing/2014/chart" uri="{C3380CC4-5D6E-409C-BE32-E72D297353CC}">
                <c16:uniqueId val="{00000003-DAFA-4A76-8AA3-E13F92E543E4}"/>
              </c:ext>
            </c:extLst>
          </c:dPt>
          <c:dLbls>
            <c:spPr>
              <a:noFill/>
              <a:ln>
                <a:noFill/>
              </a:ln>
              <a:effectLst/>
            </c:spPr>
            <c:txPr>
              <a:bodyPr rot="0" spcFirstLastPara="1" vertOverflow="ellipsis" vert="horz" wrap="square" lIns="38100" tIns="19050" rIns="38100" bIns="19050" anchor="ctr" anchorCtr="1">
                <a:spAutoFit/>
              </a:bodyPr>
              <a:lstStyle/>
              <a:p>
                <a:pPr>
                  <a:defRPr sz="900" b="1" i="1" u="none" strike="noStrike" kern="1200" baseline="0">
                    <a:solidFill>
                      <a:schemeClr val="tx1"/>
                    </a:solidFill>
                    <a:latin typeface="+mn-lt"/>
                    <a:ea typeface="+mn-ea"/>
                    <a:cs typeface="+mn-cs"/>
                  </a:defRPr>
                </a:pPr>
                <a:endParaRPr lang="ca-ES"/>
              </a:p>
            </c:txPr>
            <c:dLblPos val="outEnd"/>
            <c:showLegendKey val="0"/>
            <c:showVal val="1"/>
            <c:showCatName val="1"/>
            <c:showSerName val="0"/>
            <c:showPercent val="0"/>
            <c:showBubbleSize val="0"/>
            <c:separator> </c:separator>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Qualitat!$D$19:$D$20</c:f>
              <c:strCache>
                <c:ptCount val="2"/>
                <c:pt idx="0">
                  <c:v>Dominis amb conjunts de dades</c:v>
                </c:pt>
                <c:pt idx="1">
                  <c:v>Dominis sense cap Conjunt de dades</c:v>
                </c:pt>
              </c:strCache>
            </c:strRef>
          </c:cat>
          <c:val>
            <c:numRef>
              <c:f>Qualitat!$E$19:$E$20</c:f>
              <c:numCache>
                <c:formatCode>General</c:formatCode>
                <c:ptCount val="2"/>
                <c:pt idx="0">
                  <c:v>29</c:v>
                </c:pt>
                <c:pt idx="1">
                  <c:v>7</c:v>
                </c:pt>
              </c:numCache>
            </c:numRef>
          </c:val>
          <c:extLst>
            <c:ext xmlns:c16="http://schemas.microsoft.com/office/drawing/2014/chart" uri="{C3380CC4-5D6E-409C-BE32-E72D297353CC}">
              <c16:uniqueId val="{00000004-DAFA-4A76-8AA3-E13F92E543E4}"/>
            </c:ext>
          </c:extLst>
        </c:ser>
        <c:dLbls>
          <c:showLegendKey val="0"/>
          <c:showVal val="0"/>
          <c:showCatName val="0"/>
          <c:showSerName val="0"/>
          <c:showPercent val="0"/>
          <c:showBubbleSize val="0"/>
          <c:showLeaderLines val="1"/>
        </c:dLbls>
      </c:pie3D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ca-E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ca-E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image" Target="../media/image2.sv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2.svg"/><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2" Type="http://schemas.openxmlformats.org/officeDocument/2006/relationships/image" Target="../media/image2.svg"/><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2" Type="http://schemas.openxmlformats.org/officeDocument/2006/relationships/image" Target="../media/image2.svg"/><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2" Type="http://schemas.openxmlformats.org/officeDocument/2006/relationships/image" Target="../media/image2.svg"/><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3" Type="http://schemas.openxmlformats.org/officeDocument/2006/relationships/image" Target="../media/image1.png"/><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image" Target="../media/image2.svg"/></Relationships>
</file>

<file path=xl/drawings/_rels/drawing7.xml.rels><?xml version="1.0" encoding="UTF-8" standalone="yes"?>
<Relationships xmlns="http://schemas.openxmlformats.org/package/2006/relationships"><Relationship Id="rId2" Type="http://schemas.openxmlformats.org/officeDocument/2006/relationships/image" Target="../media/image2.svg"/><Relationship Id="rId1" Type="http://schemas.openxmlformats.org/officeDocument/2006/relationships/image" Target="../media/image1.png"/></Relationships>
</file>

<file path=xl/drawings/_rels/drawing8.xml.rels><?xml version="1.0" encoding="UTF-8" standalone="yes"?>
<Relationships xmlns="http://schemas.openxmlformats.org/package/2006/relationships"><Relationship Id="rId2" Type="http://schemas.openxmlformats.org/officeDocument/2006/relationships/image" Target="../media/image2.svg"/><Relationship Id="rId1" Type="http://schemas.openxmlformats.org/officeDocument/2006/relationships/image" Target="../media/image1.png"/></Relationships>
</file>

<file path=xl/drawings/_rels/drawing9.xml.rels><?xml version="1.0" encoding="UTF-8" standalone="yes"?>
<Relationships xmlns="http://schemas.openxmlformats.org/package/2006/relationships"><Relationship Id="rId1" Type="http://schemas.openxmlformats.org/officeDocument/2006/relationships/image" Target="../media/image3.png"/></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1</xdr:row>
      <xdr:rowOff>0</xdr:rowOff>
    </xdr:from>
    <xdr:to>
      <xdr:col>3</xdr:col>
      <xdr:colOff>571500</xdr:colOff>
      <xdr:row>3</xdr:row>
      <xdr:rowOff>93980</xdr:rowOff>
    </xdr:to>
    <xdr:pic>
      <xdr:nvPicPr>
        <xdr:cNvPr id="2" name="Gráfico 413">
          <a:extLst>
            <a:ext uri="{FF2B5EF4-FFF2-40B4-BE49-F238E27FC236}">
              <a16:creationId xmlns:a16="http://schemas.microsoft.com/office/drawing/2014/main" id="{DF0C99D8-C51D-4F2D-A87B-E0A887F1432E}"/>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75260" y="182880"/>
          <a:ext cx="1386840" cy="45974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0</xdr:colOff>
      <xdr:row>1</xdr:row>
      <xdr:rowOff>0</xdr:rowOff>
    </xdr:from>
    <xdr:to>
      <xdr:col>1</xdr:col>
      <xdr:colOff>1386840</xdr:colOff>
      <xdr:row>3</xdr:row>
      <xdr:rowOff>93980</xdr:rowOff>
    </xdr:to>
    <xdr:pic>
      <xdr:nvPicPr>
        <xdr:cNvPr id="2" name="Gráfico 413">
          <a:extLst>
            <a:ext uri="{FF2B5EF4-FFF2-40B4-BE49-F238E27FC236}">
              <a16:creationId xmlns:a16="http://schemas.microsoft.com/office/drawing/2014/main" id="{C3F77379-1163-4D24-A77A-C0F7DB708C03}"/>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71450" y="180975"/>
          <a:ext cx="1381125" cy="45974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0</xdr:colOff>
      <xdr:row>1</xdr:row>
      <xdr:rowOff>0</xdr:rowOff>
    </xdr:from>
    <xdr:to>
      <xdr:col>1</xdr:col>
      <xdr:colOff>1390650</xdr:colOff>
      <xdr:row>3</xdr:row>
      <xdr:rowOff>117268</xdr:rowOff>
    </xdr:to>
    <xdr:pic>
      <xdr:nvPicPr>
        <xdr:cNvPr id="2" name="Gráfico 413">
          <a:extLst>
            <a:ext uri="{FF2B5EF4-FFF2-40B4-BE49-F238E27FC236}">
              <a16:creationId xmlns:a16="http://schemas.microsoft.com/office/drawing/2014/main" id="{ADB22C5C-BD6D-4B7A-A496-9600AB658F40}"/>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92640" y="171236"/>
          <a:ext cx="1390650" cy="459740"/>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1</xdr:col>
      <xdr:colOff>0</xdr:colOff>
      <xdr:row>1</xdr:row>
      <xdr:rowOff>0</xdr:rowOff>
    </xdr:from>
    <xdr:to>
      <xdr:col>1</xdr:col>
      <xdr:colOff>1386840</xdr:colOff>
      <xdr:row>3</xdr:row>
      <xdr:rowOff>117268</xdr:rowOff>
    </xdr:to>
    <xdr:pic>
      <xdr:nvPicPr>
        <xdr:cNvPr id="2" name="Gráfico 413">
          <a:extLst>
            <a:ext uri="{FF2B5EF4-FFF2-40B4-BE49-F238E27FC236}">
              <a16:creationId xmlns:a16="http://schemas.microsoft.com/office/drawing/2014/main" id="{7CB1068D-6187-450E-8410-135BE567172F}"/>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535112" y="171236"/>
          <a:ext cx="1386840" cy="459740"/>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1</xdr:col>
      <xdr:colOff>0</xdr:colOff>
      <xdr:row>1</xdr:row>
      <xdr:rowOff>0</xdr:rowOff>
    </xdr:from>
    <xdr:to>
      <xdr:col>1</xdr:col>
      <xdr:colOff>1386840</xdr:colOff>
      <xdr:row>3</xdr:row>
      <xdr:rowOff>122348</xdr:rowOff>
    </xdr:to>
    <xdr:pic>
      <xdr:nvPicPr>
        <xdr:cNvPr id="2" name="Gráfico 413">
          <a:extLst>
            <a:ext uri="{FF2B5EF4-FFF2-40B4-BE49-F238E27FC236}">
              <a16:creationId xmlns:a16="http://schemas.microsoft.com/office/drawing/2014/main" id="{C157AD70-3012-41E6-816D-D039785DEA20}"/>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75260" y="175260"/>
          <a:ext cx="1386840" cy="472868"/>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xdr:from>
      <xdr:col>6</xdr:col>
      <xdr:colOff>271669</xdr:colOff>
      <xdr:row>6</xdr:row>
      <xdr:rowOff>13253</xdr:rowOff>
    </xdr:from>
    <xdr:to>
      <xdr:col>12</xdr:col>
      <xdr:colOff>655983</xdr:colOff>
      <xdr:row>20</xdr:row>
      <xdr:rowOff>46383</xdr:rowOff>
    </xdr:to>
    <xdr:graphicFrame macro="">
      <xdr:nvGraphicFramePr>
        <xdr:cNvPr id="5" name="Gráfico 4">
          <a:extLst>
            <a:ext uri="{FF2B5EF4-FFF2-40B4-BE49-F238E27FC236}">
              <a16:creationId xmlns:a16="http://schemas.microsoft.com/office/drawing/2014/main" id="{1A2AD0F8-A3D9-4757-9D29-F96F7844B26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271669</xdr:colOff>
      <xdr:row>22</xdr:row>
      <xdr:rowOff>53009</xdr:rowOff>
    </xdr:from>
    <xdr:to>
      <xdr:col>12</xdr:col>
      <xdr:colOff>642731</xdr:colOff>
      <xdr:row>40</xdr:row>
      <xdr:rowOff>53009</xdr:rowOff>
    </xdr:to>
    <xdr:graphicFrame macro="">
      <xdr:nvGraphicFramePr>
        <xdr:cNvPr id="6" name="Gráfico 5">
          <a:extLst>
            <a:ext uri="{FF2B5EF4-FFF2-40B4-BE49-F238E27FC236}">
              <a16:creationId xmlns:a16="http://schemas.microsoft.com/office/drawing/2014/main" id="{8B475080-361E-4260-BF29-4ED1E6149EA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0</xdr:colOff>
      <xdr:row>1</xdr:row>
      <xdr:rowOff>0</xdr:rowOff>
    </xdr:from>
    <xdr:to>
      <xdr:col>3</xdr:col>
      <xdr:colOff>293535</xdr:colOff>
      <xdr:row>3</xdr:row>
      <xdr:rowOff>128311</xdr:rowOff>
    </xdr:to>
    <xdr:pic>
      <xdr:nvPicPr>
        <xdr:cNvPr id="3" name="Gráfico 413">
          <a:extLst>
            <a:ext uri="{FF2B5EF4-FFF2-40B4-BE49-F238E27FC236}">
              <a16:creationId xmlns:a16="http://schemas.microsoft.com/office/drawing/2014/main" id="{2FCF5DF8-F261-4044-BBCC-AF8B44419A8F}"/>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106017" y="172278"/>
          <a:ext cx="1386840" cy="472868"/>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1</xdr:col>
      <xdr:colOff>0</xdr:colOff>
      <xdr:row>0</xdr:row>
      <xdr:rowOff>176892</xdr:rowOff>
    </xdr:from>
    <xdr:to>
      <xdr:col>1</xdr:col>
      <xdr:colOff>1391975</xdr:colOff>
      <xdr:row>2</xdr:row>
      <xdr:rowOff>289559</xdr:rowOff>
    </xdr:to>
    <xdr:pic>
      <xdr:nvPicPr>
        <xdr:cNvPr id="2" name="Gráfico 413">
          <a:extLst>
            <a:ext uri="{FF2B5EF4-FFF2-40B4-BE49-F238E27FC236}">
              <a16:creationId xmlns:a16="http://schemas.microsoft.com/office/drawing/2014/main" id="{7F2AF1B6-734A-4518-A370-32A3FF7F1310}"/>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76893" y="176892"/>
          <a:ext cx="1369115" cy="462643"/>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5</xdr:col>
      <xdr:colOff>568325</xdr:colOff>
      <xdr:row>0</xdr:row>
      <xdr:rowOff>111125</xdr:rowOff>
    </xdr:from>
    <xdr:to>
      <xdr:col>7</xdr:col>
      <xdr:colOff>533400</xdr:colOff>
      <xdr:row>1</xdr:row>
      <xdr:rowOff>408124</xdr:rowOff>
    </xdr:to>
    <xdr:pic>
      <xdr:nvPicPr>
        <xdr:cNvPr id="2" name="Gráfico 413">
          <a:extLst>
            <a:ext uri="{FF2B5EF4-FFF2-40B4-BE49-F238E27FC236}">
              <a16:creationId xmlns:a16="http://schemas.microsoft.com/office/drawing/2014/main" id="{93EBCDA0-D76E-4E08-AA8D-FD2DD002BA73}"/>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5713075" y="111125"/>
          <a:ext cx="1489075" cy="496570"/>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oneCellAnchor>
    <xdr:from>
      <xdr:col>56</xdr:col>
      <xdr:colOff>504595</xdr:colOff>
      <xdr:row>12</xdr:row>
      <xdr:rowOff>177165</xdr:rowOff>
    </xdr:from>
    <xdr:ext cx="11300113" cy="4356188"/>
    <xdr:pic>
      <xdr:nvPicPr>
        <xdr:cNvPr id="2" name="Imatge 2">
          <a:extLst>
            <a:ext uri="{FF2B5EF4-FFF2-40B4-BE49-F238E27FC236}">
              <a16:creationId xmlns:a16="http://schemas.microsoft.com/office/drawing/2014/main" id="{B56E2335-1F69-4584-A340-5731BDDC1B76}"/>
            </a:ext>
          </a:extLst>
        </xdr:cNvPr>
        <xdr:cNvPicPr>
          <a:picLocks noChangeAspect="1"/>
        </xdr:cNvPicPr>
      </xdr:nvPicPr>
      <xdr:blipFill>
        <a:blip xmlns:r="http://schemas.openxmlformats.org/officeDocument/2006/relationships" r:embed="rId1"/>
        <a:stretch>
          <a:fillRect/>
        </a:stretch>
      </xdr:blipFill>
      <xdr:spPr>
        <a:xfrm>
          <a:off x="42986095" y="3491865"/>
          <a:ext cx="11300113" cy="4356188"/>
        </a:xfrm>
        <a:prstGeom prst="rect">
          <a:avLst/>
        </a:prstGeom>
      </xdr:spPr>
    </xdr:pic>
    <xdr:clientData/>
  </xdr:oneCellAnchor>
</xdr:wsDr>
</file>

<file path=xl/persons/person.xml><?xml version="1.0" encoding="utf-8"?>
<personList xmlns="http://schemas.microsoft.com/office/spreadsheetml/2018/threadedcomments" xmlns:x="http://schemas.openxmlformats.org/spreadsheetml/2006/main">
  <person displayName="lorentemm_x000a_" id="{CD70C519-750C-4A2C-A171-474EC1CE5D5A}" userId="lorentemm_x000a_" providerId="None"/>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readedComments/threadedComment1.xml><?xml version="1.0" encoding="utf-8"?>
<ThreadedComments xmlns="http://schemas.microsoft.com/office/spreadsheetml/2018/threadedcomments" xmlns:x="http://schemas.openxmlformats.org/spreadsheetml/2006/main">
  <threadedComment ref="B8" dT="2026-05-17T18:44:09.62" personId="{CD70C519-750C-4A2C-A171-474EC1CE5D5A}" id="{EE77B44E-C4A0-415D-B945-60E29AA0F72F}">
    <text xml:space="preserve">D'on surten aquests conjunts? Dels catàleg s de Tarragona? Mataro? 
</text>
  </threadedComment>
  <threadedComment ref="B8" dT="2026-05-17T18:45:10.87" personId="{CD70C519-750C-4A2C-A171-474EC1CE5D5A}" id="{2E55C67F-23BF-4AE8-B595-A3B5774F1438}" parentId="{EE77B44E-C4A0-415D-B945-60E29AA0F72F}">
    <text>Crec que el conjunt de dades ha d'incorporar el contingut del conjunt de forma concreta</text>
  </threadedComment>
  <threadedComment ref="B8" dT="2026-05-17T18:46:22.66" personId="{CD70C519-750C-4A2C-A171-474EC1CE5D5A}" id="{18767B45-DD98-4EA8-B137-FF91A806B8FA}" parentId="{EE77B44E-C4A0-415D-B945-60E29AA0F72F}">
    <text>Crec que és important saber perquè l'incorporem. En quin inventari dels que hem analitzat s'ha proposat. En el de Tarragona? En el de Mataro?</text>
  </threadedComment>
</ThreadedComments>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1.bin"/><Relationship Id="rId4" Type="http://schemas.openxmlformats.org/officeDocument/2006/relationships/comments" Target="../comments1.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4.xml"/><Relationship Id="rId1" Type="http://schemas.openxmlformats.org/officeDocument/2006/relationships/printerSettings" Target="../printerSettings/printerSettings3.bin"/><Relationship Id="rId5" Type="http://schemas.microsoft.com/office/2017/10/relationships/threadedComment" Target="../threadedComments/threadedComment1.xml"/><Relationship Id="rId4" Type="http://schemas.openxmlformats.org/officeDocument/2006/relationships/comments" Target="../comments2.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4.bin"/></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7C86CA-2BF3-499E-B9C2-0C7EDBCDAE9B}">
  <dimension ref="A1:N35"/>
  <sheetViews>
    <sheetView workbookViewId="0">
      <pane ySplit="5" topLeftCell="A6" activePane="bottomLeft" state="frozen"/>
      <selection pane="bottomLeft" activeCell="E15" sqref="E15"/>
    </sheetView>
  </sheetViews>
  <sheetFormatPr baseColWidth="10" defaultColWidth="11.44140625" defaultRowHeight="14.4" x14ac:dyDescent="0.3"/>
  <cols>
    <col min="1" max="1" width="2.5546875" style="4" customWidth="1"/>
    <col min="2" max="2" width="3.44140625" customWidth="1"/>
    <col min="3" max="3" width="8.44140625" style="97" customWidth="1"/>
    <col min="4" max="4" width="115.21875" customWidth="1"/>
    <col min="5" max="5" width="26.21875" style="4" customWidth="1"/>
    <col min="6" max="6" width="29.5546875" style="4" customWidth="1"/>
    <col min="7" max="7" width="24.77734375" style="4" bestFit="1" customWidth="1"/>
    <col min="8" max="8" width="24.21875" style="4" bestFit="1" customWidth="1"/>
    <col min="9" max="9" width="27.21875" style="4" customWidth="1"/>
    <col min="10" max="11" width="26.44140625" style="4" customWidth="1"/>
    <col min="12" max="12" width="23.5546875" style="4" customWidth="1"/>
    <col min="13" max="13" width="22.5546875" style="4" customWidth="1"/>
    <col min="14" max="14" width="38.5546875" style="4" bestFit="1" customWidth="1"/>
    <col min="15" max="15" width="27.21875" bestFit="1" customWidth="1"/>
    <col min="16" max="16" width="33.44140625" customWidth="1"/>
    <col min="17" max="17" width="47.21875" bestFit="1" customWidth="1"/>
    <col min="18" max="18" width="41.5546875" bestFit="1" customWidth="1"/>
    <col min="19" max="19" width="34.44140625" bestFit="1" customWidth="1"/>
    <col min="20" max="20" width="41.5546875" bestFit="1" customWidth="1"/>
    <col min="21" max="21" width="49.77734375" bestFit="1" customWidth="1"/>
  </cols>
  <sheetData>
    <row r="1" spans="1:10" s="3" customFormat="1" x14ac:dyDescent="0.3">
      <c r="A1" s="1"/>
      <c r="B1" s="9"/>
      <c r="D1" s="11"/>
      <c r="E1" s="11"/>
      <c r="F1" s="11"/>
      <c r="G1" s="11"/>
      <c r="H1" s="11"/>
      <c r="I1" s="11"/>
      <c r="J1" s="11"/>
    </row>
    <row r="2" spans="1:10" s="3" customFormat="1" x14ac:dyDescent="0.3">
      <c r="A2" s="1"/>
      <c r="B2" s="9"/>
      <c r="D2" s="11"/>
      <c r="E2" s="11"/>
      <c r="F2" s="11"/>
      <c r="G2" s="11"/>
      <c r="H2" s="11"/>
      <c r="I2" s="11"/>
      <c r="J2" s="11"/>
    </row>
    <row r="3" spans="1:10" s="3" customFormat="1" x14ac:dyDescent="0.3">
      <c r="A3" s="1"/>
      <c r="B3" s="9"/>
      <c r="D3" s="11"/>
      <c r="E3" s="11"/>
      <c r="F3" s="11"/>
      <c r="G3" s="11"/>
      <c r="H3" s="11"/>
      <c r="I3" s="11"/>
      <c r="J3" s="11"/>
    </row>
    <row r="4" spans="1:10" s="3" customFormat="1" x14ac:dyDescent="0.3">
      <c r="A4" s="1"/>
      <c r="B4" s="9"/>
      <c r="D4" s="11"/>
      <c r="E4" s="11"/>
      <c r="F4" s="11"/>
      <c r="G4" s="11"/>
      <c r="H4" s="11"/>
      <c r="I4" s="11"/>
      <c r="J4" s="11"/>
    </row>
    <row r="5" spans="1:10" s="4" customFormat="1" ht="26.4" thickBot="1" x14ac:dyDescent="0.35">
      <c r="B5" s="6" t="s">
        <v>0</v>
      </c>
      <c r="C5" s="6"/>
      <c r="D5" s="6"/>
    </row>
    <row r="6" spans="1:10" s="2" customFormat="1" ht="15" thickTop="1" x14ac:dyDescent="0.3">
      <c r="A6" s="1"/>
      <c r="B6" s="1"/>
      <c r="C6" s="1"/>
    </row>
    <row r="7" spans="1:10" s="2" customFormat="1" ht="14.55" customHeight="1" x14ac:dyDescent="0.3">
      <c r="C7" s="3"/>
      <c r="I7" s="3"/>
    </row>
    <row r="8" spans="1:10" s="4" customFormat="1" x14ac:dyDescent="0.3">
      <c r="C8" s="186" t="s">
        <v>432</v>
      </c>
      <c r="D8" s="186"/>
    </row>
    <row r="9" spans="1:10" s="4" customFormat="1" ht="15.6" x14ac:dyDescent="0.3">
      <c r="C9" s="94"/>
    </row>
    <row r="10" spans="1:10" s="4" customFormat="1" x14ac:dyDescent="0.3">
      <c r="C10" s="95"/>
      <c r="D10" s="98" t="s">
        <v>433</v>
      </c>
    </row>
    <row r="11" spans="1:10" s="4" customFormat="1" ht="27.6" x14ac:dyDescent="0.3">
      <c r="C11" s="95"/>
      <c r="D11" s="98" t="s">
        <v>434</v>
      </c>
    </row>
    <row r="12" spans="1:10" s="4" customFormat="1" x14ac:dyDescent="0.3">
      <c r="C12" s="95"/>
      <c r="D12" s="98" t="s">
        <v>435</v>
      </c>
    </row>
    <row r="13" spans="1:10" s="4" customFormat="1" x14ac:dyDescent="0.3">
      <c r="C13" s="95"/>
      <c r="D13" s="99" t="s">
        <v>440</v>
      </c>
    </row>
    <row r="14" spans="1:10" s="4" customFormat="1" x14ac:dyDescent="0.3">
      <c r="C14" s="95"/>
      <c r="D14" s="99" t="s">
        <v>441</v>
      </c>
    </row>
    <row r="15" spans="1:10" s="4" customFormat="1" x14ac:dyDescent="0.3">
      <c r="C15" s="95"/>
      <c r="D15" s="99" t="s">
        <v>442</v>
      </c>
    </row>
    <row r="16" spans="1:10" s="4" customFormat="1" x14ac:dyDescent="0.3">
      <c r="C16" s="95"/>
      <c r="D16" s="99" t="s">
        <v>443</v>
      </c>
    </row>
    <row r="17" spans="3:4" s="4" customFormat="1" x14ac:dyDescent="0.3">
      <c r="C17" s="95"/>
      <c r="D17" s="98" t="s">
        <v>436</v>
      </c>
    </row>
    <row r="18" spans="3:4" s="4" customFormat="1" x14ac:dyDescent="0.3">
      <c r="C18" s="95"/>
      <c r="D18" s="98" t="s">
        <v>437</v>
      </c>
    </row>
    <row r="19" spans="3:4" s="4" customFormat="1" x14ac:dyDescent="0.3">
      <c r="C19" s="95"/>
      <c r="D19" s="98" t="s">
        <v>438</v>
      </c>
    </row>
    <row r="20" spans="3:4" s="4" customFormat="1" x14ac:dyDescent="0.3">
      <c r="C20" s="95"/>
      <c r="D20" s="98" t="s">
        <v>439</v>
      </c>
    </row>
    <row r="21" spans="3:4" s="4" customFormat="1" x14ac:dyDescent="0.3">
      <c r="C21" s="96"/>
    </row>
    <row r="22" spans="3:4" s="4" customFormat="1" ht="46.2" customHeight="1" x14ac:dyDescent="0.3">
      <c r="C22" s="187" t="s">
        <v>444</v>
      </c>
      <c r="D22" s="187"/>
    </row>
    <row r="23" spans="3:4" s="4" customFormat="1" x14ac:dyDescent="0.3">
      <c r="C23" s="187" t="s">
        <v>445</v>
      </c>
      <c r="D23" s="187"/>
    </row>
    <row r="24" spans="3:4" s="4" customFormat="1" x14ac:dyDescent="0.3">
      <c r="C24" s="100"/>
      <c r="D24" s="100"/>
    </row>
    <row r="25" spans="3:4" s="4" customFormat="1" x14ac:dyDescent="0.3">
      <c r="C25" s="95"/>
      <c r="D25" s="98" t="s">
        <v>447</v>
      </c>
    </row>
    <row r="26" spans="3:4" s="4" customFormat="1" x14ac:dyDescent="0.3">
      <c r="C26" s="95"/>
      <c r="D26" s="98" t="s">
        <v>446</v>
      </c>
    </row>
    <row r="27" spans="3:4" s="4" customFormat="1" x14ac:dyDescent="0.3">
      <c r="C27" s="95"/>
      <c r="D27" s="98" t="s">
        <v>448</v>
      </c>
    </row>
    <row r="28" spans="3:4" s="4" customFormat="1" x14ac:dyDescent="0.3">
      <c r="C28" s="95"/>
      <c r="D28" s="98" t="s">
        <v>449</v>
      </c>
    </row>
    <row r="29" spans="3:4" s="4" customFormat="1" x14ac:dyDescent="0.3">
      <c r="C29" s="95"/>
      <c r="D29" s="98"/>
    </row>
    <row r="30" spans="3:4" s="4" customFormat="1" x14ac:dyDescent="0.3">
      <c r="C30" s="95"/>
      <c r="D30" s="98"/>
    </row>
    <row r="31" spans="3:4" s="4" customFormat="1" x14ac:dyDescent="0.3">
      <c r="C31" s="95"/>
      <c r="D31" s="98"/>
    </row>
    <row r="32" spans="3:4" s="4" customFormat="1" x14ac:dyDescent="0.3">
      <c r="C32" s="95"/>
      <c r="D32" s="98"/>
    </row>
    <row r="33" spans="3:4" s="4" customFormat="1" x14ac:dyDescent="0.3">
      <c r="C33" s="95"/>
      <c r="D33" s="98"/>
    </row>
    <row r="34" spans="3:4" s="4" customFormat="1" x14ac:dyDescent="0.3">
      <c r="C34" s="95"/>
      <c r="D34" s="98"/>
    </row>
    <row r="35" spans="3:4" s="4" customFormat="1" x14ac:dyDescent="0.3">
      <c r="C35" s="95"/>
      <c r="D35" s="98"/>
    </row>
  </sheetData>
  <mergeCells count="3">
    <mergeCell ref="C8:D8"/>
    <mergeCell ref="C22:D22"/>
    <mergeCell ref="C23:D23"/>
  </mergeCells>
  <dataValidations disablePrompts="1" count="1">
    <dataValidation operator="greaterThan" allowBlank="1" showInputMessage="1" showErrorMessage="1" sqref="E1:E4" xr:uid="{9BE86090-E516-4B8D-BAC4-D035C81B51A6}"/>
  </dataValidations>
  <pageMargins left="0.7" right="0.7" top="0.75" bottom="0.75" header="0.3" footer="0.3"/>
  <headerFooter>
    <oddFooter>&amp;L_x000D_&amp;1#&amp;"Tahoma"&amp;9&amp;KCF022B C2 – Uso Restringida</oddFooter>
  </headerFooter>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DFE2D6-1912-4EA3-96C8-8EDAB064171F}">
  <sheetPr>
    <tabColor rgb="FFFFC000"/>
  </sheetPr>
  <dimension ref="A1:O68"/>
  <sheetViews>
    <sheetView zoomScaleNormal="100" workbookViewId="0">
      <pane xSplit="2" ySplit="8" topLeftCell="C9" activePane="bottomRight" state="frozen"/>
      <selection pane="topRight" activeCell="L20" sqref="L20:L21"/>
      <selection pane="bottomLeft" activeCell="L20" sqref="L20:L21"/>
      <selection pane="bottomRight" activeCell="B7" sqref="B7"/>
    </sheetView>
  </sheetViews>
  <sheetFormatPr baseColWidth="10" defaultColWidth="11.44140625" defaultRowHeight="13.8" x14ac:dyDescent="0.3"/>
  <cols>
    <col min="1" max="1" width="2.5546875" style="26" customWidth="1"/>
    <col min="2" max="2" width="40.21875" style="31" customWidth="1"/>
    <col min="3" max="3" width="31.5546875" style="30" customWidth="1"/>
    <col min="4" max="4" width="25.44140625" style="31" customWidth="1"/>
    <col min="5" max="5" width="18.5546875" style="31" customWidth="1"/>
    <col min="6" max="9" width="12" style="31" customWidth="1"/>
    <col min="10" max="14" width="19" style="30" customWidth="1"/>
    <col min="15" max="16384" width="11.44140625" style="30"/>
  </cols>
  <sheetData>
    <row r="1" spans="1:15" s="3" customFormat="1" ht="14.4" x14ac:dyDescent="0.3">
      <c r="A1" s="1"/>
      <c r="B1" s="9"/>
      <c r="D1" s="11"/>
      <c r="E1" s="11"/>
      <c r="F1" s="11"/>
      <c r="G1" s="11"/>
      <c r="H1" s="11"/>
      <c r="I1" s="11"/>
    </row>
    <row r="2" spans="1:15" s="3" customFormat="1" ht="14.4" x14ac:dyDescent="0.3">
      <c r="A2" s="1"/>
      <c r="B2" s="9"/>
      <c r="D2" s="11"/>
      <c r="E2" s="11"/>
      <c r="F2" s="11"/>
      <c r="G2" s="11"/>
      <c r="H2" s="11"/>
      <c r="I2" s="11"/>
    </row>
    <row r="3" spans="1:15" s="3" customFormat="1" ht="14.4" x14ac:dyDescent="0.3">
      <c r="A3" s="1"/>
      <c r="B3" s="9"/>
      <c r="D3" s="11"/>
      <c r="E3" s="11"/>
      <c r="F3" s="11"/>
      <c r="G3" s="11"/>
      <c r="H3" s="11"/>
      <c r="I3" s="11"/>
    </row>
    <row r="4" spans="1:15" s="3" customFormat="1" ht="14.4" x14ac:dyDescent="0.3">
      <c r="A4" s="1"/>
      <c r="B4" s="9"/>
      <c r="D4" s="11"/>
      <c r="E4" s="11"/>
      <c r="F4" s="11"/>
      <c r="G4" s="11"/>
      <c r="H4" s="11"/>
      <c r="I4" s="11"/>
    </row>
    <row r="5" spans="1:15" s="4" customFormat="1" ht="26.4" thickBot="1" x14ac:dyDescent="0.35">
      <c r="B5" s="6" t="s">
        <v>1</v>
      </c>
      <c r="C5" s="6"/>
      <c r="D5" s="6"/>
      <c r="E5" s="6"/>
      <c r="F5" s="6"/>
      <c r="G5" s="6"/>
      <c r="H5" s="6"/>
      <c r="I5" s="6"/>
      <c r="J5" s="6"/>
      <c r="K5" s="6"/>
      <c r="L5" s="6"/>
      <c r="M5" s="6"/>
      <c r="N5" s="6"/>
      <c r="O5" s="115"/>
    </row>
    <row r="6" spans="1:15" s="51" customFormat="1" ht="15" thickTop="1" x14ac:dyDescent="0.3">
      <c r="A6" s="49"/>
      <c r="B6" s="56"/>
      <c r="D6" s="50"/>
      <c r="E6" s="50"/>
      <c r="F6" s="50"/>
      <c r="G6" s="50"/>
      <c r="H6" s="50"/>
      <c r="I6" s="50"/>
    </row>
    <row r="7" spans="1:15" s="51" customFormat="1" ht="14.4" x14ac:dyDescent="0.3">
      <c r="A7" s="49"/>
      <c r="B7" s="45">
        <f>COUNTA(Sistemes)</f>
        <v>40</v>
      </c>
      <c r="C7" s="46">
        <f>COUNTA(C$9:INDEX(C:C,$B7+8))/$B7</f>
        <v>0.5</v>
      </c>
      <c r="D7" s="46">
        <f>COUNTA(D$9:INDEX(D:D,$B7+8))/$B7</f>
        <v>0.625</v>
      </c>
      <c r="E7" s="46">
        <f>COUNTA(E$9:INDEX(E:E,$B7+8))/$B7</f>
        <v>0.97499999999999998</v>
      </c>
      <c r="F7" s="46">
        <f>COUNTA(F$9:INDEX(F:F,$B7+8))/$B7</f>
        <v>0</v>
      </c>
      <c r="G7" s="46">
        <f>COUNTA(G$9:INDEX(G:G,$B7+8))/$B7</f>
        <v>0</v>
      </c>
      <c r="H7" s="46">
        <f>COUNTA(H$9:INDEX(H:H,$B7+8))/$B7</f>
        <v>0</v>
      </c>
      <c r="I7" s="46">
        <f>COUNTA(I$9:INDEX(I:I,$B7+8))/$B7</f>
        <v>0</v>
      </c>
      <c r="J7" s="46">
        <f>COUNTA(J$9:INDEX(J:J,$B7+8))/$B7</f>
        <v>0</v>
      </c>
      <c r="K7" s="46">
        <f>COUNTA(K$9:INDEX(K:K,$B7+8))/$B7</f>
        <v>0</v>
      </c>
      <c r="L7" s="46">
        <f>COUNTA(L$9:INDEX(L:L,$B7+8))/$B7</f>
        <v>0</v>
      </c>
      <c r="M7" s="46">
        <f>COUNTA(M$9:INDEX(M:M,$B7+8))/$B7</f>
        <v>0</v>
      </c>
      <c r="N7" s="46">
        <f>COUNTA(N$9:INDEX(N:N,$B7+8))/$B7</f>
        <v>0</v>
      </c>
    </row>
    <row r="8" spans="1:15" s="52" customFormat="1" ht="41.4" x14ac:dyDescent="0.3">
      <c r="A8" s="114"/>
      <c r="B8" s="53" t="s">
        <v>2</v>
      </c>
      <c r="C8" s="53" t="s">
        <v>3</v>
      </c>
      <c r="D8" s="25" t="s">
        <v>4</v>
      </c>
      <c r="E8" s="25" t="s">
        <v>184</v>
      </c>
      <c r="F8" s="25" t="s">
        <v>5</v>
      </c>
      <c r="G8" s="25" t="s">
        <v>6</v>
      </c>
      <c r="H8" s="25" t="s">
        <v>8</v>
      </c>
      <c r="I8" s="25" t="s">
        <v>9</v>
      </c>
      <c r="J8" s="53" t="s">
        <v>11</v>
      </c>
      <c r="K8" s="53" t="s">
        <v>12</v>
      </c>
      <c r="L8" s="53" t="s">
        <v>14</v>
      </c>
      <c r="M8" s="53" t="s">
        <v>16</v>
      </c>
      <c r="N8" s="53" t="s">
        <v>17</v>
      </c>
      <c r="O8" s="25" t="s">
        <v>573</v>
      </c>
    </row>
    <row r="9" spans="1:15" s="26" customFormat="1" x14ac:dyDescent="0.3">
      <c r="A9" s="114"/>
      <c r="B9" s="28" t="s">
        <v>33</v>
      </c>
      <c r="C9" s="116" t="s">
        <v>33</v>
      </c>
      <c r="D9" s="58" t="s">
        <v>490</v>
      </c>
      <c r="E9" s="57" t="s">
        <v>412</v>
      </c>
      <c r="F9" s="28"/>
      <c r="G9" s="28"/>
      <c r="H9" s="28"/>
      <c r="I9" s="28"/>
      <c r="J9" s="29"/>
      <c r="K9" s="29"/>
      <c r="L9" s="29"/>
      <c r="M9" s="29"/>
      <c r="N9" s="29"/>
      <c r="O9" s="113">
        <f>IF(B9="","",COUNTIF('Rel.Conjunts-Sistemes'!$C:$C,$B9))</f>
        <v>0</v>
      </c>
    </row>
    <row r="10" spans="1:15" s="26" customFormat="1" x14ac:dyDescent="0.3">
      <c r="A10" s="114"/>
      <c r="B10" s="28" t="s">
        <v>452</v>
      </c>
      <c r="C10" s="116" t="s">
        <v>34</v>
      </c>
      <c r="D10" s="58" t="s">
        <v>495</v>
      </c>
      <c r="E10" s="57" t="s">
        <v>412</v>
      </c>
      <c r="F10" s="28"/>
      <c r="G10" s="28"/>
      <c r="H10" s="28"/>
      <c r="I10" s="28"/>
      <c r="J10" s="29"/>
      <c r="K10" s="29"/>
      <c r="L10" s="29"/>
      <c r="M10" s="29"/>
      <c r="N10" s="29"/>
      <c r="O10" s="113">
        <f>IF(B10="","",COUNTIF('Rel.Conjunts-Sistemes'!$C:$C,$B10))</f>
        <v>0</v>
      </c>
    </row>
    <row r="11" spans="1:15" s="26" customFormat="1" x14ac:dyDescent="0.3">
      <c r="A11" s="114"/>
      <c r="B11" s="28" t="s">
        <v>453</v>
      </c>
      <c r="C11" s="116" t="s">
        <v>36</v>
      </c>
      <c r="D11" s="58" t="s">
        <v>491</v>
      </c>
      <c r="E11" s="57" t="s">
        <v>412</v>
      </c>
      <c r="F11" s="28"/>
      <c r="G11" s="28"/>
      <c r="H11" s="28"/>
      <c r="I11" s="28"/>
      <c r="J11" s="29"/>
      <c r="K11" s="29"/>
      <c r="L11" s="29"/>
      <c r="M11" s="29"/>
      <c r="N11" s="29"/>
      <c r="O11" s="113">
        <f>IF(B11="","",COUNTIF('Rel.Conjunts-Sistemes'!$C:$C,$B11))</f>
        <v>0</v>
      </c>
    </row>
    <row r="12" spans="1:15" s="26" customFormat="1" x14ac:dyDescent="0.3">
      <c r="A12" s="114"/>
      <c r="B12" s="28" t="s">
        <v>454</v>
      </c>
      <c r="C12" s="116" t="s">
        <v>37</v>
      </c>
      <c r="D12" s="58" t="s">
        <v>491</v>
      </c>
      <c r="E12" s="57" t="s">
        <v>412</v>
      </c>
      <c r="F12" s="28"/>
      <c r="G12" s="28"/>
      <c r="H12" s="28"/>
      <c r="I12" s="28"/>
      <c r="J12" s="29"/>
      <c r="K12" s="29"/>
      <c r="L12" s="29"/>
      <c r="M12" s="29"/>
      <c r="N12" s="29"/>
      <c r="O12" s="113">
        <f>IF(B12="","",COUNTIF('Rel.Conjunts-Sistemes'!$C:$C,$B12))</f>
        <v>0</v>
      </c>
    </row>
    <row r="13" spans="1:15" s="26" customFormat="1" x14ac:dyDescent="0.3">
      <c r="A13" s="114"/>
      <c r="B13" s="28" t="s">
        <v>455</v>
      </c>
      <c r="C13" s="116" t="s">
        <v>405</v>
      </c>
      <c r="D13" s="58" t="s">
        <v>492</v>
      </c>
      <c r="E13" s="57" t="s">
        <v>412</v>
      </c>
      <c r="F13" s="28"/>
      <c r="G13" s="28"/>
      <c r="H13" s="28"/>
      <c r="I13" s="28"/>
      <c r="J13" s="29"/>
      <c r="K13" s="29"/>
      <c r="L13" s="29"/>
      <c r="M13" s="29"/>
      <c r="N13" s="29"/>
      <c r="O13" s="113">
        <f>IF(B13="","",COUNTIF('Rel.Conjunts-Sistemes'!$C:$C,$B13))</f>
        <v>1</v>
      </c>
    </row>
    <row r="14" spans="1:15" s="26" customFormat="1" x14ac:dyDescent="0.3">
      <c r="A14" s="114"/>
      <c r="B14" s="28" t="s">
        <v>456</v>
      </c>
      <c r="C14" s="116" t="s">
        <v>38</v>
      </c>
      <c r="D14" s="58" t="s">
        <v>493</v>
      </c>
      <c r="E14" s="57" t="s">
        <v>412</v>
      </c>
      <c r="F14" s="28"/>
      <c r="G14" s="28"/>
      <c r="H14" s="28"/>
      <c r="I14" s="28"/>
      <c r="J14" s="29"/>
      <c r="K14" s="29"/>
      <c r="L14" s="29"/>
      <c r="M14" s="29"/>
      <c r="N14" s="29"/>
      <c r="O14" s="113">
        <f>IF(B14="","",COUNTIF('Rel.Conjunts-Sistemes'!$C:$C,$B14))</f>
        <v>0</v>
      </c>
    </row>
    <row r="15" spans="1:15" s="26" customFormat="1" x14ac:dyDescent="0.3">
      <c r="A15" s="114"/>
      <c r="B15" s="28" t="s">
        <v>457</v>
      </c>
      <c r="C15" s="116" t="s">
        <v>39</v>
      </c>
      <c r="D15" s="58" t="s">
        <v>494</v>
      </c>
      <c r="E15" s="57" t="s">
        <v>412</v>
      </c>
      <c r="F15" s="28"/>
      <c r="G15" s="28"/>
      <c r="H15" s="28"/>
      <c r="I15" s="28"/>
      <c r="J15" s="29"/>
      <c r="K15" s="29"/>
      <c r="L15" s="29"/>
      <c r="M15" s="29"/>
      <c r="N15" s="29"/>
      <c r="O15" s="113">
        <f>IF(B15="","",COUNTIF('Rel.Conjunts-Sistemes'!$C:$C,$B15))</f>
        <v>1</v>
      </c>
    </row>
    <row r="16" spans="1:15" s="26" customFormat="1" x14ac:dyDescent="0.3">
      <c r="A16" s="114"/>
      <c r="B16" s="28" t="s">
        <v>458</v>
      </c>
      <c r="C16" s="116" t="s">
        <v>40</v>
      </c>
      <c r="D16" s="58" t="s">
        <v>496</v>
      </c>
      <c r="E16" s="57" t="s">
        <v>412</v>
      </c>
      <c r="F16" s="28"/>
      <c r="G16" s="28"/>
      <c r="H16" s="28"/>
      <c r="I16" s="28"/>
      <c r="J16" s="29"/>
      <c r="K16" s="29"/>
      <c r="L16" s="29"/>
      <c r="M16" s="29"/>
      <c r="N16" s="29"/>
      <c r="O16" s="113">
        <f>IF(B16="","",COUNTIF('Rel.Conjunts-Sistemes'!$C:$C,$B16))</f>
        <v>0</v>
      </c>
    </row>
    <row r="17" spans="1:15" s="26" customFormat="1" x14ac:dyDescent="0.3">
      <c r="A17" s="114"/>
      <c r="B17" s="28" t="s">
        <v>459</v>
      </c>
      <c r="C17" s="116" t="s">
        <v>41</v>
      </c>
      <c r="D17" s="58" t="s">
        <v>497</v>
      </c>
      <c r="E17" s="57" t="s">
        <v>412</v>
      </c>
      <c r="F17" s="28"/>
      <c r="G17" s="28"/>
      <c r="H17" s="28"/>
      <c r="I17" s="28"/>
      <c r="J17" s="29"/>
      <c r="K17" s="29"/>
      <c r="L17" s="29"/>
      <c r="M17" s="29"/>
      <c r="N17" s="29"/>
      <c r="O17" s="113">
        <f>IF(B17="","",COUNTIF('Rel.Conjunts-Sistemes'!$C:$C,$B17))</f>
        <v>0</v>
      </c>
    </row>
    <row r="18" spans="1:15" s="26" customFormat="1" ht="27.6" x14ac:dyDescent="0.3">
      <c r="A18" s="114"/>
      <c r="B18" s="28" t="s">
        <v>460</v>
      </c>
      <c r="C18" s="28" t="s">
        <v>42</v>
      </c>
      <c r="D18" s="58" t="s">
        <v>498</v>
      </c>
      <c r="E18" s="57" t="s">
        <v>412</v>
      </c>
      <c r="F18" s="28"/>
      <c r="G18" s="28"/>
      <c r="H18" s="28"/>
      <c r="I18" s="28"/>
      <c r="J18" s="29"/>
      <c r="K18" s="29"/>
      <c r="L18" s="29"/>
      <c r="M18" s="29"/>
      <c r="N18" s="29"/>
      <c r="O18" s="113">
        <f>IF(B18="","",COUNTIF('Rel.Conjunts-Sistemes'!$C:$C,$B18))</f>
        <v>3</v>
      </c>
    </row>
    <row r="19" spans="1:15" s="26" customFormat="1" ht="27.6" x14ac:dyDescent="0.3">
      <c r="A19" s="114"/>
      <c r="B19" s="28" t="s">
        <v>461</v>
      </c>
      <c r="C19" s="28" t="s">
        <v>43</v>
      </c>
      <c r="D19" s="58" t="s">
        <v>505</v>
      </c>
      <c r="E19" s="57" t="s">
        <v>412</v>
      </c>
      <c r="F19" s="28"/>
      <c r="G19" s="28"/>
      <c r="H19" s="28"/>
      <c r="I19" s="28"/>
      <c r="J19" s="29"/>
      <c r="K19" s="29"/>
      <c r="L19" s="29"/>
      <c r="M19" s="29"/>
      <c r="N19" s="29"/>
      <c r="O19" s="113">
        <f>IF(B19="","",COUNTIF('Rel.Conjunts-Sistemes'!$C:$C,$B19))</f>
        <v>0</v>
      </c>
    </row>
    <row r="20" spans="1:15" s="26" customFormat="1" x14ac:dyDescent="0.3">
      <c r="A20" s="114"/>
      <c r="B20" s="28" t="s">
        <v>462</v>
      </c>
      <c r="C20" s="28" t="s">
        <v>44</v>
      </c>
      <c r="D20" s="58" t="s">
        <v>506</v>
      </c>
      <c r="E20" s="57" t="s">
        <v>412</v>
      </c>
      <c r="F20" s="28"/>
      <c r="G20" s="28"/>
      <c r="H20" s="28"/>
      <c r="I20" s="28"/>
      <c r="J20" s="29"/>
      <c r="K20" s="29"/>
      <c r="L20" s="29"/>
      <c r="M20" s="29"/>
      <c r="N20" s="29"/>
      <c r="O20" s="113">
        <f>IF(B20="","",COUNTIF('Rel.Conjunts-Sistemes'!$C:$C,$B20))</f>
        <v>0</v>
      </c>
    </row>
    <row r="21" spans="1:15" s="26" customFormat="1" x14ac:dyDescent="0.3">
      <c r="A21" s="114"/>
      <c r="B21" s="28" t="s">
        <v>463</v>
      </c>
      <c r="C21" s="28" t="s">
        <v>45</v>
      </c>
      <c r="D21" s="58" t="s">
        <v>507</v>
      </c>
      <c r="E21" s="57" t="s">
        <v>412</v>
      </c>
      <c r="F21" s="28"/>
      <c r="G21" s="28"/>
      <c r="H21" s="28"/>
      <c r="I21" s="28"/>
      <c r="J21" s="29"/>
      <c r="K21" s="29"/>
      <c r="L21" s="29"/>
      <c r="M21" s="29"/>
      <c r="N21" s="29"/>
      <c r="O21" s="113">
        <f>IF(B21="","",COUNTIF('Rel.Conjunts-Sistemes'!$C:$C,$B21))</f>
        <v>0</v>
      </c>
    </row>
    <row r="22" spans="1:15" s="26" customFormat="1" ht="27.6" x14ac:dyDescent="0.3">
      <c r="A22" s="114"/>
      <c r="B22" s="28" t="s">
        <v>465</v>
      </c>
      <c r="C22" s="28" t="s">
        <v>464</v>
      </c>
      <c r="D22" s="58" t="s">
        <v>499</v>
      </c>
      <c r="E22" s="57" t="s">
        <v>412</v>
      </c>
      <c r="F22" s="28"/>
      <c r="G22" s="28"/>
      <c r="H22" s="28"/>
      <c r="I22" s="28"/>
      <c r="J22" s="29"/>
      <c r="K22" s="29"/>
      <c r="L22" s="29"/>
      <c r="M22" s="29"/>
      <c r="N22" s="29"/>
      <c r="O22" s="113">
        <f>IF(B22="","",COUNTIF('Rel.Conjunts-Sistemes'!$C:$C,$B22))</f>
        <v>0</v>
      </c>
    </row>
    <row r="23" spans="1:15" s="26" customFormat="1" x14ac:dyDescent="0.3">
      <c r="A23" s="114"/>
      <c r="B23" s="28" t="s">
        <v>466</v>
      </c>
      <c r="C23" s="28" t="s">
        <v>46</v>
      </c>
      <c r="D23" s="58" t="s">
        <v>500</v>
      </c>
      <c r="E23" s="57" t="s">
        <v>412</v>
      </c>
      <c r="F23" s="28"/>
      <c r="G23" s="28"/>
      <c r="H23" s="28"/>
      <c r="I23" s="28"/>
      <c r="J23" s="29"/>
      <c r="K23" s="29"/>
      <c r="L23" s="29"/>
      <c r="M23" s="29"/>
      <c r="N23" s="29"/>
      <c r="O23" s="113">
        <f>IF(B23="","",COUNTIF('Rel.Conjunts-Sistemes'!$C:$C,$B23))</f>
        <v>0</v>
      </c>
    </row>
    <row r="24" spans="1:15" s="26" customFormat="1" ht="27.6" x14ac:dyDescent="0.3">
      <c r="A24" s="114"/>
      <c r="B24" s="28" t="s">
        <v>467</v>
      </c>
      <c r="C24" s="28" t="s">
        <v>47</v>
      </c>
      <c r="D24" s="58" t="s">
        <v>501</v>
      </c>
      <c r="E24" s="57" t="s">
        <v>412</v>
      </c>
      <c r="F24" s="28"/>
      <c r="G24" s="28"/>
      <c r="H24" s="28"/>
      <c r="I24" s="28"/>
      <c r="J24" s="29"/>
      <c r="K24" s="29"/>
      <c r="L24" s="29"/>
      <c r="M24" s="29"/>
      <c r="N24" s="29"/>
      <c r="O24" s="113">
        <f>IF(B24="","",COUNTIF('Rel.Conjunts-Sistemes'!$C:$C,$B24))</f>
        <v>2</v>
      </c>
    </row>
    <row r="25" spans="1:15" s="26" customFormat="1" ht="27.6" x14ac:dyDescent="0.3">
      <c r="A25" s="114"/>
      <c r="B25" s="28" t="s">
        <v>468</v>
      </c>
      <c r="C25" s="28" t="s">
        <v>48</v>
      </c>
      <c r="D25" s="58" t="s">
        <v>502</v>
      </c>
      <c r="E25" s="57" t="s">
        <v>412</v>
      </c>
      <c r="F25" s="28"/>
      <c r="G25" s="28"/>
      <c r="H25" s="28"/>
      <c r="I25" s="28"/>
      <c r="J25" s="29"/>
      <c r="K25" s="29"/>
      <c r="L25" s="29"/>
      <c r="M25" s="29"/>
      <c r="N25" s="29"/>
      <c r="O25" s="113">
        <f>IF(B25="","",COUNTIF('Rel.Conjunts-Sistemes'!$C:$C,$B25))</f>
        <v>0</v>
      </c>
    </row>
    <row r="26" spans="1:15" s="26" customFormat="1" ht="27.6" x14ac:dyDescent="0.3">
      <c r="A26" s="114"/>
      <c r="B26" s="28" t="s">
        <v>469</v>
      </c>
      <c r="C26" s="28" t="s">
        <v>49</v>
      </c>
      <c r="D26" s="58" t="s">
        <v>503</v>
      </c>
      <c r="E26" s="57" t="s">
        <v>412</v>
      </c>
      <c r="F26" s="28"/>
      <c r="G26" s="28"/>
      <c r="H26" s="28"/>
      <c r="I26" s="28"/>
      <c r="J26" s="29"/>
      <c r="K26" s="29"/>
      <c r="L26" s="29"/>
      <c r="M26" s="29"/>
      <c r="N26" s="29"/>
      <c r="O26" s="113">
        <f>IF(B26="","",COUNTIF('Rel.Conjunts-Sistemes'!$C:$C,$B26))</f>
        <v>0</v>
      </c>
    </row>
    <row r="27" spans="1:15" s="26" customFormat="1" x14ac:dyDescent="0.3">
      <c r="A27" s="114"/>
      <c r="B27" s="28" t="s">
        <v>470</v>
      </c>
      <c r="C27" s="116"/>
      <c r="D27" s="58"/>
      <c r="E27" s="57" t="s">
        <v>475</v>
      </c>
      <c r="F27" s="28"/>
      <c r="G27" s="28"/>
      <c r="H27" s="28"/>
      <c r="I27" s="28"/>
      <c r="J27" s="29"/>
      <c r="K27" s="29"/>
      <c r="L27" s="29"/>
      <c r="M27" s="29"/>
      <c r="N27" s="29"/>
      <c r="O27" s="113">
        <f>IF(B27="","",COUNTIF('Rel.Conjunts-Sistemes'!$C:$C,$B27))</f>
        <v>0</v>
      </c>
    </row>
    <row r="28" spans="1:15" s="26" customFormat="1" x14ac:dyDescent="0.3">
      <c r="A28" s="114"/>
      <c r="B28" s="28" t="s">
        <v>406</v>
      </c>
      <c r="C28" s="116"/>
      <c r="D28" s="58" t="s">
        <v>508</v>
      </c>
      <c r="E28" s="57" t="s">
        <v>475</v>
      </c>
      <c r="F28" s="28"/>
      <c r="G28" s="28"/>
      <c r="H28" s="28"/>
      <c r="I28" s="28"/>
      <c r="J28" s="29"/>
      <c r="K28" s="29"/>
      <c r="L28" s="29"/>
      <c r="M28" s="29"/>
      <c r="N28" s="29"/>
      <c r="O28" s="113">
        <f>IF(B28="","",COUNTIF('Rel.Conjunts-Sistemes'!$C:$C,$B28))</f>
        <v>0</v>
      </c>
    </row>
    <row r="29" spans="1:15" s="26" customFormat="1" x14ac:dyDescent="0.3">
      <c r="A29" s="114"/>
      <c r="B29" s="28" t="s">
        <v>471</v>
      </c>
      <c r="C29" s="116"/>
      <c r="D29" s="58" t="s">
        <v>491</v>
      </c>
      <c r="E29" s="57" t="s">
        <v>412</v>
      </c>
      <c r="F29" s="28"/>
      <c r="G29" s="28"/>
      <c r="H29" s="28"/>
      <c r="I29" s="28"/>
      <c r="J29" s="29"/>
      <c r="K29" s="29"/>
      <c r="L29" s="29"/>
      <c r="M29" s="29"/>
      <c r="N29" s="29"/>
      <c r="O29" s="113">
        <f>IF(B29="","",COUNTIF('Rel.Conjunts-Sistemes'!$C:$C,$B29))</f>
        <v>0</v>
      </c>
    </row>
    <row r="30" spans="1:15" s="26" customFormat="1" x14ac:dyDescent="0.3">
      <c r="A30" s="114"/>
      <c r="B30" s="28" t="s">
        <v>472</v>
      </c>
      <c r="C30" s="116"/>
      <c r="D30" s="58"/>
      <c r="E30" s="57" t="s">
        <v>475</v>
      </c>
      <c r="F30" s="28"/>
      <c r="G30" s="28"/>
      <c r="H30" s="28"/>
      <c r="I30" s="28"/>
      <c r="J30" s="29"/>
      <c r="K30" s="29"/>
      <c r="L30" s="29"/>
      <c r="M30" s="29"/>
      <c r="N30" s="29"/>
      <c r="O30" s="113">
        <f>IF(B30="","",COUNTIF('Rel.Conjunts-Sistemes'!$C:$C,$B30))</f>
        <v>0</v>
      </c>
    </row>
    <row r="31" spans="1:15" s="26" customFormat="1" x14ac:dyDescent="0.3">
      <c r="A31" s="114"/>
      <c r="B31" s="28" t="s">
        <v>473</v>
      </c>
      <c r="C31" s="116" t="s">
        <v>474</v>
      </c>
      <c r="D31" s="58" t="s">
        <v>504</v>
      </c>
      <c r="E31" s="57" t="s">
        <v>412</v>
      </c>
      <c r="F31" s="28"/>
      <c r="G31" s="28"/>
      <c r="H31" s="28"/>
      <c r="I31" s="28"/>
      <c r="J31" s="29"/>
      <c r="K31" s="29"/>
      <c r="L31" s="29"/>
      <c r="M31" s="29"/>
      <c r="N31" s="29"/>
      <c r="O31" s="113">
        <f>IF(B31="","",COUNTIF('Rel.Conjunts-Sistemes'!$C:$C,$B31))</f>
        <v>0</v>
      </c>
    </row>
    <row r="32" spans="1:15" s="26" customFormat="1" x14ac:dyDescent="0.3">
      <c r="A32" s="114"/>
      <c r="B32" s="119" t="s">
        <v>408</v>
      </c>
      <c r="C32" s="116" t="s">
        <v>409</v>
      </c>
      <c r="D32" s="58" t="s">
        <v>509</v>
      </c>
      <c r="E32" s="57" t="s">
        <v>412</v>
      </c>
      <c r="F32" s="28"/>
      <c r="G32" s="28"/>
      <c r="H32" s="28"/>
      <c r="I32" s="28"/>
      <c r="J32" s="29"/>
      <c r="K32" s="29"/>
      <c r="L32" s="29"/>
      <c r="M32" s="29"/>
      <c r="N32" s="29"/>
      <c r="O32" s="113">
        <f>IF(B32="","",COUNTIF('Rel.Conjunts-Sistemes'!$C:$C,$B32))</f>
        <v>0</v>
      </c>
    </row>
    <row r="33" spans="1:15" s="26" customFormat="1" x14ac:dyDescent="0.3">
      <c r="A33" s="114"/>
      <c r="B33" s="28" t="s">
        <v>410</v>
      </c>
      <c r="C33" s="116"/>
      <c r="D33" s="58"/>
      <c r="E33" s="57" t="s">
        <v>476</v>
      </c>
      <c r="F33" s="28"/>
      <c r="G33" s="28"/>
      <c r="H33" s="28"/>
      <c r="I33" s="28"/>
      <c r="J33" s="29"/>
      <c r="K33" s="29"/>
      <c r="L33" s="29"/>
      <c r="M33" s="29"/>
      <c r="N33" s="29"/>
      <c r="O33" s="113">
        <f>IF(B33="","",COUNTIF('Rel.Conjunts-Sistemes'!$C:$C,$B33))</f>
        <v>0</v>
      </c>
    </row>
    <row r="34" spans="1:15" s="26" customFormat="1" x14ac:dyDescent="0.3">
      <c r="A34" s="114"/>
      <c r="B34" s="28" t="s">
        <v>411</v>
      </c>
      <c r="C34" s="116"/>
      <c r="D34" s="58"/>
      <c r="E34" s="57" t="s">
        <v>476</v>
      </c>
      <c r="F34" s="28"/>
      <c r="G34" s="28"/>
      <c r="H34" s="28"/>
      <c r="I34" s="28"/>
      <c r="J34" s="29"/>
      <c r="K34" s="29"/>
      <c r="L34" s="29"/>
      <c r="M34" s="29"/>
      <c r="N34" s="29"/>
      <c r="O34" s="113">
        <f>IF(B34="","",COUNTIF('Rel.Conjunts-Sistemes'!$C:$C,$B34))</f>
        <v>0</v>
      </c>
    </row>
    <row r="35" spans="1:15" s="26" customFormat="1" x14ac:dyDescent="0.3">
      <c r="A35" s="114"/>
      <c r="B35" s="28" t="s">
        <v>477</v>
      </c>
      <c r="C35" s="116"/>
      <c r="D35" s="58" t="s">
        <v>510</v>
      </c>
      <c r="E35" s="57" t="s">
        <v>475</v>
      </c>
      <c r="F35" s="28"/>
      <c r="G35" s="28"/>
      <c r="H35" s="28"/>
      <c r="I35" s="28"/>
      <c r="J35" s="29"/>
      <c r="K35" s="29"/>
      <c r="L35" s="29"/>
      <c r="M35" s="29"/>
      <c r="N35" s="29"/>
      <c r="O35" s="113">
        <f>IF(B35="","",COUNTIF('Rel.Conjunts-Sistemes'!$C:$C,$B35))</f>
        <v>0</v>
      </c>
    </row>
    <row r="36" spans="1:15" s="26" customFormat="1" x14ac:dyDescent="0.3">
      <c r="A36" s="114"/>
      <c r="B36" s="28" t="s">
        <v>478</v>
      </c>
      <c r="C36" s="116"/>
      <c r="D36" s="58"/>
      <c r="E36" s="57" t="s">
        <v>476</v>
      </c>
      <c r="F36" s="28"/>
      <c r="G36" s="28"/>
      <c r="H36" s="28"/>
      <c r="I36" s="28"/>
      <c r="J36" s="29"/>
      <c r="K36" s="29"/>
      <c r="L36" s="29"/>
      <c r="M36" s="29"/>
      <c r="N36" s="29"/>
      <c r="O36" s="113">
        <f>IF(B36="","",COUNTIF('Rel.Conjunts-Sistemes'!$C:$C,$B36))</f>
        <v>0</v>
      </c>
    </row>
    <row r="37" spans="1:15" s="26" customFormat="1" x14ac:dyDescent="0.3">
      <c r="A37" s="114"/>
      <c r="B37" s="28" t="s">
        <v>479</v>
      </c>
      <c r="C37" s="116"/>
      <c r="D37" s="58" t="s">
        <v>511</v>
      </c>
      <c r="E37" s="57" t="s">
        <v>476</v>
      </c>
      <c r="F37" s="28"/>
      <c r="G37" s="28"/>
      <c r="H37" s="28"/>
      <c r="I37" s="28"/>
      <c r="J37" s="29"/>
      <c r="K37" s="29"/>
      <c r="L37" s="29"/>
      <c r="M37" s="29"/>
      <c r="N37" s="29"/>
      <c r="O37" s="113">
        <f>IF(B37="","",COUNTIF('Rel.Conjunts-Sistemes'!$C:$C,$B37))</f>
        <v>0</v>
      </c>
    </row>
    <row r="38" spans="1:15" s="26" customFormat="1" x14ac:dyDescent="0.3">
      <c r="A38" s="114"/>
      <c r="B38" s="28" t="s">
        <v>480</v>
      </c>
      <c r="C38" s="116"/>
      <c r="D38" s="58"/>
      <c r="E38" s="57" t="s">
        <v>476</v>
      </c>
      <c r="F38" s="28"/>
      <c r="G38" s="28"/>
      <c r="H38" s="28"/>
      <c r="I38" s="28"/>
      <c r="J38" s="29"/>
      <c r="K38" s="29"/>
      <c r="L38" s="29"/>
      <c r="M38" s="29"/>
      <c r="N38" s="29"/>
      <c r="O38" s="113">
        <f>IF(B38="","",COUNTIF('Rel.Conjunts-Sistemes'!$C:$C,$B38))</f>
        <v>0</v>
      </c>
    </row>
    <row r="39" spans="1:15" s="26" customFormat="1" x14ac:dyDescent="0.3">
      <c r="A39" s="114"/>
      <c r="B39" s="28" t="s">
        <v>481</v>
      </c>
      <c r="C39" s="116"/>
      <c r="D39" s="58"/>
      <c r="E39" s="57" t="s">
        <v>476</v>
      </c>
      <c r="F39" s="28"/>
      <c r="G39" s="28"/>
      <c r="H39" s="28"/>
      <c r="I39" s="28"/>
      <c r="J39" s="29"/>
      <c r="K39" s="29"/>
      <c r="L39" s="29"/>
      <c r="M39" s="29"/>
      <c r="N39" s="29"/>
      <c r="O39" s="113">
        <f>IF(B39="","",COUNTIF('Rel.Conjunts-Sistemes'!$C:$C,$B39))</f>
        <v>0</v>
      </c>
    </row>
    <row r="40" spans="1:15" s="26" customFormat="1" ht="27.6" x14ac:dyDescent="0.3">
      <c r="A40" s="114"/>
      <c r="B40" s="28" t="s">
        <v>482</v>
      </c>
      <c r="C40" s="116"/>
      <c r="D40" s="58"/>
      <c r="E40" s="57" t="s">
        <v>476</v>
      </c>
      <c r="F40" s="28"/>
      <c r="G40" s="28"/>
      <c r="H40" s="28"/>
      <c r="I40" s="28"/>
      <c r="J40" s="29"/>
      <c r="K40" s="29"/>
      <c r="L40" s="29"/>
      <c r="M40" s="29"/>
      <c r="N40" s="29"/>
      <c r="O40" s="113">
        <f>IF(B40="","",COUNTIF('Rel.Conjunts-Sistemes'!$C:$C,$B40))</f>
        <v>0</v>
      </c>
    </row>
    <row r="41" spans="1:15" s="26" customFormat="1" x14ac:dyDescent="0.3">
      <c r="A41" s="114"/>
      <c r="B41" s="28" t="s">
        <v>483</v>
      </c>
      <c r="C41" s="116"/>
      <c r="D41" s="58"/>
      <c r="E41" s="57" t="s">
        <v>476</v>
      </c>
      <c r="F41" s="28"/>
      <c r="G41" s="28"/>
      <c r="H41" s="28"/>
      <c r="I41" s="28"/>
      <c r="J41" s="29"/>
      <c r="K41" s="29"/>
      <c r="L41" s="29"/>
      <c r="M41" s="29"/>
      <c r="N41" s="29"/>
      <c r="O41" s="113">
        <f>IF(B41="","",COUNTIF('Rel.Conjunts-Sistemes'!$C:$C,$B41))</f>
        <v>0</v>
      </c>
    </row>
    <row r="42" spans="1:15" s="26" customFormat="1" x14ac:dyDescent="0.3">
      <c r="A42" s="114"/>
      <c r="B42" s="28" t="s">
        <v>485</v>
      </c>
      <c r="C42" s="116"/>
      <c r="D42" s="58"/>
      <c r="E42" s="57" t="s">
        <v>476</v>
      </c>
      <c r="F42" s="28"/>
      <c r="G42" s="28"/>
      <c r="H42" s="28"/>
      <c r="I42" s="28"/>
      <c r="J42" s="29"/>
      <c r="K42" s="29"/>
      <c r="L42" s="29"/>
      <c r="M42" s="29"/>
      <c r="N42" s="29"/>
      <c r="O42" s="113">
        <f>IF(B42="","",COUNTIF('Rel.Conjunts-Sistemes'!$C:$C,$B42))</f>
        <v>0</v>
      </c>
    </row>
    <row r="43" spans="1:15" s="26" customFormat="1" x14ac:dyDescent="0.3">
      <c r="A43" s="114"/>
      <c r="B43" s="28" t="s">
        <v>484</v>
      </c>
      <c r="C43" s="116"/>
      <c r="D43" s="58"/>
      <c r="E43" s="57" t="s">
        <v>476</v>
      </c>
      <c r="F43" s="28"/>
      <c r="G43" s="28"/>
      <c r="H43" s="28"/>
      <c r="I43" s="28"/>
      <c r="J43" s="29"/>
      <c r="K43" s="29"/>
      <c r="L43" s="29"/>
      <c r="M43" s="29"/>
      <c r="N43" s="29"/>
      <c r="O43" s="113">
        <f>IF(B43="","",COUNTIF('Rel.Conjunts-Sistemes'!$C:$C,$B43))</f>
        <v>0</v>
      </c>
    </row>
    <row r="44" spans="1:15" x14ac:dyDescent="0.3">
      <c r="A44" s="114"/>
      <c r="B44" s="28" t="s">
        <v>486</v>
      </c>
      <c r="C44" s="116"/>
      <c r="D44" s="58"/>
      <c r="E44" s="57" t="s">
        <v>476</v>
      </c>
      <c r="F44" s="28"/>
      <c r="G44" s="28"/>
      <c r="H44" s="28"/>
      <c r="I44" s="28"/>
      <c r="J44" s="29"/>
      <c r="K44" s="29"/>
      <c r="L44" s="29"/>
      <c r="M44" s="29"/>
      <c r="N44" s="29"/>
      <c r="O44" s="113">
        <f>IF(B44="","",COUNTIF('Rel.Conjunts-Sistemes'!$C:$C,$B44))</f>
        <v>0</v>
      </c>
    </row>
    <row r="45" spans="1:15" x14ac:dyDescent="0.3">
      <c r="A45" s="114"/>
      <c r="B45" s="28" t="s">
        <v>487</v>
      </c>
      <c r="C45" s="116"/>
      <c r="D45" s="58"/>
      <c r="E45" s="57" t="s">
        <v>476</v>
      </c>
      <c r="F45" s="28"/>
      <c r="G45" s="28"/>
      <c r="H45" s="28"/>
      <c r="I45" s="28"/>
      <c r="J45" s="29"/>
      <c r="K45" s="29"/>
      <c r="L45" s="29"/>
      <c r="M45" s="29"/>
      <c r="N45" s="29"/>
      <c r="O45" s="113">
        <f>IF(B45="","",COUNTIF('Rel.Conjunts-Sistemes'!$C:$C,$B45))</f>
        <v>0</v>
      </c>
    </row>
    <row r="46" spans="1:15" x14ac:dyDescent="0.3">
      <c r="A46" s="114"/>
      <c r="B46" s="28" t="s">
        <v>488</v>
      </c>
      <c r="C46" s="116"/>
      <c r="D46" s="58"/>
      <c r="E46" s="57" t="s">
        <v>412</v>
      </c>
      <c r="F46" s="28"/>
      <c r="G46" s="28"/>
      <c r="H46" s="28"/>
      <c r="I46" s="28"/>
      <c r="J46" s="29"/>
      <c r="K46" s="29"/>
      <c r="L46" s="29"/>
      <c r="M46" s="29"/>
      <c r="N46" s="29"/>
      <c r="O46" s="113">
        <f>IF(B46="","",COUNTIF('Rel.Conjunts-Sistemes'!$C:$C,$B46))</f>
        <v>0</v>
      </c>
    </row>
    <row r="47" spans="1:15" x14ac:dyDescent="0.3">
      <c r="A47" s="114"/>
      <c r="B47" s="28" t="s">
        <v>489</v>
      </c>
      <c r="C47" s="116"/>
      <c r="D47" s="58" t="s">
        <v>512</v>
      </c>
      <c r="E47" s="57" t="s">
        <v>412</v>
      </c>
      <c r="F47" s="28"/>
      <c r="G47" s="28"/>
      <c r="H47" s="28"/>
      <c r="I47" s="28"/>
      <c r="J47" s="29"/>
      <c r="K47" s="29"/>
      <c r="L47" s="29"/>
      <c r="M47" s="29"/>
      <c r="N47" s="29"/>
      <c r="O47" s="113">
        <f>IF(B47="","",COUNTIF('Rel.Conjunts-Sistemes'!$C:$C,$B47))</f>
        <v>0</v>
      </c>
    </row>
    <row r="48" spans="1:15" ht="14.4" x14ac:dyDescent="0.3">
      <c r="A48" s="114"/>
      <c r="B48" s="124" t="s">
        <v>951</v>
      </c>
      <c r="C48" s="117"/>
      <c r="D48" s="58"/>
      <c r="E48" s="57"/>
      <c r="F48" s="28"/>
      <c r="G48" s="28"/>
      <c r="H48" s="28"/>
      <c r="I48" s="28"/>
      <c r="J48" s="29"/>
      <c r="K48" s="29"/>
      <c r="L48" s="29"/>
      <c r="M48" s="29"/>
      <c r="N48" s="29"/>
      <c r="O48" s="113">
        <f>IF(B48="","",COUNTIF('Rel.Conjunts-Sistemes'!$C:$C,$B48))</f>
        <v>0</v>
      </c>
    </row>
    <row r="49" spans="1:15" ht="14.4" x14ac:dyDescent="0.3">
      <c r="A49" s="114"/>
      <c r="B49" s="28"/>
      <c r="C49" s="117"/>
      <c r="D49" s="58"/>
      <c r="E49" s="57"/>
      <c r="F49" s="28"/>
      <c r="G49" s="28"/>
      <c r="H49" s="28"/>
      <c r="I49" s="28"/>
      <c r="J49" s="29"/>
      <c r="K49" s="29"/>
      <c r="L49" s="29"/>
      <c r="M49" s="29"/>
      <c r="N49" s="29"/>
      <c r="O49" s="113" t="str">
        <f>IF(B49="","",COUNTIF('Rel.Conjunts-Sistemes'!$C:$C,$B49))</f>
        <v/>
      </c>
    </row>
    <row r="50" spans="1:15" ht="14.4" x14ac:dyDescent="0.3">
      <c r="A50" s="114"/>
      <c r="B50" s="28"/>
      <c r="C50" s="117"/>
      <c r="D50" s="58"/>
      <c r="E50" s="57"/>
      <c r="F50" s="28"/>
      <c r="G50" s="28"/>
      <c r="H50" s="28"/>
      <c r="I50" s="28"/>
      <c r="J50" s="29"/>
      <c r="K50" s="29"/>
      <c r="L50" s="29"/>
      <c r="M50" s="29"/>
      <c r="N50" s="29"/>
      <c r="O50" s="113" t="str">
        <f>IF(B50="","",COUNTIF('Rel.Conjunts-Sistemes'!$C:$C,$B50))</f>
        <v/>
      </c>
    </row>
    <row r="51" spans="1:15" ht="14.4" x14ac:dyDescent="0.3">
      <c r="A51" s="114"/>
      <c r="B51" s="28"/>
      <c r="C51" s="117"/>
      <c r="D51" s="58"/>
      <c r="E51" s="57"/>
      <c r="F51" s="28"/>
      <c r="G51" s="28"/>
      <c r="H51" s="28"/>
      <c r="I51" s="28"/>
      <c r="J51" s="29"/>
      <c r="K51" s="29"/>
      <c r="L51" s="29"/>
      <c r="M51" s="29"/>
      <c r="N51" s="29"/>
      <c r="O51" s="113" t="str">
        <f>IF(B51="","",COUNTIF('Rel.Conjunts-Sistemes'!$C:$C,$B51))</f>
        <v/>
      </c>
    </row>
    <row r="52" spans="1:15" ht="14.4" x14ac:dyDescent="0.3">
      <c r="A52" s="114"/>
      <c r="B52" s="28"/>
      <c r="C52" s="117"/>
      <c r="D52" s="58"/>
      <c r="E52" s="57"/>
      <c r="F52" s="28"/>
      <c r="G52" s="28"/>
      <c r="H52" s="28"/>
      <c r="I52" s="28"/>
      <c r="J52" s="29"/>
      <c r="K52" s="29"/>
      <c r="L52" s="29"/>
      <c r="M52" s="29"/>
      <c r="N52" s="29"/>
      <c r="O52" s="113" t="str">
        <f>IF(B52="","",COUNTIF('Rel.Conjunts-Sistemes'!$C:$C,$B52))</f>
        <v/>
      </c>
    </row>
    <row r="53" spans="1:15" ht="14.4" x14ac:dyDescent="0.3">
      <c r="A53" s="114"/>
      <c r="B53" s="28"/>
      <c r="C53" s="117"/>
      <c r="D53" s="58"/>
      <c r="E53" s="57"/>
      <c r="F53" s="28"/>
      <c r="G53" s="28"/>
      <c r="H53" s="28"/>
      <c r="I53" s="28"/>
      <c r="J53" s="29"/>
      <c r="K53" s="29"/>
      <c r="L53" s="29"/>
      <c r="M53" s="29"/>
      <c r="N53" s="29"/>
      <c r="O53" s="113" t="str">
        <f>IF(B53="","",COUNTIF('Rel.Conjunts-Sistemes'!$C:$C,$B53))</f>
        <v/>
      </c>
    </row>
    <row r="54" spans="1:15" ht="14.4" x14ac:dyDescent="0.3">
      <c r="A54" s="114"/>
      <c r="B54" s="28"/>
      <c r="C54" s="117"/>
      <c r="D54" s="58"/>
      <c r="E54" s="57"/>
      <c r="F54" s="28"/>
      <c r="G54" s="28"/>
      <c r="H54" s="28"/>
      <c r="I54" s="28"/>
      <c r="J54" s="29"/>
      <c r="K54" s="29"/>
      <c r="L54" s="29"/>
      <c r="M54" s="29"/>
      <c r="N54" s="29"/>
      <c r="O54" s="113" t="str">
        <f>IF(B54="","",COUNTIF('Rel.Conjunts-Sistemes'!$C:$C,$B54))</f>
        <v/>
      </c>
    </row>
    <row r="55" spans="1:15" ht="14.4" x14ac:dyDescent="0.3">
      <c r="A55" s="114"/>
      <c r="B55" s="28"/>
      <c r="C55" s="117"/>
      <c r="D55" s="58"/>
      <c r="E55" s="57"/>
      <c r="F55" s="28"/>
      <c r="G55" s="28"/>
      <c r="H55" s="28"/>
      <c r="I55" s="28"/>
      <c r="J55" s="29"/>
      <c r="K55" s="29"/>
      <c r="L55" s="29"/>
      <c r="M55" s="29"/>
      <c r="N55" s="29"/>
      <c r="O55" s="113" t="str">
        <f>IF(B55="","",COUNTIF('Rel.Conjunts-Sistemes'!$C:$C,$B55))</f>
        <v/>
      </c>
    </row>
    <row r="56" spans="1:15" ht="14.4" x14ac:dyDescent="0.3">
      <c r="A56" s="114"/>
      <c r="B56" s="28"/>
      <c r="C56" s="117"/>
      <c r="D56" s="58"/>
      <c r="E56" s="57"/>
      <c r="F56" s="28"/>
      <c r="G56" s="28"/>
      <c r="H56" s="28"/>
      <c r="I56" s="28"/>
      <c r="J56" s="29"/>
      <c r="K56" s="29"/>
      <c r="L56" s="29"/>
      <c r="M56" s="29"/>
      <c r="N56" s="29"/>
      <c r="O56" s="113" t="str">
        <f>IF(B56="","",COUNTIF('Rel.Conjunts-Sistemes'!$C:$C,$B56))</f>
        <v/>
      </c>
    </row>
    <row r="57" spans="1:15" ht="14.4" x14ac:dyDescent="0.3">
      <c r="A57" s="114"/>
      <c r="B57" s="28"/>
      <c r="C57" s="117"/>
      <c r="D57" s="58"/>
      <c r="E57" s="57"/>
      <c r="F57" s="28"/>
      <c r="G57" s="28"/>
      <c r="H57" s="28"/>
      <c r="I57" s="28"/>
      <c r="J57" s="29"/>
      <c r="K57" s="29"/>
      <c r="L57" s="29"/>
      <c r="M57" s="29"/>
      <c r="N57" s="29"/>
      <c r="O57" s="113" t="str">
        <f>IF(B57="","",COUNTIF('Rel.Conjunts-Sistemes'!$C:$C,$B57))</f>
        <v/>
      </c>
    </row>
    <row r="58" spans="1:15" ht="14.4" x14ac:dyDescent="0.3">
      <c r="A58" s="114"/>
      <c r="B58" s="28"/>
      <c r="C58" s="117"/>
      <c r="D58" s="58"/>
      <c r="E58" s="57"/>
      <c r="F58" s="28"/>
      <c r="G58" s="28"/>
      <c r="H58" s="28"/>
      <c r="I58" s="28"/>
      <c r="J58" s="29"/>
      <c r="K58" s="29"/>
      <c r="L58" s="29"/>
      <c r="M58" s="29"/>
      <c r="N58" s="29"/>
      <c r="O58" s="113" t="str">
        <f>IF(B58="","",COUNTIF('Rel.Conjunts-Sistemes'!$C:$C,$B58))</f>
        <v/>
      </c>
    </row>
    <row r="59" spans="1:15" ht="14.4" x14ac:dyDescent="0.3">
      <c r="A59" s="114"/>
      <c r="B59" s="28"/>
      <c r="C59" s="117"/>
      <c r="D59" s="58"/>
      <c r="E59" s="57"/>
      <c r="F59" s="28"/>
      <c r="G59" s="28"/>
      <c r="H59" s="28"/>
      <c r="I59" s="28"/>
      <c r="J59" s="29"/>
      <c r="K59" s="29"/>
      <c r="L59" s="29"/>
      <c r="M59" s="29"/>
      <c r="N59" s="29"/>
      <c r="O59" s="113" t="str">
        <f>IF(B59="","",COUNTIF('Rel.Conjunts-Sistemes'!$C:$C,$B59))</f>
        <v/>
      </c>
    </row>
    <row r="60" spans="1:15" ht="14.4" x14ac:dyDescent="0.3">
      <c r="A60" s="114"/>
      <c r="B60" s="28"/>
      <c r="C60" s="117"/>
      <c r="D60" s="58"/>
      <c r="E60" s="57"/>
      <c r="F60" s="28"/>
      <c r="G60" s="28"/>
      <c r="H60" s="28"/>
      <c r="I60" s="28"/>
      <c r="J60" s="29"/>
      <c r="K60" s="29"/>
      <c r="L60" s="29"/>
      <c r="M60" s="29"/>
      <c r="N60" s="29"/>
      <c r="O60" s="113" t="str">
        <f>IF(B60="","",COUNTIF('Rel.Conjunts-Sistemes'!$C:$C,$B60))</f>
        <v/>
      </c>
    </row>
    <row r="61" spans="1:15" ht="14.4" x14ac:dyDescent="0.3">
      <c r="A61" s="114"/>
      <c r="B61" s="28"/>
      <c r="C61" s="117"/>
      <c r="D61" s="58"/>
      <c r="E61" s="57"/>
      <c r="F61" s="28"/>
      <c r="G61" s="28"/>
      <c r="H61" s="28"/>
      <c r="I61" s="28"/>
      <c r="J61" s="29"/>
      <c r="K61" s="29"/>
      <c r="L61" s="29"/>
      <c r="M61" s="29"/>
      <c r="N61" s="29"/>
      <c r="O61" s="113" t="str">
        <f>IF(B61="","",COUNTIF('Rel.Conjunts-Sistemes'!$C:$C,$B61))</f>
        <v/>
      </c>
    </row>
    <row r="62" spans="1:15" ht="14.4" x14ac:dyDescent="0.3">
      <c r="A62" s="114"/>
      <c r="B62" s="28"/>
      <c r="C62" s="117"/>
      <c r="D62" s="58"/>
      <c r="E62" s="57"/>
      <c r="F62" s="28"/>
      <c r="G62" s="28"/>
      <c r="H62" s="28"/>
      <c r="I62" s="28"/>
      <c r="J62" s="29"/>
      <c r="K62" s="29"/>
      <c r="L62" s="29"/>
      <c r="M62" s="29"/>
      <c r="N62" s="29"/>
      <c r="O62" s="113" t="str">
        <f>IF(B62="","",COUNTIF('Rel.Conjunts-Sistemes'!$C:$C,$B62))</f>
        <v/>
      </c>
    </row>
    <row r="63" spans="1:15" ht="14.4" x14ac:dyDescent="0.3">
      <c r="A63" s="114"/>
      <c r="B63" s="28"/>
      <c r="C63" s="117"/>
      <c r="D63" s="58"/>
      <c r="E63" s="57"/>
      <c r="F63" s="28"/>
      <c r="G63" s="28"/>
      <c r="H63" s="28"/>
      <c r="I63" s="28"/>
      <c r="J63" s="29"/>
      <c r="K63" s="29"/>
      <c r="L63" s="29"/>
      <c r="M63" s="29"/>
      <c r="N63" s="29"/>
      <c r="O63" s="113" t="str">
        <f>IF(B63="","",COUNTIF('Rel.Conjunts-Sistemes'!$C:$C,$B63))</f>
        <v/>
      </c>
    </row>
    <row r="64" spans="1:15" ht="14.4" x14ac:dyDescent="0.3">
      <c r="A64" s="114"/>
      <c r="B64" s="28"/>
      <c r="C64" s="117"/>
      <c r="D64" s="58"/>
      <c r="E64" s="57"/>
      <c r="F64" s="28"/>
      <c r="G64" s="28"/>
      <c r="H64" s="28"/>
      <c r="I64" s="28"/>
      <c r="J64" s="29"/>
      <c r="K64" s="29"/>
      <c r="L64" s="29"/>
      <c r="M64" s="29"/>
      <c r="N64" s="29"/>
      <c r="O64" s="113" t="str">
        <f>IF(B64="","",COUNTIF('Rel.Conjunts-Sistemes'!$C:$C,$B64))</f>
        <v/>
      </c>
    </row>
    <row r="65" spans="1:15" ht="14.4" x14ac:dyDescent="0.3">
      <c r="A65" s="114"/>
      <c r="B65" s="28"/>
      <c r="C65" s="117"/>
      <c r="D65" s="58"/>
      <c r="E65" s="57"/>
      <c r="F65" s="28"/>
      <c r="G65" s="28"/>
      <c r="H65" s="28"/>
      <c r="I65" s="28"/>
      <c r="J65" s="29"/>
      <c r="K65" s="29"/>
      <c r="L65" s="29"/>
      <c r="M65" s="29"/>
      <c r="N65" s="29"/>
      <c r="O65" s="113" t="str">
        <f>IF(B65="","",COUNTIF('Rel.Conjunts-Sistemes'!$C:$C,$B65))</f>
        <v/>
      </c>
    </row>
    <row r="66" spans="1:15" ht="14.4" x14ac:dyDescent="0.3">
      <c r="A66" s="114"/>
      <c r="B66" s="28"/>
      <c r="C66" s="117"/>
      <c r="D66" s="58"/>
      <c r="E66" s="57"/>
      <c r="F66" s="28"/>
      <c r="G66" s="28"/>
      <c r="H66" s="28"/>
      <c r="I66" s="28"/>
      <c r="J66" s="29"/>
      <c r="K66" s="29"/>
      <c r="L66" s="29"/>
      <c r="M66" s="29"/>
      <c r="N66" s="29"/>
      <c r="O66" s="113" t="str">
        <f>IF(B66="","",COUNTIF('Rel.Conjunts-Sistemes'!$C:$C,$B66))</f>
        <v/>
      </c>
    </row>
    <row r="67" spans="1:15" x14ac:dyDescent="0.3">
      <c r="A67" s="114"/>
    </row>
    <row r="68" spans="1:15" x14ac:dyDescent="0.3">
      <c r="A68" s="114"/>
    </row>
  </sheetData>
  <phoneticPr fontId="14" type="noConversion"/>
  <conditionalFormatting sqref="O9:O66">
    <cfRule type="cellIs" dxfId="9" priority="1" operator="greaterThanOrEqual">
      <formula>1</formula>
    </cfRule>
    <cfRule type="cellIs" dxfId="8" priority="2" operator="equal">
      <formula>0</formula>
    </cfRule>
  </conditionalFormatting>
  <dataValidations disablePrompts="1" count="6">
    <dataValidation operator="greaterThan" allowBlank="1" showInputMessage="1" showErrorMessage="1" sqref="E1:E6 E8:E1048576" xr:uid="{D86B3148-1281-4116-A9EE-D1218D1FAFA2}"/>
    <dataValidation type="list" allowBlank="1" showInputMessage="1" showErrorMessage="1" sqref="G9:G66" xr:uid="{60C9F9AD-7031-4245-8025-5D11B7C54C73}">
      <formula1>ArquitecturaCloud</formula1>
    </dataValidation>
    <dataValidation type="list" allowBlank="1" showInputMessage="1" showErrorMessage="1" sqref="H9:H66" xr:uid="{E2AAFDAD-8488-41E8-BFDD-B3D909CE5A8D}">
      <formula1>EstatSistemes</formula1>
    </dataValidation>
    <dataValidation type="list" allowBlank="1" showInputMessage="1" showErrorMessage="1" sqref="L9:L66" xr:uid="{9F8BF595-7D5E-4511-B55A-220FAC79C42C}">
      <formula1>Criticitat</formula1>
    </dataValidation>
    <dataValidation type="list" allowBlank="1" showInputMessage="1" showErrorMessage="1" sqref="F9:F66" xr:uid="{3070634D-1244-4CEB-8AA8-6721F314926A}">
      <formula1>TipusServei</formula1>
    </dataValidation>
    <dataValidation type="date" operator="greaterThan" allowBlank="1" showInputMessage="1" showErrorMessage="1" sqref="I9:K66" xr:uid="{D19A20FA-26C1-442A-849F-1545727E1B42}">
      <formula1>45658</formula1>
    </dataValidation>
  </dataValidations>
  <pageMargins left="0.70866141732283472" right="0.70866141732283472" top="0.74803149606299213" bottom="0.74803149606299213" header="0.31496062992125984" footer="0.31496062992125984"/>
  <pageSetup paperSize="9" scale="38" orientation="landscape" r:id="rId1"/>
  <drawing r:id="rId2"/>
  <legacyDrawing r:id="rId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D07F70-D94C-4010-BF5A-E3D3083C9E62}">
  <sheetPr>
    <tabColor rgb="FFFFC000"/>
  </sheetPr>
  <dimension ref="B1:F62"/>
  <sheetViews>
    <sheetView zoomScale="89" zoomScaleNormal="100" workbookViewId="0">
      <pane xSplit="2" ySplit="7" topLeftCell="C8" activePane="bottomRight" state="frozen"/>
      <selection pane="topRight" activeCell="C1" sqref="C1"/>
      <selection pane="bottomLeft" activeCell="A8" sqref="A8"/>
      <selection pane="bottomRight" activeCell="B12" sqref="B12"/>
    </sheetView>
  </sheetViews>
  <sheetFormatPr baseColWidth="10" defaultColWidth="11.44140625" defaultRowHeight="10.8" x14ac:dyDescent="0.3"/>
  <cols>
    <col min="1" max="1" width="2.77734375" style="132" customWidth="1"/>
    <col min="2" max="2" width="27.5546875" style="132" customWidth="1"/>
    <col min="3" max="4" width="40.21875" style="132" customWidth="1"/>
    <col min="5" max="5" width="24.33203125" style="132" customWidth="1"/>
    <col min="6" max="6" width="11.33203125" style="173" customWidth="1"/>
    <col min="7" max="16384" width="11.44140625" style="132"/>
  </cols>
  <sheetData>
    <row r="1" spans="2:6" s="13" customFormat="1" ht="13.8" x14ac:dyDescent="0.3">
      <c r="B1" s="12"/>
      <c r="C1" s="23"/>
      <c r="D1" s="23"/>
      <c r="F1" s="12"/>
    </row>
    <row r="2" spans="2:6" s="13" customFormat="1" ht="13.8" x14ac:dyDescent="0.3">
      <c r="B2" s="12"/>
      <c r="C2" s="23"/>
      <c r="D2" s="23"/>
      <c r="F2" s="12"/>
    </row>
    <row r="3" spans="2:6" s="13" customFormat="1" ht="13.8" x14ac:dyDescent="0.3">
      <c r="B3" s="12"/>
      <c r="C3" s="23"/>
      <c r="D3" s="23"/>
      <c r="F3" s="12"/>
    </row>
    <row r="4" spans="2:6" s="13" customFormat="1" ht="13.8" x14ac:dyDescent="0.3">
      <c r="B4" s="12"/>
      <c r="C4" s="23"/>
      <c r="D4" s="23"/>
      <c r="F4" s="12"/>
    </row>
    <row r="5" spans="2:6" s="20" customFormat="1" ht="24" thickBot="1" x14ac:dyDescent="0.5">
      <c r="B5" s="21" t="s">
        <v>50</v>
      </c>
      <c r="C5" s="21"/>
      <c r="D5" s="21"/>
      <c r="E5" s="21"/>
      <c r="F5" s="102"/>
    </row>
    <row r="6" spans="2:6" s="20" customFormat="1" ht="24" thickTop="1" x14ac:dyDescent="0.45">
      <c r="B6" s="45">
        <f>COUNTA(Dominis)</f>
        <v>36</v>
      </c>
      <c r="C6" s="46">
        <f>COUNTA(C$8:INDEX(C:C,$B6+7))/$B6</f>
        <v>0.97222222222222221</v>
      </c>
      <c r="D6" s="46">
        <f>COUNTA(D$8:INDEX(D:D,$B6+7))/$B6</f>
        <v>0.97222222222222221</v>
      </c>
      <c r="E6" s="46">
        <f>COUNTA(E$8:INDEX(E:E,$B6+7))/$B6</f>
        <v>0.97222222222222221</v>
      </c>
      <c r="F6" s="44"/>
    </row>
    <row r="7" spans="2:6" s="47" customFormat="1" ht="41.4" x14ac:dyDescent="0.3">
      <c r="B7" s="126" t="s">
        <v>52</v>
      </c>
      <c r="C7" s="126" t="s">
        <v>3</v>
      </c>
      <c r="D7" s="126" t="s">
        <v>397</v>
      </c>
      <c r="E7" s="126" t="s">
        <v>53</v>
      </c>
      <c r="F7" s="126" t="s">
        <v>573</v>
      </c>
    </row>
    <row r="8" spans="2:6" s="24" customFormat="1" ht="69" x14ac:dyDescent="0.3">
      <c r="B8" s="28" t="s">
        <v>400</v>
      </c>
      <c r="C8" s="28" t="s">
        <v>518</v>
      </c>
      <c r="D8" s="28" t="s">
        <v>398</v>
      </c>
      <c r="E8" s="48" t="s">
        <v>118</v>
      </c>
      <c r="F8" s="113">
        <f>IF(B8="","",COUNTIF('Conjunts de dades'!$D:$D,$B8))</f>
        <v>11</v>
      </c>
    </row>
    <row r="9" spans="2:6" s="26" customFormat="1" ht="55.2" x14ac:dyDescent="0.3">
      <c r="B9" s="28" t="s">
        <v>513</v>
      </c>
      <c r="C9" s="28" t="s">
        <v>119</v>
      </c>
      <c r="D9" s="28" t="s">
        <v>398</v>
      </c>
      <c r="E9" s="48" t="s">
        <v>120</v>
      </c>
      <c r="F9" s="113">
        <f>IF(B9="","",COUNTIF('Conjunts de dades'!$D:$D,$B9))</f>
        <v>1</v>
      </c>
    </row>
    <row r="10" spans="2:6" s="26" customFormat="1" ht="27.6" x14ac:dyDescent="0.3">
      <c r="B10" s="27" t="s">
        <v>404</v>
      </c>
      <c r="C10" s="28" t="s">
        <v>401</v>
      </c>
      <c r="D10" s="28" t="s">
        <v>398</v>
      </c>
      <c r="E10" s="48" t="s">
        <v>120</v>
      </c>
      <c r="F10" s="113">
        <f>IF(B10="","",COUNTIF('Conjunts de dades'!$D:$D,$B10))</f>
        <v>0</v>
      </c>
    </row>
    <row r="11" spans="2:6" s="26" customFormat="1" ht="69" x14ac:dyDescent="0.3">
      <c r="B11" s="28" t="s">
        <v>108</v>
      </c>
      <c r="C11" s="28" t="s">
        <v>109</v>
      </c>
      <c r="D11" s="127" t="s">
        <v>935</v>
      </c>
      <c r="E11" s="48" t="s">
        <v>110</v>
      </c>
      <c r="F11" s="113">
        <f>IF(B11="","",COUNTIF('Conjunts de dades'!$D:$D,$B11))</f>
        <v>4</v>
      </c>
    </row>
    <row r="12" spans="2:6" s="26" customFormat="1" ht="69" x14ac:dyDescent="0.3">
      <c r="B12" s="28" t="s">
        <v>127</v>
      </c>
      <c r="C12" s="28" t="s">
        <v>128</v>
      </c>
      <c r="D12" s="125" t="s">
        <v>935</v>
      </c>
      <c r="E12" s="48" t="s">
        <v>110</v>
      </c>
      <c r="F12" s="113">
        <f>IF(B12="","",COUNTIF('Conjunts de dades'!$D:$D,$B12))</f>
        <v>1</v>
      </c>
    </row>
    <row r="13" spans="2:6" s="26" customFormat="1" ht="69" x14ac:dyDescent="0.3">
      <c r="B13" s="28" t="s">
        <v>520</v>
      </c>
      <c r="C13" s="28" t="s">
        <v>113</v>
      </c>
      <c r="D13" s="125" t="s">
        <v>935</v>
      </c>
      <c r="E13" s="48" t="s">
        <v>114</v>
      </c>
      <c r="F13" s="113">
        <f>IF(B13="","",COUNTIF('Conjunts de dades'!$D:$D,$B13))</f>
        <v>6</v>
      </c>
    </row>
    <row r="14" spans="2:6" s="26" customFormat="1" ht="51" customHeight="1" x14ac:dyDescent="0.3">
      <c r="B14" s="28" t="s">
        <v>117</v>
      </c>
      <c r="C14" s="28" t="s">
        <v>855</v>
      </c>
      <c r="D14" s="125" t="s">
        <v>935</v>
      </c>
      <c r="E14" s="48" t="s">
        <v>118</v>
      </c>
      <c r="F14" s="113">
        <f>IF(B14="","",COUNTIF('Conjunts de dades'!$D:$D,$B14))</f>
        <v>1</v>
      </c>
    </row>
    <row r="15" spans="2:6" s="26" customFormat="1" ht="69" x14ac:dyDescent="0.3">
      <c r="B15" s="28" t="s">
        <v>121</v>
      </c>
      <c r="C15" s="28" t="s">
        <v>122</v>
      </c>
      <c r="D15" s="125" t="s">
        <v>935</v>
      </c>
      <c r="E15" s="48" t="s">
        <v>123</v>
      </c>
      <c r="F15" s="113">
        <f>IF(B15="","",COUNTIF('Conjunts de dades'!$D:$D,$B15))</f>
        <v>2</v>
      </c>
    </row>
    <row r="16" spans="2:6" s="26" customFormat="1" ht="69" x14ac:dyDescent="0.3">
      <c r="B16" s="28" t="s">
        <v>59</v>
      </c>
      <c r="C16" s="28" t="s">
        <v>60</v>
      </c>
      <c r="D16" s="125" t="s">
        <v>935</v>
      </c>
      <c r="E16" s="48" t="s">
        <v>61</v>
      </c>
      <c r="F16" s="113">
        <f>IF(B16="","",COUNTIF('Conjunts de dades'!$D:$D,$B16))</f>
        <v>2</v>
      </c>
    </row>
    <row r="17" spans="2:6" s="26" customFormat="1" ht="55.2" x14ac:dyDescent="0.3">
      <c r="B17" s="28" t="s">
        <v>516</v>
      </c>
      <c r="C17" s="28" t="s">
        <v>515</v>
      </c>
      <c r="D17" s="125" t="s">
        <v>935</v>
      </c>
      <c r="E17" s="48" t="s">
        <v>61</v>
      </c>
      <c r="F17" s="113">
        <f>IF(B17="","",COUNTIF('Conjunts de dades'!$D:$D,$B17))</f>
        <v>1</v>
      </c>
    </row>
    <row r="18" spans="2:6" s="26" customFormat="1" ht="69" x14ac:dyDescent="0.3">
      <c r="B18" s="28" t="s">
        <v>115</v>
      </c>
      <c r="C18" s="28" t="s">
        <v>116</v>
      </c>
      <c r="D18" s="125" t="s">
        <v>935</v>
      </c>
      <c r="E18" s="48" t="s">
        <v>61</v>
      </c>
      <c r="F18" s="113">
        <f>IF(B18="","",COUNTIF('Conjunts de dades'!$D:$D,$B18))</f>
        <v>1</v>
      </c>
    </row>
    <row r="19" spans="2:6" s="26" customFormat="1" ht="69" x14ac:dyDescent="0.3">
      <c r="B19" s="28" t="s">
        <v>519</v>
      </c>
      <c r="C19" s="28" t="s">
        <v>105</v>
      </c>
      <c r="D19" s="125" t="s">
        <v>935</v>
      </c>
      <c r="E19" s="48" t="s">
        <v>106</v>
      </c>
      <c r="F19" s="113">
        <f>IF(B19="","",COUNTIF('Conjunts de dades'!$D:$D,$B19))</f>
        <v>4</v>
      </c>
    </row>
    <row r="20" spans="2:6" s="26" customFormat="1" ht="69" x14ac:dyDescent="0.3">
      <c r="B20" s="28" t="s">
        <v>100</v>
      </c>
      <c r="C20" s="28" t="s">
        <v>517</v>
      </c>
      <c r="D20" s="125" t="s">
        <v>935</v>
      </c>
      <c r="E20" s="48" t="s">
        <v>101</v>
      </c>
      <c r="F20" s="113">
        <f>IF(B20="","",COUNTIF('Conjunts de dades'!$D:$D,$B20))</f>
        <v>2</v>
      </c>
    </row>
    <row r="21" spans="2:6" s="26" customFormat="1" ht="69" x14ac:dyDescent="0.3">
      <c r="B21" s="28" t="s">
        <v>67</v>
      </c>
      <c r="C21" s="28" t="s">
        <v>68</v>
      </c>
      <c r="D21" s="121" t="s">
        <v>402</v>
      </c>
      <c r="E21" s="48" t="s">
        <v>69</v>
      </c>
      <c r="F21" s="113">
        <f>IF(B21="","",COUNTIF('Conjunts de dades'!$D:$D,$B21))</f>
        <v>3</v>
      </c>
    </row>
    <row r="22" spans="2:6" s="26" customFormat="1" ht="69" x14ac:dyDescent="0.3">
      <c r="B22" s="28" t="s">
        <v>102</v>
      </c>
      <c r="C22" s="28" t="s">
        <v>103</v>
      </c>
      <c r="D22" s="28" t="s">
        <v>402</v>
      </c>
      <c r="E22" s="48" t="s">
        <v>104</v>
      </c>
      <c r="F22" s="113">
        <f>IF(B22="","",COUNTIF('Conjunts de dades'!$D:$D,$B22))</f>
        <v>0</v>
      </c>
    </row>
    <row r="23" spans="2:6" s="26" customFormat="1" ht="69" x14ac:dyDescent="0.3">
      <c r="B23" s="28" t="s">
        <v>77</v>
      </c>
      <c r="C23" s="28" t="s">
        <v>78</v>
      </c>
      <c r="D23" s="28" t="s">
        <v>402</v>
      </c>
      <c r="E23" s="48" t="s">
        <v>79</v>
      </c>
      <c r="F23" s="113">
        <f>IF(B23="","",COUNTIF('Conjunts de dades'!$D:$D,$B23))</f>
        <v>3</v>
      </c>
    </row>
    <row r="24" spans="2:6" s="26" customFormat="1" ht="69" x14ac:dyDescent="0.3">
      <c r="B24" s="28" t="s">
        <v>92</v>
      </c>
      <c r="C24" s="28" t="s">
        <v>93</v>
      </c>
      <c r="D24" s="28" t="s">
        <v>402</v>
      </c>
      <c r="E24" s="48" t="s">
        <v>94</v>
      </c>
      <c r="F24" s="113">
        <f>IF(B24="","",COUNTIF('Conjunts de dades'!$D:$D,$B24))</f>
        <v>2</v>
      </c>
    </row>
    <row r="25" spans="2:6" s="26" customFormat="1" ht="69" x14ac:dyDescent="0.3">
      <c r="B25" s="28" t="s">
        <v>98</v>
      </c>
      <c r="C25" s="28" t="s">
        <v>99</v>
      </c>
      <c r="D25" s="28" t="s">
        <v>402</v>
      </c>
      <c r="E25" s="48" t="s">
        <v>98</v>
      </c>
      <c r="F25" s="113">
        <f>IF(B25="","",COUNTIF('Conjunts de dades'!$D:$D,$B25))</f>
        <v>4</v>
      </c>
    </row>
    <row r="26" spans="2:6" s="26" customFormat="1" ht="69" x14ac:dyDescent="0.3">
      <c r="B26" s="28" t="s">
        <v>124</v>
      </c>
      <c r="C26" s="28" t="s">
        <v>125</v>
      </c>
      <c r="D26" s="28" t="s">
        <v>402</v>
      </c>
      <c r="E26" s="48" t="s">
        <v>126</v>
      </c>
      <c r="F26" s="113">
        <f>IF(B26="","",COUNTIF('Conjunts de dades'!$D:$D,$B26))</f>
        <v>5</v>
      </c>
    </row>
    <row r="27" spans="2:6" s="26" customFormat="1" ht="69" x14ac:dyDescent="0.3">
      <c r="B27" s="28" t="s">
        <v>55</v>
      </c>
      <c r="C27" s="28" t="s">
        <v>56</v>
      </c>
      <c r="D27" s="28" t="s">
        <v>402</v>
      </c>
      <c r="E27" s="48" t="s">
        <v>57</v>
      </c>
      <c r="F27" s="113">
        <f>IF(B27="","",COUNTIF('Conjunts de dades'!$D:$D,$B27))</f>
        <v>2</v>
      </c>
    </row>
    <row r="28" spans="2:6" s="26" customFormat="1" ht="69" x14ac:dyDescent="0.3">
      <c r="B28" s="28" t="s">
        <v>132</v>
      </c>
      <c r="C28" s="28" t="s">
        <v>133</v>
      </c>
      <c r="D28" s="28" t="s">
        <v>402</v>
      </c>
      <c r="E28" s="48" t="s">
        <v>57</v>
      </c>
      <c r="F28" s="113">
        <f>IF(B28="","",COUNTIF('Conjunts de dades'!$D:$D,$B28))</f>
        <v>6</v>
      </c>
    </row>
    <row r="29" spans="2:6" s="26" customFormat="1" ht="69" x14ac:dyDescent="0.3">
      <c r="B29" s="28" t="s">
        <v>567</v>
      </c>
      <c r="C29" s="28" t="s">
        <v>74</v>
      </c>
      <c r="D29" s="28" t="s">
        <v>402</v>
      </c>
      <c r="E29" s="48" t="s">
        <v>75</v>
      </c>
      <c r="F29" s="113">
        <f>IF(B29="","",COUNTIF('Conjunts de dades'!$D:$D,$B29))</f>
        <v>3</v>
      </c>
    </row>
    <row r="30" spans="2:6" s="26" customFormat="1" ht="69" x14ac:dyDescent="0.3">
      <c r="B30" s="28" t="s">
        <v>141</v>
      </c>
      <c r="C30" s="28" t="s">
        <v>142</v>
      </c>
      <c r="D30" s="28" t="s">
        <v>402</v>
      </c>
      <c r="E30" s="48" t="s">
        <v>106</v>
      </c>
      <c r="F30" s="113">
        <f>IF(B30="","",COUNTIF('Conjunts de dades'!$D:$D,$B30))</f>
        <v>2</v>
      </c>
    </row>
    <row r="31" spans="2:6" s="26" customFormat="1" ht="55.2" x14ac:dyDescent="0.3">
      <c r="B31" s="28" t="s">
        <v>63</v>
      </c>
      <c r="C31" s="28" t="s">
        <v>64</v>
      </c>
      <c r="D31" s="28" t="s">
        <v>399</v>
      </c>
      <c r="E31" s="48" t="s">
        <v>65</v>
      </c>
      <c r="F31" s="113">
        <f>IF(B31="","",COUNTIF('Conjunts de dades'!$D:$D,$B31))</f>
        <v>7</v>
      </c>
    </row>
    <row r="32" spans="2:6" s="26" customFormat="1" ht="55.2" x14ac:dyDescent="0.3">
      <c r="B32" s="28" t="s">
        <v>514</v>
      </c>
      <c r="C32" s="28" t="s">
        <v>936</v>
      </c>
      <c r="D32" s="28" t="s">
        <v>399</v>
      </c>
      <c r="E32" s="48" t="s">
        <v>35</v>
      </c>
      <c r="F32" s="113">
        <f>IF(B32="","",COUNTIF('Conjunts de dades'!$D:$D,$B32))</f>
        <v>3</v>
      </c>
    </row>
    <row r="33" spans="2:6" s="26" customFormat="1" ht="69" x14ac:dyDescent="0.3">
      <c r="B33" s="28" t="s">
        <v>85</v>
      </c>
      <c r="C33" s="28" t="s">
        <v>86</v>
      </c>
      <c r="D33" s="28" t="s">
        <v>399</v>
      </c>
      <c r="E33" s="48" t="s">
        <v>85</v>
      </c>
      <c r="F33" s="113">
        <f>IF(B33="","",COUNTIF('Conjunts de dades'!$D:$D,$B33))</f>
        <v>2</v>
      </c>
    </row>
    <row r="34" spans="2:6" s="26" customFormat="1" ht="82.8" x14ac:dyDescent="0.3">
      <c r="B34" s="28" t="s">
        <v>87</v>
      </c>
      <c r="C34" s="28" t="s">
        <v>88</v>
      </c>
      <c r="D34" s="28" t="s">
        <v>399</v>
      </c>
      <c r="E34" s="48" t="s">
        <v>89</v>
      </c>
      <c r="F34" s="113">
        <f>IF(B34="","",COUNTIF('Conjunts de dades'!$D:$D,$B34))</f>
        <v>3</v>
      </c>
    </row>
    <row r="35" spans="2:6" s="26" customFormat="1" ht="69" x14ac:dyDescent="0.3">
      <c r="B35" s="28" t="s">
        <v>96</v>
      </c>
      <c r="C35" s="28" t="s">
        <v>97</v>
      </c>
      <c r="D35" s="28" t="s">
        <v>399</v>
      </c>
      <c r="E35" s="48" t="s">
        <v>96</v>
      </c>
      <c r="F35" s="113">
        <f>IF(B35="","",COUNTIF('Conjunts de dades'!$D:$D,$B35))</f>
        <v>5</v>
      </c>
    </row>
    <row r="36" spans="2:6" s="26" customFormat="1" ht="69" x14ac:dyDescent="0.3">
      <c r="B36" s="28" t="s">
        <v>843</v>
      </c>
      <c r="C36" s="28" t="s">
        <v>134</v>
      </c>
      <c r="D36" s="28" t="s">
        <v>399</v>
      </c>
      <c r="E36" s="48" t="s">
        <v>135</v>
      </c>
      <c r="F36" s="113">
        <f>IF(B36="","",COUNTIF('Conjunts de dades'!$D:$D,$B36))</f>
        <v>3</v>
      </c>
    </row>
    <row r="37" spans="2:6" s="26" customFormat="1" ht="69" x14ac:dyDescent="0.3">
      <c r="B37" s="28" t="s">
        <v>82</v>
      </c>
      <c r="C37" s="28" t="s">
        <v>83</v>
      </c>
      <c r="D37" s="28" t="s">
        <v>399</v>
      </c>
      <c r="E37" s="48" t="s">
        <v>84</v>
      </c>
      <c r="F37" s="113">
        <f>IF(B37="","",COUNTIF('Conjunts de dades'!$D:$D,$B37))</f>
        <v>4</v>
      </c>
    </row>
    <row r="38" spans="2:6" s="26" customFormat="1" ht="69" x14ac:dyDescent="0.3">
      <c r="B38" s="28" t="s">
        <v>90</v>
      </c>
      <c r="C38" s="28" t="s">
        <v>91</v>
      </c>
      <c r="D38" s="28" t="s">
        <v>399</v>
      </c>
      <c r="E38" s="48" t="s">
        <v>84</v>
      </c>
      <c r="F38" s="113">
        <f>IF(B38="","",COUNTIF('Conjunts de dades'!$D:$D,$B38))</f>
        <v>2</v>
      </c>
    </row>
    <row r="39" spans="2:6" s="26" customFormat="1" ht="69" x14ac:dyDescent="0.3">
      <c r="B39" s="28" t="s">
        <v>129</v>
      </c>
      <c r="C39" s="28" t="s">
        <v>130</v>
      </c>
      <c r="D39" s="28" t="s">
        <v>399</v>
      </c>
      <c r="E39" s="48" t="s">
        <v>131</v>
      </c>
      <c r="F39" s="113">
        <f>IF(B39="","",COUNTIF('Conjunts de dades'!$D:$D,$B39))</f>
        <v>5</v>
      </c>
    </row>
    <row r="40" spans="2:6" s="26" customFormat="1" ht="69" x14ac:dyDescent="0.3">
      <c r="B40" s="28" t="s">
        <v>71</v>
      </c>
      <c r="C40" s="28" t="s">
        <v>72</v>
      </c>
      <c r="D40" s="28" t="s">
        <v>399</v>
      </c>
      <c r="E40" s="48" t="s">
        <v>73</v>
      </c>
      <c r="F40" s="113">
        <f>IF(B40="","",COUNTIF('Conjunts de dades'!$D:$D,$B40))</f>
        <v>3</v>
      </c>
    </row>
    <row r="41" spans="2:6" s="26" customFormat="1" ht="69" x14ac:dyDescent="0.3">
      <c r="B41" s="28" t="s">
        <v>842</v>
      </c>
      <c r="C41" s="28" t="s">
        <v>136</v>
      </c>
      <c r="D41" s="28" t="s">
        <v>399</v>
      </c>
      <c r="E41" s="48" t="s">
        <v>137</v>
      </c>
      <c r="F41" s="113">
        <f>IF(B41="","",COUNTIF('Conjunts de dades'!$D:$D,$B41))</f>
        <v>6</v>
      </c>
    </row>
    <row r="42" spans="2:6" s="26" customFormat="1" ht="69" x14ac:dyDescent="0.3">
      <c r="B42" s="28" t="s">
        <v>138</v>
      </c>
      <c r="C42" s="28" t="s">
        <v>139</v>
      </c>
      <c r="D42" s="28" t="s">
        <v>399</v>
      </c>
      <c r="E42" s="48" t="s">
        <v>140</v>
      </c>
      <c r="F42" s="113">
        <f>IF(B42="","",COUNTIF('Conjunts de dades'!$D:$D,$B42))</f>
        <v>2</v>
      </c>
    </row>
    <row r="43" spans="2:6" s="26" customFormat="1" ht="69" x14ac:dyDescent="0.3">
      <c r="B43" s="28" t="s">
        <v>51</v>
      </c>
      <c r="C43" s="28"/>
      <c r="D43" s="28"/>
      <c r="E43" s="48"/>
      <c r="F43" s="113"/>
    </row>
    <row r="44" spans="2:6" s="26" customFormat="1" ht="13.8" x14ac:dyDescent="0.3">
      <c r="B44" s="28"/>
      <c r="C44" s="28"/>
      <c r="D44" s="28"/>
      <c r="E44" s="48"/>
      <c r="F44" s="113" t="str">
        <f>IF(B44="","",COUNTIF('Conjunts de dades'!$D:$D,$B44))</f>
        <v/>
      </c>
    </row>
    <row r="45" spans="2:6" s="26" customFormat="1" ht="13.8" x14ac:dyDescent="0.3">
      <c r="B45" s="28"/>
      <c r="C45" s="28"/>
      <c r="D45" s="28"/>
      <c r="E45" s="48"/>
      <c r="F45" s="113" t="str">
        <f>IF(B45="","",COUNTIF('Conjunts de dades'!$D:$D,$B45))</f>
        <v/>
      </c>
    </row>
    <row r="46" spans="2:6" s="26" customFormat="1" ht="13.8" x14ac:dyDescent="0.3">
      <c r="B46" s="28"/>
      <c r="C46" s="28"/>
      <c r="D46" s="28"/>
      <c r="E46" s="48"/>
      <c r="F46" s="113" t="str">
        <f>IF(B46="","",COUNTIF('Conjunts de dades'!$D:$D,$B46))</f>
        <v/>
      </c>
    </row>
    <row r="47" spans="2:6" s="26" customFormat="1" ht="13.8" x14ac:dyDescent="0.3">
      <c r="B47" s="28"/>
      <c r="C47" s="28"/>
      <c r="D47" s="28"/>
      <c r="E47" s="48"/>
      <c r="F47" s="113" t="str">
        <f>IF(B47="","",COUNTIF('Conjunts de dades'!$D:$D,$B47))</f>
        <v/>
      </c>
    </row>
    <row r="48" spans="2:6" s="26" customFormat="1" ht="13.8" x14ac:dyDescent="0.3">
      <c r="B48" s="28"/>
      <c r="C48" s="28"/>
      <c r="D48" s="28"/>
      <c r="E48" s="48"/>
      <c r="F48" s="113" t="str">
        <f>IF(B48="","",COUNTIF('Conjunts de dades'!$D:$D,$B48))</f>
        <v/>
      </c>
    </row>
    <row r="49" spans="2:6" s="26" customFormat="1" ht="13.8" x14ac:dyDescent="0.3">
      <c r="B49" s="28"/>
      <c r="C49" s="28"/>
      <c r="D49" s="28"/>
      <c r="E49" s="48"/>
      <c r="F49" s="113" t="str">
        <f>IF(B49="","",COUNTIF('Conjunts de dades'!$D:$D,$B49))</f>
        <v/>
      </c>
    </row>
    <row r="50" spans="2:6" s="26" customFormat="1" ht="13.8" x14ac:dyDescent="0.3">
      <c r="B50" s="28"/>
      <c r="C50" s="28"/>
      <c r="D50" s="28"/>
      <c r="E50" s="48"/>
      <c r="F50" s="113" t="str">
        <f>IF(B50="","",COUNTIF('Conjunts de dades'!$D:$D,$B50))</f>
        <v/>
      </c>
    </row>
    <row r="51" spans="2:6" s="26" customFormat="1" ht="13.8" x14ac:dyDescent="0.3">
      <c r="B51" s="28"/>
      <c r="C51" s="28"/>
      <c r="D51" s="28"/>
      <c r="E51" s="48"/>
      <c r="F51" s="113" t="str">
        <f>IF(B51="","",COUNTIF('Conjunts de dades'!$D:$D,$B51))</f>
        <v/>
      </c>
    </row>
    <row r="52" spans="2:6" s="26" customFormat="1" ht="13.8" x14ac:dyDescent="0.3">
      <c r="B52" s="28"/>
      <c r="C52" s="28"/>
      <c r="D52" s="28"/>
      <c r="E52" s="48"/>
      <c r="F52" s="113" t="str">
        <f>IF(B52="","",COUNTIF('Conjunts de dades'!$D:$D,$B52))</f>
        <v/>
      </c>
    </row>
    <row r="53" spans="2:6" s="26" customFormat="1" ht="13.8" x14ac:dyDescent="0.3">
      <c r="B53" s="28"/>
      <c r="C53" s="28"/>
      <c r="D53" s="28"/>
      <c r="E53" s="48"/>
      <c r="F53" s="113" t="str">
        <f>IF(B53="","",COUNTIF('Conjunts de dades'!$D:$D,$B53))</f>
        <v/>
      </c>
    </row>
    <row r="54" spans="2:6" s="26" customFormat="1" ht="13.8" x14ac:dyDescent="0.3">
      <c r="B54" s="28"/>
      <c r="C54" s="28"/>
      <c r="D54" s="28"/>
      <c r="E54" s="48"/>
      <c r="F54" s="113" t="str">
        <f>IF(B54="","",COUNTIF('Conjunts de dades'!$D:$D,$B54))</f>
        <v/>
      </c>
    </row>
    <row r="55" spans="2:6" s="26" customFormat="1" ht="13.8" x14ac:dyDescent="0.3">
      <c r="B55" s="28"/>
      <c r="C55" s="28"/>
      <c r="D55" s="28"/>
      <c r="E55" s="48"/>
      <c r="F55" s="113" t="str">
        <f>IF(B55="","",COUNTIF('Conjunts de dades'!$D:$D,$B55))</f>
        <v/>
      </c>
    </row>
    <row r="56" spans="2:6" s="26" customFormat="1" ht="13.8" x14ac:dyDescent="0.3">
      <c r="B56" s="28"/>
      <c r="C56" s="28"/>
      <c r="D56" s="28"/>
      <c r="E56" s="48"/>
      <c r="F56" s="113" t="str">
        <f>IF(B56="","",COUNTIF('Conjunts de dades'!$D:$D,$B56))</f>
        <v/>
      </c>
    </row>
    <row r="57" spans="2:6" s="26" customFormat="1" ht="13.8" x14ac:dyDescent="0.3">
      <c r="B57" s="28"/>
      <c r="C57" s="28"/>
      <c r="D57" s="28"/>
      <c r="E57" s="48"/>
      <c r="F57" s="113" t="str">
        <f>IF(B57="","",COUNTIF('Conjunts de dades'!$D:$D,$B57))</f>
        <v/>
      </c>
    </row>
    <row r="58" spans="2:6" s="26" customFormat="1" ht="13.8" x14ac:dyDescent="0.3">
      <c r="B58" s="28"/>
      <c r="C58" s="28"/>
      <c r="D58" s="28"/>
      <c r="E58" s="48"/>
      <c r="F58" s="113" t="str">
        <f>IF(B58="","",COUNTIF('Conjunts de dades'!$D:$D,$B58))</f>
        <v/>
      </c>
    </row>
    <row r="59" spans="2:6" s="26" customFormat="1" ht="13.8" x14ac:dyDescent="0.3">
      <c r="B59" s="28"/>
      <c r="C59" s="28"/>
      <c r="D59" s="28"/>
      <c r="E59" s="48"/>
      <c r="F59" s="113" t="str">
        <f>IF(B59="","",COUNTIF('Conjunts de dades'!$D:$D,$B59))</f>
        <v/>
      </c>
    </row>
    <row r="60" spans="2:6" s="26" customFormat="1" ht="13.8" x14ac:dyDescent="0.3">
      <c r="B60" s="28"/>
      <c r="C60" s="28"/>
      <c r="D60" s="28"/>
      <c r="E60" s="48"/>
      <c r="F60" s="113" t="str">
        <f>IF(B60="","",COUNTIF('Conjunts de dades'!$D:$D,$B60))</f>
        <v/>
      </c>
    </row>
    <row r="61" spans="2:6" s="26" customFormat="1" ht="13.8" x14ac:dyDescent="0.3">
      <c r="B61" s="28"/>
      <c r="C61" s="28"/>
      <c r="D61" s="28"/>
      <c r="E61" s="48"/>
      <c r="F61" s="113" t="str">
        <f>IF(B61="","",COUNTIF('Conjunts de dades'!$D:$D,$B61))</f>
        <v/>
      </c>
    </row>
    <row r="62" spans="2:6" s="26" customFormat="1" ht="13.8" x14ac:dyDescent="0.3">
      <c r="B62" s="28"/>
      <c r="C62" s="28"/>
      <c r="D62" s="28"/>
      <c r="E62" s="48"/>
      <c r="F62" s="113" t="str">
        <f>IF(B62="","",COUNTIF('Conjunts de dades'!$D:$D,$B62))</f>
        <v/>
      </c>
    </row>
  </sheetData>
  <autoFilter ref="B7:I7" xr:uid="{61D07F70-D94C-4010-BF5A-E3D3083C9E62}"/>
  <sortState xmlns:xlrd2="http://schemas.microsoft.com/office/spreadsheetml/2017/richdata2" ref="B9:E43">
    <sortCondition ref="B9:B43"/>
  </sortState>
  <phoneticPr fontId="14" type="noConversion"/>
  <conditionalFormatting sqref="F9:F62">
    <cfRule type="cellIs" dxfId="7" priority="1" operator="greaterThanOrEqual">
      <formula>1</formula>
    </cfRule>
    <cfRule type="cellIs" dxfId="6" priority="2" operator="equal">
      <formula>0</formula>
    </cfRule>
  </conditionalFormatting>
  <dataValidations disablePrompts="1" count="1">
    <dataValidation type="list" allowBlank="1" showInputMessage="1" showErrorMessage="1" sqref="D9:D11 D22:D62" xr:uid="{F8F954A3-C2E2-4070-A97B-5D5C325BBEAD}">
      <formula1>Àmbit</formula1>
    </dataValidation>
  </dataValidations>
  <pageMargins left="0.70866141732283472" right="0.70866141732283472" top="0.74803149606299213" bottom="0.74803149606299213" header="0.31496062992125984" footer="0.31496062992125984"/>
  <pageSetup paperSize="9" scale="38" orientation="landscape" r:id="rId1"/>
  <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5622C4-A425-4F63-BCBB-709967467882}">
  <sheetPr>
    <tabColor rgb="FFFFC000"/>
  </sheetPr>
  <dimension ref="A1:AS200"/>
  <sheetViews>
    <sheetView zoomScale="90" zoomScaleNormal="90" workbookViewId="0">
      <pane xSplit="2" ySplit="8" topLeftCell="C9" activePane="bottomRight" state="frozen"/>
      <selection pane="topRight" activeCell="E1" sqref="E1"/>
      <selection pane="bottomLeft" activeCell="A10" sqref="A10"/>
      <selection pane="bottomRight" activeCell="C6" sqref="C6"/>
    </sheetView>
  </sheetViews>
  <sheetFormatPr baseColWidth="10" defaultColWidth="8.5546875" defaultRowHeight="13.8" x14ac:dyDescent="0.3"/>
  <cols>
    <col min="1" max="1" width="2.77734375" style="132" customWidth="1"/>
    <col min="2" max="2" width="33.88671875" style="123" customWidth="1"/>
    <col min="3" max="3" width="63.5546875" style="18" customWidth="1"/>
    <col min="4" max="4" width="37.33203125" style="18" customWidth="1"/>
    <col min="5" max="7" width="18.5546875" style="18" customWidth="1"/>
    <col min="8" max="8" width="12.109375" style="18" customWidth="1"/>
    <col min="9" max="9" width="12.109375" style="17" customWidth="1"/>
    <col min="10" max="14" width="12.109375" style="18" customWidth="1"/>
    <col min="15" max="20" width="18.5546875" style="18" customWidth="1"/>
    <col min="21" max="21" width="17.44140625" style="17" bestFit="1" customWidth="1"/>
    <col min="22" max="22" width="17.44140625" style="17" customWidth="1"/>
    <col min="23" max="23" width="15.44140625" style="17" bestFit="1" customWidth="1"/>
    <col min="24" max="27" width="15.44140625" style="17" customWidth="1"/>
    <col min="28" max="28" width="20.109375" style="17" customWidth="1"/>
    <col min="29" max="42" width="9.109375" style="17" customWidth="1"/>
    <col min="43" max="43" width="49.88671875" style="17" customWidth="1"/>
    <col min="44" max="16384" width="8.5546875" style="17"/>
  </cols>
  <sheetData>
    <row r="1" spans="1:45" s="13" customFormat="1" x14ac:dyDescent="0.3">
      <c r="B1" s="12"/>
      <c r="C1" s="23"/>
      <c r="D1" s="23"/>
      <c r="F1" s="12"/>
    </row>
    <row r="2" spans="1:45" s="13" customFormat="1" x14ac:dyDescent="0.3">
      <c r="B2" s="12"/>
      <c r="C2" s="23"/>
      <c r="D2" s="23"/>
      <c r="F2" s="12"/>
    </row>
    <row r="3" spans="1:45" s="13" customFormat="1" x14ac:dyDescent="0.3">
      <c r="B3" s="12"/>
      <c r="C3" s="23"/>
      <c r="D3" s="23"/>
      <c r="F3" s="12"/>
    </row>
    <row r="4" spans="1:45" s="13" customFormat="1" x14ac:dyDescent="0.3">
      <c r="B4" s="12"/>
      <c r="C4" s="23"/>
      <c r="D4" s="23"/>
      <c r="F4" s="12"/>
    </row>
    <row r="5" spans="1:45" s="20" customFormat="1" ht="24" thickBot="1" x14ac:dyDescent="0.5">
      <c r="B5" s="21" t="s">
        <v>143</v>
      </c>
      <c r="C5" s="21"/>
      <c r="D5" s="21"/>
      <c r="E5" s="21"/>
      <c r="F5" s="102"/>
      <c r="G5" s="102"/>
      <c r="H5" s="102"/>
      <c r="I5" s="102"/>
      <c r="J5" s="102"/>
      <c r="K5" s="102"/>
      <c r="L5" s="102"/>
      <c r="M5" s="102"/>
      <c r="N5" s="102"/>
      <c r="O5" s="102"/>
      <c r="P5" s="102"/>
      <c r="Q5" s="102"/>
      <c r="R5" s="102"/>
      <c r="S5" s="102"/>
      <c r="T5" s="102"/>
      <c r="U5" s="102"/>
      <c r="V5" s="102"/>
      <c r="W5" s="102"/>
      <c r="X5" s="102"/>
      <c r="Y5" s="102"/>
      <c r="Z5" s="102"/>
      <c r="AA5" s="102"/>
      <c r="AB5" s="102"/>
      <c r="AC5" s="102"/>
      <c r="AD5" s="102"/>
      <c r="AE5" s="102"/>
      <c r="AF5" s="102"/>
      <c r="AG5" s="102"/>
      <c r="AH5" s="102"/>
      <c r="AI5" s="102"/>
      <c r="AJ5" s="102"/>
      <c r="AK5" s="102"/>
      <c r="AL5" s="102"/>
      <c r="AM5" s="102"/>
      <c r="AN5" s="102"/>
      <c r="AO5" s="102"/>
      <c r="AP5" s="102"/>
      <c r="AQ5" s="102"/>
      <c r="AR5" s="102"/>
      <c r="AS5" s="102"/>
    </row>
    <row r="6" spans="1:45" s="172" customFormat="1" ht="24" thickTop="1" x14ac:dyDescent="0.45">
      <c r="A6" s="20"/>
      <c r="B6" s="175">
        <f>COUNTA(ConjuntsDades)</f>
        <v>111</v>
      </c>
      <c r="C6" s="46">
        <f>COUNTA(C$9:INDEX(C:C,$B6+8))/$B6</f>
        <v>1</v>
      </c>
      <c r="D6" s="46">
        <f>COUNTA(D$9:INDEX(D:D,$B6+8))/$B6</f>
        <v>1</v>
      </c>
      <c r="E6" s="46">
        <f>COUNTA(E$9:INDEX(E:E,$B6+8))/$B6</f>
        <v>1</v>
      </c>
      <c r="F6" s="46">
        <f>COUNTA(F$9:INDEX(F:F,$B6+8))/$B6</f>
        <v>9.0090090090090089E-3</v>
      </c>
      <c r="G6" s="46">
        <f>COUNTA(G$9:INDEX(G:G,$B6+8))/$B6</f>
        <v>9.0090090090090089E-3</v>
      </c>
      <c r="H6" s="46">
        <f>COUNTA(H$9:INDEX(H:H,$B6+8))/$B6</f>
        <v>0</v>
      </c>
      <c r="I6" s="46">
        <f>COUNTA(I$9:INDEX(I:I,$B6+8))/$B6</f>
        <v>0</v>
      </c>
      <c r="J6" s="46">
        <f>COUNTA(J$9:INDEX(J:J,$B6+8))/$B6</f>
        <v>0</v>
      </c>
      <c r="K6" s="46">
        <f>COUNTA(K$9:INDEX(K:K,$B6+8))/$B6</f>
        <v>0</v>
      </c>
      <c r="L6" s="46">
        <f>COUNTA(L$9:INDEX(L:L,$B6+8))/$B6</f>
        <v>0</v>
      </c>
      <c r="M6" s="46">
        <f>COUNTA(M$9:INDEX(M:M,$B6+8))/$B6</f>
        <v>0</v>
      </c>
      <c r="N6" s="46">
        <f>COUNTA(N$9:INDEX(N:N,$B6+8))/$B6</f>
        <v>0</v>
      </c>
      <c r="O6" s="46">
        <f>COUNTA(O$9:INDEX(O:O,$B6+8))/$B6</f>
        <v>0</v>
      </c>
      <c r="P6" s="46">
        <f>COUNTA(P$9:INDEX(P:P,$B6+8))/$B6</f>
        <v>0</v>
      </c>
      <c r="Q6" s="46">
        <f>COUNTA(Q$9:INDEX(Q:Q,$B6+8))/$B6</f>
        <v>0</v>
      </c>
      <c r="R6" s="46">
        <f>COUNTA(R$9:INDEX(R:R,$B6+8))/$B6</f>
        <v>0</v>
      </c>
      <c r="S6" s="46">
        <f>COUNTA(S$9:INDEX(S:S,$B6+8))/$B6</f>
        <v>0</v>
      </c>
      <c r="T6" s="46">
        <f>COUNTA(T$9:INDEX(T:T,$B6+8))/$B6</f>
        <v>0</v>
      </c>
      <c r="U6" s="46">
        <f>COUNTA(U$9:INDEX(U:U,$B6+8))/$B6</f>
        <v>0</v>
      </c>
      <c r="V6" s="46">
        <f>COUNTA(V$9:INDEX(V:V,$B6+8))/$B6</f>
        <v>0</v>
      </c>
      <c r="W6" s="46">
        <f>COUNTA(W$9:INDEX(W:W,$B6+8))/$B6</f>
        <v>0</v>
      </c>
      <c r="X6" s="46">
        <f>COUNTA(X$9:INDEX(X:X,$B6+8))/$B6</f>
        <v>0</v>
      </c>
      <c r="Y6" s="46">
        <f>COUNTA(Y$9:INDEX(Y:Y,$B6+8))/$B6</f>
        <v>0</v>
      </c>
      <c r="Z6" s="46">
        <f>COUNTA(Z$9:INDEX(Z:Z,$B6+8))/$B6</f>
        <v>0</v>
      </c>
      <c r="AA6" s="46">
        <f>COUNTA(AA$9:INDEX(AA:AA,$B6+8))/$B6</f>
        <v>0</v>
      </c>
      <c r="AB6" s="46">
        <f>COUNTA(AB$9:INDEX(AB:AB,$B6+8))/$B6</f>
        <v>0</v>
      </c>
      <c r="AC6" s="46">
        <f>COUNTA(AC$9:INDEX(AC:AC,$B6+8))/$B6</f>
        <v>9.0090090090090089E-3</v>
      </c>
      <c r="AD6" s="46">
        <f>COUNTA(AD$9:INDEX(AD:AD,$B6+8))/$B6</f>
        <v>9.0090090090090089E-3</v>
      </c>
      <c r="AE6" s="46">
        <f>COUNTA(AE$9:INDEX(AE:AE,$B6+8))/$B6</f>
        <v>9.0090090090090089E-3</v>
      </c>
      <c r="AF6" s="46">
        <f>COUNTA(AF$9:INDEX(AF:AF,$B6+8))/$B6</f>
        <v>9.0090090090090089E-3</v>
      </c>
      <c r="AG6" s="46">
        <f>COUNTA(AG$9:INDEX(AG:AG,$B6+8))/$B6</f>
        <v>9.0090090090090089E-3</v>
      </c>
      <c r="AH6" s="46">
        <f>COUNTA(AH$9:INDEX(AH:AH,$B6+8))/$B6</f>
        <v>9.0090090090090089E-3</v>
      </c>
      <c r="AI6" s="46">
        <f>COUNTA(AI$9:INDEX(AI:AI,$B6+8))/$B6</f>
        <v>9.0090090090090089E-3</v>
      </c>
      <c r="AJ6" s="46">
        <f>COUNTA(AJ$9:INDEX(AJ:AJ,$B6+8))/$B6</f>
        <v>9.0090090090090089E-3</v>
      </c>
      <c r="AK6" s="46">
        <f>COUNTA(AK$9:INDEX(AK:AK,$B6+8))/$B6</f>
        <v>9.0090090090090089E-3</v>
      </c>
      <c r="AL6" s="46">
        <f>COUNTA(AL$9:INDEX(AL:AL,$B6+8))/$B6</f>
        <v>9.0090090090090089E-3</v>
      </c>
      <c r="AM6" s="46">
        <f>COUNTA(AM$9:INDEX(AM:AM,$B6+8))/$B6</f>
        <v>9.0090090090090089E-3</v>
      </c>
      <c r="AN6" s="46">
        <f>COUNTA(AN$9:INDEX(AN:AN,$B6+8))/$B6</f>
        <v>9.0090090090090089E-3</v>
      </c>
      <c r="AO6" s="46">
        <f>COUNTA(AO$9:INDEX(AO:AO,$B6+8))/$B6</f>
        <v>9.0090090090090089E-3</v>
      </c>
      <c r="AP6" s="46"/>
    </row>
    <row r="7" spans="1:45" s="46" customFormat="1" ht="15.6" x14ac:dyDescent="0.3">
      <c r="A7" s="47"/>
      <c r="B7" s="122"/>
      <c r="H7" s="188" t="s">
        <v>13</v>
      </c>
      <c r="I7" s="189"/>
      <c r="J7" s="189"/>
      <c r="K7" s="189"/>
      <c r="L7" s="189"/>
      <c r="M7" s="189"/>
      <c r="N7" s="192"/>
      <c r="O7" s="188" t="s">
        <v>635</v>
      </c>
      <c r="P7" s="189"/>
      <c r="Q7" s="189"/>
      <c r="R7" s="189"/>
      <c r="S7" s="189"/>
      <c r="T7" s="189"/>
      <c r="AC7" s="190" t="s">
        <v>583</v>
      </c>
      <c r="AD7" s="191"/>
      <c r="AE7" s="191"/>
      <c r="AF7" s="191"/>
      <c r="AG7" s="191"/>
      <c r="AH7" s="191"/>
      <c r="AI7" s="191"/>
      <c r="AJ7" s="191"/>
      <c r="AK7" s="191"/>
      <c r="AL7" s="191"/>
      <c r="AM7" s="191"/>
      <c r="AN7" s="191"/>
      <c r="AO7" s="191"/>
      <c r="AP7" s="128"/>
      <c r="AQ7" s="101"/>
    </row>
    <row r="8" spans="1:45" s="120" customFormat="1" ht="64.8" x14ac:dyDescent="0.3">
      <c r="A8" s="24"/>
      <c r="B8" s="156" t="s">
        <v>144</v>
      </c>
      <c r="C8" s="156" t="s">
        <v>3</v>
      </c>
      <c r="D8" s="156" t="s">
        <v>52</v>
      </c>
      <c r="E8" s="157" t="s">
        <v>956</v>
      </c>
      <c r="F8" s="157" t="s">
        <v>552</v>
      </c>
      <c r="G8" s="157" t="s">
        <v>587</v>
      </c>
      <c r="H8" s="157" t="s">
        <v>599</v>
      </c>
      <c r="I8" s="158" t="s">
        <v>598</v>
      </c>
      <c r="J8" s="158" t="s">
        <v>614</v>
      </c>
      <c r="K8" s="157" t="s">
        <v>608</v>
      </c>
      <c r="L8" s="157" t="s">
        <v>600</v>
      </c>
      <c r="M8" s="157" t="s">
        <v>601</v>
      </c>
      <c r="N8" s="157" t="s">
        <v>634</v>
      </c>
      <c r="O8" s="157" t="s">
        <v>588</v>
      </c>
      <c r="P8" s="157" t="s">
        <v>636</v>
      </c>
      <c r="Q8" s="157" t="s">
        <v>602</v>
      </c>
      <c r="R8" s="157" t="s">
        <v>637</v>
      </c>
      <c r="S8" s="157" t="s">
        <v>603</v>
      </c>
      <c r="T8" s="157" t="s">
        <v>638</v>
      </c>
      <c r="U8" s="158" t="s">
        <v>560</v>
      </c>
      <c r="V8" s="158" t="s">
        <v>163</v>
      </c>
      <c r="W8" s="156" t="s">
        <v>159</v>
      </c>
      <c r="X8" s="156" t="s">
        <v>546</v>
      </c>
      <c r="Y8" s="156" t="s">
        <v>527</v>
      </c>
      <c r="Z8" s="158" t="s">
        <v>535</v>
      </c>
      <c r="AA8" s="158" t="s">
        <v>533</v>
      </c>
      <c r="AB8" s="156" t="s">
        <v>164</v>
      </c>
      <c r="AC8" s="159" t="s">
        <v>580</v>
      </c>
      <c r="AD8" s="159" t="s">
        <v>112</v>
      </c>
      <c r="AE8" s="159" t="s">
        <v>581</v>
      </c>
      <c r="AF8" s="159" t="s">
        <v>582</v>
      </c>
      <c r="AG8" s="159" t="s">
        <v>333</v>
      </c>
      <c r="AH8" s="159" t="s">
        <v>590</v>
      </c>
      <c r="AI8" s="159" t="s">
        <v>584</v>
      </c>
      <c r="AJ8" s="159" t="s">
        <v>585</v>
      </c>
      <c r="AK8" s="159" t="s">
        <v>450</v>
      </c>
      <c r="AL8" s="159" t="s">
        <v>586</v>
      </c>
      <c r="AM8" s="159" t="s">
        <v>591</v>
      </c>
      <c r="AN8" s="159" t="s">
        <v>592</v>
      </c>
      <c r="AO8" s="159" t="s">
        <v>593</v>
      </c>
      <c r="AP8" s="159" t="s">
        <v>948</v>
      </c>
      <c r="AQ8" s="158" t="s">
        <v>534</v>
      </c>
      <c r="AR8" s="157" t="s">
        <v>934</v>
      </c>
      <c r="AS8" s="157" t="s">
        <v>577</v>
      </c>
    </row>
    <row r="9" spans="1:45" s="19" customFormat="1" ht="69" x14ac:dyDescent="0.3">
      <c r="A9" s="26"/>
      <c r="B9" s="160" t="s">
        <v>804</v>
      </c>
      <c r="C9" s="161" t="s">
        <v>645</v>
      </c>
      <c r="D9" s="161" t="s">
        <v>90</v>
      </c>
      <c r="E9" s="171" t="str">
        <f t="shared" ref="E9:E40" si="0">IF(D9="","-",IF(ISERROR(VLOOKUP(D9,DominisDades,3,0)),"&lt;&lt;Domini erroni&gt;&gt;",VLOOKUP(D9,DominisDades,3,0)))</f>
        <v>Serveis a les persones</v>
      </c>
      <c r="F9" s="162" t="s">
        <v>395</v>
      </c>
      <c r="G9" s="162" t="s">
        <v>595</v>
      </c>
      <c r="H9" s="163"/>
      <c r="I9" s="164"/>
      <c r="J9" s="163"/>
      <c r="K9" s="163"/>
      <c r="L9" s="163"/>
      <c r="M9" s="163"/>
      <c r="N9" s="163"/>
      <c r="O9" s="164"/>
      <c r="P9" s="164"/>
      <c r="Q9" s="164"/>
      <c r="R9" s="164"/>
      <c r="S9" s="164"/>
      <c r="T9" s="164"/>
      <c r="U9" s="164"/>
      <c r="V9" s="164"/>
      <c r="W9" s="164"/>
      <c r="X9" s="164"/>
      <c r="Y9" s="164"/>
      <c r="Z9" s="164"/>
      <c r="AA9" s="164"/>
      <c r="AB9" s="164"/>
      <c r="AC9" s="165" t="s">
        <v>941</v>
      </c>
      <c r="AD9" s="165" t="s">
        <v>940</v>
      </c>
      <c r="AE9" s="165" t="s">
        <v>942</v>
      </c>
      <c r="AF9" s="165" t="s">
        <v>942</v>
      </c>
      <c r="AG9" s="165" t="s">
        <v>946</v>
      </c>
      <c r="AH9" s="165" t="s">
        <v>944</v>
      </c>
      <c r="AI9" s="165" t="s">
        <v>941</v>
      </c>
      <c r="AJ9" s="165" t="s">
        <v>944</v>
      </c>
      <c r="AK9" s="165" t="s">
        <v>944</v>
      </c>
      <c r="AL9" s="165" t="s">
        <v>941</v>
      </c>
      <c r="AM9" s="165" t="s">
        <v>940</v>
      </c>
      <c r="AN9" s="165" t="s">
        <v>939</v>
      </c>
      <c r="AO9" s="165" t="s">
        <v>945</v>
      </c>
      <c r="AP9" s="166">
        <f>AVERAGE(SUMIF(AnàlisiRiscos,AC9,AnàlisiRiscosGrau),SUMIF(AnàlisiRiscos,AD9,AnàlisiRiscosGrau),SUMIF(AnàlisiRiscos,AE9,AnàlisiRiscosGrau),SUMIF(AnàlisiRiscos,AF9,AnàlisiRiscosGrau),SUMIF(AnàlisiRiscos,AG9,AnàlisiRiscosGrau),SUMIF(AnàlisiRiscos,AH9,AnàlisiRiscosGrau),SUMIF(AnàlisiRiscos,AI9,AnàlisiRiscosGrau),SUMIF(AnàlisiRiscos,AJ9,AnàlisiRiscosGrau),SUMIF(AnàlisiRiscos,AK9,AnàlisiRiscosGrau),SUMIF(AnàlisiRiscos,AL9,AnàlisiRiscosGrau),SUMIF(AnàlisiRiscos,AM9,AnàlisiRiscosGrau),SUMIF(AnàlisiRiscos,AN9,AnàlisiRiscosGrau),SUMIF(AnàlisiRiscos,AO9,AnàlisiRiscosGrau))</f>
        <v>2.3076923076923075</v>
      </c>
      <c r="AQ9" s="164"/>
      <c r="AR9" s="167">
        <f>IF(B9="","",COUNTIF('Rel.Conjunts-Sistemes'!$B:$B,$B9))</f>
        <v>1</v>
      </c>
      <c r="AS9" s="167">
        <f>IF(B9="","",COUNTIF('Dominis de dades'!$B:$B,$D9))</f>
        <v>1</v>
      </c>
    </row>
    <row r="10" spans="1:45" s="19" customFormat="1" ht="31.05" customHeight="1" x14ac:dyDescent="0.3">
      <c r="A10" s="26"/>
      <c r="B10" s="160" t="s">
        <v>805</v>
      </c>
      <c r="C10" s="161" t="s">
        <v>646</v>
      </c>
      <c r="D10" s="161" t="s">
        <v>90</v>
      </c>
      <c r="E10" s="171" t="str">
        <f t="shared" si="0"/>
        <v>Serveis a les persones</v>
      </c>
      <c r="F10" s="162"/>
      <c r="G10" s="162"/>
      <c r="H10" s="163"/>
      <c r="I10" s="164"/>
      <c r="J10" s="163"/>
      <c r="K10" s="163"/>
      <c r="L10" s="163"/>
      <c r="M10" s="163"/>
      <c r="N10" s="163"/>
      <c r="O10" s="164"/>
      <c r="P10" s="164"/>
      <c r="Q10" s="164"/>
      <c r="R10" s="164"/>
      <c r="S10" s="164"/>
      <c r="T10" s="164"/>
      <c r="U10" s="164"/>
      <c r="V10" s="164"/>
      <c r="W10" s="164"/>
      <c r="X10" s="164"/>
      <c r="Y10" s="164"/>
      <c r="Z10" s="164"/>
      <c r="AA10" s="164"/>
      <c r="AB10" s="164"/>
      <c r="AC10" s="165"/>
      <c r="AD10" s="165"/>
      <c r="AE10" s="165"/>
      <c r="AF10" s="165"/>
      <c r="AG10" s="165"/>
      <c r="AH10" s="165"/>
      <c r="AI10" s="165"/>
      <c r="AJ10" s="165"/>
      <c r="AK10" s="165"/>
      <c r="AL10" s="165"/>
      <c r="AM10" s="165"/>
      <c r="AN10" s="165"/>
      <c r="AO10" s="165"/>
      <c r="AP10" s="166">
        <f t="shared" ref="AP10" si="1">AVERAGE(SUMIF(AnàlisiRiscos,AC10,AnàlisiRiscosGrau),SUMIF(AnàlisiRiscos,AD10,AnàlisiRiscosGrau),SUMIF(AnàlisiRiscos,AE10,AnàlisiRiscosGrau),SUMIF(AnàlisiRiscos,AF10,AnàlisiRiscosGrau),SUMIF(AnàlisiRiscos,AG10,AnàlisiRiscosGrau),SUMIF(AnàlisiRiscos,AH10,AnàlisiRiscosGrau),SUMIF(AnàlisiRiscos,AI10,AnàlisiRiscosGrau),SUMIF(AnàlisiRiscos,AJ10,AnàlisiRiscosGrau),SUMIF(AnàlisiRiscos,AK10,AnàlisiRiscosGrau),SUMIF(AnàlisiRiscos,AL10,AnàlisiRiscosGrau),SUMIF(AnàlisiRiscos,AM10,AnàlisiRiscosGrau),SUMIF(AnàlisiRiscos,AN10,AnàlisiRiscosGrau),SUMIF(AnàlisiRiscos,AO10,AnàlisiRiscosGrau))</f>
        <v>0</v>
      </c>
      <c r="AQ10" s="164"/>
      <c r="AR10" s="167">
        <f>IF(B10="","",COUNTIF('Rel.Conjunts-Sistemes'!$B:$B,$B10))</f>
        <v>1</v>
      </c>
      <c r="AS10" s="167">
        <f>IF(B10="","",COUNTIF('Dominis de dades'!$B:$B,$D10))</f>
        <v>1</v>
      </c>
    </row>
    <row r="11" spans="1:45" s="19" customFormat="1" ht="45" x14ac:dyDescent="0.3">
      <c r="A11" s="26"/>
      <c r="B11" s="160" t="s">
        <v>806</v>
      </c>
      <c r="C11" s="161" t="s">
        <v>647</v>
      </c>
      <c r="D11" s="161" t="s">
        <v>82</v>
      </c>
      <c r="E11" s="171" t="str">
        <f t="shared" si="0"/>
        <v>Serveis a les persones</v>
      </c>
      <c r="F11" s="162"/>
      <c r="G11" s="162"/>
      <c r="H11" s="163"/>
      <c r="I11" s="164"/>
      <c r="J11" s="163"/>
      <c r="K11" s="163"/>
      <c r="L11" s="163"/>
      <c r="M11" s="163"/>
      <c r="N11" s="163"/>
      <c r="O11" s="164"/>
      <c r="P11" s="164"/>
      <c r="Q11" s="164"/>
      <c r="R11" s="164"/>
      <c r="S11" s="164"/>
      <c r="T11" s="164"/>
      <c r="U11" s="164"/>
      <c r="V11" s="164"/>
      <c r="W11" s="164"/>
      <c r="X11" s="164"/>
      <c r="Y11" s="164"/>
      <c r="Z11" s="164"/>
      <c r="AA11" s="164"/>
      <c r="AB11" s="164"/>
      <c r="AC11" s="165"/>
      <c r="AD11" s="165"/>
      <c r="AE11" s="165"/>
      <c r="AF11" s="165"/>
      <c r="AG11" s="165"/>
      <c r="AH11" s="165"/>
      <c r="AI11" s="165"/>
      <c r="AJ11" s="165"/>
      <c r="AK11" s="165"/>
      <c r="AL11" s="165"/>
      <c r="AM11" s="165"/>
      <c r="AN11" s="165"/>
      <c r="AO11" s="165"/>
      <c r="AP11" s="166">
        <f t="shared" ref="AP11:AP74" si="2">AVERAGE(SUMIF(AnàlisiRiscos,AC11,AnàlisiRiscosGrau),SUMIF(AnàlisiRiscos,AD11,AnàlisiRiscosGrau),SUMIF(AnàlisiRiscos,AE11,AnàlisiRiscosGrau),SUMIF(AnàlisiRiscos,AF11,AnàlisiRiscosGrau),SUMIF(AnàlisiRiscos,AG11,AnàlisiRiscosGrau),SUMIF(AnàlisiRiscos,AH11,AnàlisiRiscosGrau),SUMIF(AnàlisiRiscos,AI11,AnàlisiRiscosGrau),SUMIF(AnàlisiRiscos,AJ11,AnàlisiRiscosGrau),SUMIF(AnàlisiRiscos,AK11,AnàlisiRiscosGrau),SUMIF(AnàlisiRiscos,AL11,AnàlisiRiscosGrau),SUMIF(AnàlisiRiscos,AM11,AnàlisiRiscosGrau),SUMIF(AnàlisiRiscos,AN11,AnàlisiRiscosGrau),SUMIF(AnàlisiRiscos,AO11,AnàlisiRiscosGrau))</f>
        <v>0</v>
      </c>
      <c r="AQ11" s="164"/>
      <c r="AR11" s="167">
        <f>IF(B11="","",COUNTIF('Rel.Conjunts-Sistemes'!$B:$B,$B11))</f>
        <v>1</v>
      </c>
      <c r="AS11" s="167">
        <f>IF(B11="","",COUNTIF('Dominis de dades'!$B:$B,$D11))</f>
        <v>1</v>
      </c>
    </row>
    <row r="12" spans="1:45" ht="30" x14ac:dyDescent="0.3">
      <c r="A12" s="26"/>
      <c r="B12" s="160" t="s">
        <v>807</v>
      </c>
      <c r="C12" s="161" t="s">
        <v>801</v>
      </c>
      <c r="D12" s="161" t="s">
        <v>82</v>
      </c>
      <c r="E12" s="171" t="str">
        <f t="shared" si="0"/>
        <v>Serveis a les persones</v>
      </c>
      <c r="F12" s="162"/>
      <c r="G12" s="162"/>
      <c r="H12" s="163"/>
      <c r="I12" s="164"/>
      <c r="J12" s="163"/>
      <c r="K12" s="163"/>
      <c r="L12" s="163"/>
      <c r="M12" s="163"/>
      <c r="N12" s="163"/>
      <c r="O12" s="164"/>
      <c r="P12" s="164"/>
      <c r="Q12" s="164"/>
      <c r="R12" s="164"/>
      <c r="S12" s="164"/>
      <c r="T12" s="164"/>
      <c r="U12" s="164"/>
      <c r="V12" s="164"/>
      <c r="W12" s="164"/>
      <c r="X12" s="164"/>
      <c r="Y12" s="164"/>
      <c r="Z12" s="164"/>
      <c r="AA12" s="164"/>
      <c r="AB12" s="164"/>
      <c r="AC12" s="165"/>
      <c r="AD12" s="165"/>
      <c r="AE12" s="165"/>
      <c r="AF12" s="165"/>
      <c r="AG12" s="165"/>
      <c r="AH12" s="165"/>
      <c r="AI12" s="165"/>
      <c r="AJ12" s="165"/>
      <c r="AK12" s="165"/>
      <c r="AL12" s="165"/>
      <c r="AM12" s="165"/>
      <c r="AN12" s="165"/>
      <c r="AO12" s="165"/>
      <c r="AP12" s="166">
        <f t="shared" si="2"/>
        <v>0</v>
      </c>
      <c r="AQ12" s="164"/>
      <c r="AR12" s="167">
        <f>IF(B12="","",COUNTIF('Rel.Conjunts-Sistemes'!$B:$B,$B12))</f>
        <v>1</v>
      </c>
      <c r="AS12" s="167">
        <f>IF(B12="","",COUNTIF('Dominis de dades'!$B:$B,$D12))</f>
        <v>1</v>
      </c>
    </row>
    <row r="13" spans="1:45" s="19" customFormat="1" ht="30" x14ac:dyDescent="0.3">
      <c r="A13" s="26"/>
      <c r="B13" s="160" t="s">
        <v>808</v>
      </c>
      <c r="C13" s="161" t="s">
        <v>648</v>
      </c>
      <c r="D13" s="161" t="s">
        <v>82</v>
      </c>
      <c r="E13" s="171" t="str">
        <f t="shared" si="0"/>
        <v>Serveis a les persones</v>
      </c>
      <c r="F13" s="162"/>
      <c r="G13" s="162"/>
      <c r="H13" s="163"/>
      <c r="I13" s="164"/>
      <c r="J13" s="163"/>
      <c r="K13" s="163"/>
      <c r="L13" s="163"/>
      <c r="M13" s="163"/>
      <c r="N13" s="163"/>
      <c r="O13" s="164"/>
      <c r="P13" s="164"/>
      <c r="Q13" s="164"/>
      <c r="R13" s="164"/>
      <c r="S13" s="164"/>
      <c r="T13" s="164"/>
      <c r="U13" s="164"/>
      <c r="V13" s="164"/>
      <c r="W13" s="164"/>
      <c r="X13" s="164"/>
      <c r="Y13" s="164"/>
      <c r="Z13" s="164"/>
      <c r="AA13" s="164"/>
      <c r="AB13" s="164"/>
      <c r="AC13" s="165"/>
      <c r="AD13" s="165"/>
      <c r="AE13" s="165"/>
      <c r="AF13" s="165"/>
      <c r="AG13" s="165"/>
      <c r="AH13" s="165"/>
      <c r="AI13" s="165"/>
      <c r="AJ13" s="165"/>
      <c r="AK13" s="165"/>
      <c r="AL13" s="165"/>
      <c r="AM13" s="165"/>
      <c r="AN13" s="165"/>
      <c r="AO13" s="165"/>
      <c r="AP13" s="166">
        <f t="shared" si="2"/>
        <v>0</v>
      </c>
      <c r="AQ13" s="164"/>
      <c r="AR13" s="167">
        <f>IF(B13="","",COUNTIF('Rel.Conjunts-Sistemes'!$B:$B,$B13))</f>
        <v>1</v>
      </c>
      <c r="AS13" s="167">
        <f>IF(B13="","",COUNTIF('Dominis de dades'!$B:$B,$D13))</f>
        <v>1</v>
      </c>
    </row>
    <row r="14" spans="1:45" s="19" customFormat="1" ht="30" x14ac:dyDescent="0.3">
      <c r="A14" s="26"/>
      <c r="B14" s="160" t="s">
        <v>809</v>
      </c>
      <c r="C14" s="161" t="s">
        <v>802</v>
      </c>
      <c r="D14" s="161" t="s">
        <v>132</v>
      </c>
      <c r="E14" s="171" t="str">
        <f t="shared" si="0"/>
        <v>Govern i administració</v>
      </c>
      <c r="F14" s="162"/>
      <c r="G14" s="162"/>
      <c r="H14" s="163"/>
      <c r="I14" s="164"/>
      <c r="J14" s="163"/>
      <c r="K14" s="163"/>
      <c r="L14" s="163"/>
      <c r="M14" s="163"/>
      <c r="N14" s="163"/>
      <c r="O14" s="164"/>
      <c r="P14" s="164"/>
      <c r="Q14" s="164"/>
      <c r="R14" s="164"/>
      <c r="S14" s="164"/>
      <c r="T14" s="164"/>
      <c r="U14" s="164"/>
      <c r="V14" s="164"/>
      <c r="W14" s="164"/>
      <c r="X14" s="164"/>
      <c r="Y14" s="164"/>
      <c r="Z14" s="164"/>
      <c r="AA14" s="164"/>
      <c r="AB14" s="164"/>
      <c r="AC14" s="165"/>
      <c r="AD14" s="165"/>
      <c r="AE14" s="165"/>
      <c r="AF14" s="165"/>
      <c r="AG14" s="165"/>
      <c r="AH14" s="165"/>
      <c r="AI14" s="165"/>
      <c r="AJ14" s="165"/>
      <c r="AK14" s="165"/>
      <c r="AL14" s="165"/>
      <c r="AM14" s="165"/>
      <c r="AN14" s="165"/>
      <c r="AO14" s="165"/>
      <c r="AP14" s="166">
        <f t="shared" si="2"/>
        <v>0</v>
      </c>
      <c r="AQ14" s="164"/>
      <c r="AR14" s="167">
        <f>IF(B14="","",COUNTIF('Rel.Conjunts-Sistemes'!$B:$B,$B14))</f>
        <v>1</v>
      </c>
      <c r="AS14" s="167">
        <f>IF(B14="","",COUNTIF('Dominis de dades'!$B:$B,$D14))</f>
        <v>1</v>
      </c>
    </row>
    <row r="15" spans="1:45" s="19" customFormat="1" ht="30" x14ac:dyDescent="0.3">
      <c r="A15" s="26"/>
      <c r="B15" s="160" t="s">
        <v>810</v>
      </c>
      <c r="C15" s="161" t="s">
        <v>649</v>
      </c>
      <c r="D15" s="161" t="s">
        <v>55</v>
      </c>
      <c r="E15" s="171" t="str">
        <f t="shared" si="0"/>
        <v>Govern i administració</v>
      </c>
      <c r="F15" s="162"/>
      <c r="G15" s="162"/>
      <c r="H15" s="163"/>
      <c r="I15" s="164"/>
      <c r="J15" s="163"/>
      <c r="K15" s="163"/>
      <c r="L15" s="163"/>
      <c r="M15" s="163"/>
      <c r="N15" s="163"/>
      <c r="O15" s="164"/>
      <c r="P15" s="164"/>
      <c r="Q15" s="164"/>
      <c r="R15" s="164"/>
      <c r="S15" s="164"/>
      <c r="T15" s="164"/>
      <c r="U15" s="164"/>
      <c r="V15" s="164"/>
      <c r="W15" s="164"/>
      <c r="X15" s="164"/>
      <c r="Y15" s="164"/>
      <c r="Z15" s="164"/>
      <c r="AA15" s="164"/>
      <c r="AB15" s="164"/>
      <c r="AC15" s="165"/>
      <c r="AD15" s="165"/>
      <c r="AE15" s="165"/>
      <c r="AF15" s="165"/>
      <c r="AG15" s="165"/>
      <c r="AH15" s="165"/>
      <c r="AI15" s="165"/>
      <c r="AJ15" s="165"/>
      <c r="AK15" s="165"/>
      <c r="AL15" s="165"/>
      <c r="AM15" s="165"/>
      <c r="AN15" s="165"/>
      <c r="AO15" s="165"/>
      <c r="AP15" s="166">
        <f t="shared" si="2"/>
        <v>0</v>
      </c>
      <c r="AQ15" s="164"/>
      <c r="AR15" s="167">
        <f>IF(B15="","",COUNTIF('Rel.Conjunts-Sistemes'!$B:$B,$B15))</f>
        <v>1</v>
      </c>
      <c r="AS15" s="167">
        <f>IF(B15="","",COUNTIF('Dominis de dades'!$B:$B,$D15))</f>
        <v>1</v>
      </c>
    </row>
    <row r="16" spans="1:45" s="19" customFormat="1" ht="30" x14ac:dyDescent="0.3">
      <c r="A16" s="26"/>
      <c r="B16" s="160" t="s">
        <v>811</v>
      </c>
      <c r="C16" s="161" t="s">
        <v>783</v>
      </c>
      <c r="D16" s="161" t="s">
        <v>132</v>
      </c>
      <c r="E16" s="171" t="str">
        <f t="shared" si="0"/>
        <v>Govern i administració</v>
      </c>
      <c r="F16" s="162"/>
      <c r="G16" s="162"/>
      <c r="H16" s="163"/>
      <c r="I16" s="164"/>
      <c r="J16" s="163"/>
      <c r="K16" s="163"/>
      <c r="L16" s="163"/>
      <c r="M16" s="163"/>
      <c r="N16" s="163"/>
      <c r="O16" s="164"/>
      <c r="P16" s="164"/>
      <c r="Q16" s="164"/>
      <c r="R16" s="164"/>
      <c r="S16" s="164"/>
      <c r="T16" s="164"/>
      <c r="U16" s="164"/>
      <c r="V16" s="164"/>
      <c r="W16" s="164"/>
      <c r="X16" s="164"/>
      <c r="Y16" s="164"/>
      <c r="Z16" s="164"/>
      <c r="AA16" s="164"/>
      <c r="AB16" s="164"/>
      <c r="AC16" s="165"/>
      <c r="AD16" s="165"/>
      <c r="AE16" s="165"/>
      <c r="AF16" s="165"/>
      <c r="AG16" s="165"/>
      <c r="AH16" s="165"/>
      <c r="AI16" s="165"/>
      <c r="AJ16" s="165"/>
      <c r="AK16" s="165"/>
      <c r="AL16" s="165"/>
      <c r="AM16" s="165"/>
      <c r="AN16" s="165"/>
      <c r="AO16" s="165"/>
      <c r="AP16" s="166">
        <f t="shared" si="2"/>
        <v>0</v>
      </c>
      <c r="AQ16" s="164"/>
      <c r="AR16" s="167">
        <f>IF(B16="","",COUNTIF('Rel.Conjunts-Sistemes'!$B:$B,$B16))</f>
        <v>1</v>
      </c>
      <c r="AS16" s="167">
        <f>IF(B16="","",COUNTIF('Dominis de dades'!$B:$B,$D16))</f>
        <v>1</v>
      </c>
    </row>
    <row r="17" spans="1:45" s="19" customFormat="1" ht="30" x14ac:dyDescent="0.3">
      <c r="A17" s="26"/>
      <c r="B17" s="160" t="s">
        <v>812</v>
      </c>
      <c r="C17" s="161" t="s">
        <v>739</v>
      </c>
      <c r="D17" s="161" t="s">
        <v>132</v>
      </c>
      <c r="E17" s="171" t="str">
        <f t="shared" si="0"/>
        <v>Govern i administració</v>
      </c>
      <c r="F17" s="162"/>
      <c r="G17" s="162"/>
      <c r="H17" s="163"/>
      <c r="I17" s="164"/>
      <c r="J17" s="163"/>
      <c r="K17" s="163"/>
      <c r="L17" s="163"/>
      <c r="M17" s="163"/>
      <c r="N17" s="163"/>
      <c r="O17" s="164"/>
      <c r="P17" s="164"/>
      <c r="Q17" s="164"/>
      <c r="R17" s="164"/>
      <c r="S17" s="164"/>
      <c r="T17" s="164"/>
      <c r="U17" s="164"/>
      <c r="V17" s="164"/>
      <c r="W17" s="164"/>
      <c r="X17" s="164"/>
      <c r="Y17" s="164"/>
      <c r="Z17" s="164"/>
      <c r="AA17" s="164"/>
      <c r="AB17" s="164"/>
      <c r="AC17" s="165"/>
      <c r="AD17" s="165"/>
      <c r="AE17" s="165"/>
      <c r="AF17" s="165"/>
      <c r="AG17" s="165"/>
      <c r="AH17" s="165"/>
      <c r="AI17" s="165"/>
      <c r="AJ17" s="165"/>
      <c r="AK17" s="165"/>
      <c r="AL17" s="165"/>
      <c r="AM17" s="165"/>
      <c r="AN17" s="165"/>
      <c r="AO17" s="165"/>
      <c r="AP17" s="166">
        <f t="shared" si="2"/>
        <v>0</v>
      </c>
      <c r="AQ17" s="164"/>
      <c r="AR17" s="167">
        <f>IF(B17="","",COUNTIF('Rel.Conjunts-Sistemes'!$B:$B,$B17))</f>
        <v>1</v>
      </c>
      <c r="AS17" s="167">
        <f>IF(B17="","",COUNTIF('Dominis de dades'!$B:$B,$D17))</f>
        <v>1</v>
      </c>
    </row>
    <row r="18" spans="1:45" s="19" customFormat="1" ht="30" x14ac:dyDescent="0.3">
      <c r="A18" s="26"/>
      <c r="B18" s="160" t="s">
        <v>568</v>
      </c>
      <c r="C18" s="161" t="s">
        <v>803</v>
      </c>
      <c r="D18" s="161" t="s">
        <v>132</v>
      </c>
      <c r="E18" s="171" t="str">
        <f t="shared" si="0"/>
        <v>Govern i administració</v>
      </c>
      <c r="F18" s="162"/>
      <c r="G18" s="162"/>
      <c r="H18" s="163"/>
      <c r="I18" s="164"/>
      <c r="J18" s="163"/>
      <c r="K18" s="163"/>
      <c r="L18" s="163"/>
      <c r="M18" s="163"/>
      <c r="N18" s="163"/>
      <c r="O18" s="164"/>
      <c r="P18" s="164"/>
      <c r="Q18" s="164"/>
      <c r="R18" s="164"/>
      <c r="S18" s="164"/>
      <c r="T18" s="164"/>
      <c r="U18" s="164"/>
      <c r="V18" s="164"/>
      <c r="W18" s="164"/>
      <c r="X18" s="164"/>
      <c r="Y18" s="164"/>
      <c r="Z18" s="164"/>
      <c r="AA18" s="164"/>
      <c r="AB18" s="164"/>
      <c r="AC18" s="165"/>
      <c r="AD18" s="165"/>
      <c r="AE18" s="165"/>
      <c r="AF18" s="165"/>
      <c r="AG18" s="165"/>
      <c r="AH18" s="165"/>
      <c r="AI18" s="165"/>
      <c r="AJ18" s="165"/>
      <c r="AK18" s="165"/>
      <c r="AL18" s="165"/>
      <c r="AM18" s="165"/>
      <c r="AN18" s="165"/>
      <c r="AO18" s="165"/>
      <c r="AP18" s="166">
        <f t="shared" si="2"/>
        <v>0</v>
      </c>
      <c r="AQ18" s="164"/>
      <c r="AR18" s="167">
        <f>IF(B18="","",COUNTIF('Rel.Conjunts-Sistemes'!$B:$B,$B18))</f>
        <v>1</v>
      </c>
      <c r="AS18" s="167">
        <f>IF(B18="","",COUNTIF('Dominis de dades'!$B:$B,$D18))</f>
        <v>1</v>
      </c>
    </row>
    <row r="19" spans="1:45" s="19" customFormat="1" ht="30" x14ac:dyDescent="0.3">
      <c r="A19" s="26"/>
      <c r="B19" s="160" t="s">
        <v>813</v>
      </c>
      <c r="C19" s="161" t="s">
        <v>761</v>
      </c>
      <c r="D19" s="161" t="s">
        <v>132</v>
      </c>
      <c r="E19" s="171" t="str">
        <f t="shared" si="0"/>
        <v>Govern i administració</v>
      </c>
      <c r="F19" s="162"/>
      <c r="G19" s="162"/>
      <c r="H19" s="163"/>
      <c r="I19" s="164"/>
      <c r="J19" s="163"/>
      <c r="K19" s="163"/>
      <c r="L19" s="163"/>
      <c r="M19" s="163"/>
      <c r="N19" s="163"/>
      <c r="O19" s="164"/>
      <c r="P19" s="164"/>
      <c r="Q19" s="164"/>
      <c r="R19" s="164"/>
      <c r="S19" s="164"/>
      <c r="T19" s="164"/>
      <c r="U19" s="164"/>
      <c r="V19" s="164"/>
      <c r="W19" s="164"/>
      <c r="X19" s="164"/>
      <c r="Y19" s="164"/>
      <c r="Z19" s="164"/>
      <c r="AA19" s="164"/>
      <c r="AB19" s="164"/>
      <c r="AC19" s="165"/>
      <c r="AD19" s="165"/>
      <c r="AE19" s="165"/>
      <c r="AF19" s="165"/>
      <c r="AG19" s="165"/>
      <c r="AH19" s="165"/>
      <c r="AI19" s="165"/>
      <c r="AJ19" s="165"/>
      <c r="AK19" s="165"/>
      <c r="AL19" s="165"/>
      <c r="AM19" s="165"/>
      <c r="AN19" s="165"/>
      <c r="AO19" s="165"/>
      <c r="AP19" s="166">
        <f t="shared" si="2"/>
        <v>0</v>
      </c>
      <c r="AQ19" s="164"/>
      <c r="AR19" s="167">
        <f>IF(B19="","",COUNTIF('Rel.Conjunts-Sistemes'!$B:$B,$B19))</f>
        <v>1</v>
      </c>
      <c r="AS19" s="167">
        <f>IF(B19="","",COUNTIF('Dominis de dades'!$B:$B,$D19))</f>
        <v>1</v>
      </c>
    </row>
    <row r="20" spans="1:45" s="19" customFormat="1" ht="30" x14ac:dyDescent="0.3">
      <c r="A20" s="26"/>
      <c r="B20" s="160" t="s">
        <v>868</v>
      </c>
      <c r="C20" s="161" t="s">
        <v>780</v>
      </c>
      <c r="D20" s="161" t="s">
        <v>132</v>
      </c>
      <c r="E20" s="171" t="str">
        <f t="shared" si="0"/>
        <v>Govern i administració</v>
      </c>
      <c r="F20" s="162"/>
      <c r="G20" s="162"/>
      <c r="H20" s="163"/>
      <c r="I20" s="164"/>
      <c r="J20" s="163"/>
      <c r="K20" s="163"/>
      <c r="L20" s="163"/>
      <c r="M20" s="163"/>
      <c r="N20" s="163"/>
      <c r="O20" s="164"/>
      <c r="P20" s="164"/>
      <c r="Q20" s="164"/>
      <c r="R20" s="164"/>
      <c r="S20" s="164"/>
      <c r="T20" s="164"/>
      <c r="U20" s="164"/>
      <c r="V20" s="164"/>
      <c r="W20" s="164"/>
      <c r="X20" s="164"/>
      <c r="Y20" s="164"/>
      <c r="Z20" s="164"/>
      <c r="AA20" s="164"/>
      <c r="AB20" s="164"/>
      <c r="AC20" s="165"/>
      <c r="AD20" s="165"/>
      <c r="AE20" s="165"/>
      <c r="AF20" s="165"/>
      <c r="AG20" s="165"/>
      <c r="AH20" s="165"/>
      <c r="AI20" s="165"/>
      <c r="AJ20" s="165"/>
      <c r="AK20" s="165"/>
      <c r="AL20" s="165"/>
      <c r="AM20" s="165"/>
      <c r="AN20" s="165"/>
      <c r="AO20" s="165"/>
      <c r="AP20" s="166">
        <f t="shared" si="2"/>
        <v>0</v>
      </c>
      <c r="AQ20" s="164"/>
      <c r="AR20" s="167">
        <f>IF(B20="","",COUNTIF('Rel.Conjunts-Sistemes'!$B:$B,$B20))</f>
        <v>1</v>
      </c>
      <c r="AS20" s="167">
        <f>IF(B20="","",COUNTIF('Dominis de dades'!$B:$B,$D20))</f>
        <v>1</v>
      </c>
    </row>
    <row r="21" spans="1:45" s="19" customFormat="1" ht="45" x14ac:dyDescent="0.3">
      <c r="A21" s="26"/>
      <c r="B21" s="160" t="s">
        <v>869</v>
      </c>
      <c r="C21" s="161" t="s">
        <v>650</v>
      </c>
      <c r="D21" s="161" t="s">
        <v>77</v>
      </c>
      <c r="E21" s="171" t="str">
        <f t="shared" si="0"/>
        <v>Govern i administració</v>
      </c>
      <c r="F21" s="162"/>
      <c r="G21" s="162"/>
      <c r="H21" s="163"/>
      <c r="I21" s="164"/>
      <c r="J21" s="163"/>
      <c r="K21" s="163"/>
      <c r="L21" s="163"/>
      <c r="M21" s="163"/>
      <c r="N21" s="163"/>
      <c r="O21" s="164"/>
      <c r="P21" s="164"/>
      <c r="Q21" s="164"/>
      <c r="R21" s="164"/>
      <c r="S21" s="164"/>
      <c r="T21" s="164"/>
      <c r="U21" s="164"/>
      <c r="V21" s="164"/>
      <c r="W21" s="164"/>
      <c r="X21" s="164"/>
      <c r="Y21" s="164"/>
      <c r="Z21" s="164"/>
      <c r="AA21" s="164"/>
      <c r="AB21" s="164"/>
      <c r="AC21" s="165"/>
      <c r="AD21" s="165"/>
      <c r="AE21" s="165"/>
      <c r="AF21" s="165"/>
      <c r="AG21" s="165"/>
      <c r="AH21" s="165"/>
      <c r="AI21" s="165"/>
      <c r="AJ21" s="165"/>
      <c r="AK21" s="165"/>
      <c r="AL21" s="165"/>
      <c r="AM21" s="165"/>
      <c r="AN21" s="165"/>
      <c r="AO21" s="165"/>
      <c r="AP21" s="166">
        <f t="shared" si="2"/>
        <v>0</v>
      </c>
      <c r="AQ21" s="164"/>
      <c r="AR21" s="167">
        <f>IF(B21="","",COUNTIF('Rel.Conjunts-Sistemes'!$B:$B,$B21))</f>
        <v>1</v>
      </c>
      <c r="AS21" s="167">
        <f>IF(B21="","",COUNTIF('Dominis de dades'!$B:$B,$D21))</f>
        <v>1</v>
      </c>
    </row>
    <row r="22" spans="1:45" s="19" customFormat="1" ht="30" x14ac:dyDescent="0.3">
      <c r="A22" s="26"/>
      <c r="B22" s="160" t="s">
        <v>815</v>
      </c>
      <c r="C22" s="161" t="s">
        <v>816</v>
      </c>
      <c r="D22" s="161" t="s">
        <v>98</v>
      </c>
      <c r="E22" s="171" t="str">
        <f t="shared" si="0"/>
        <v>Govern i administració</v>
      </c>
      <c r="F22" s="162"/>
      <c r="G22" s="162"/>
      <c r="H22" s="163"/>
      <c r="I22" s="164"/>
      <c r="J22" s="163"/>
      <c r="K22" s="163"/>
      <c r="L22" s="163"/>
      <c r="M22" s="163"/>
      <c r="N22" s="163"/>
      <c r="O22" s="164"/>
      <c r="P22" s="164"/>
      <c r="Q22" s="164"/>
      <c r="R22" s="164"/>
      <c r="S22" s="164"/>
      <c r="T22" s="164"/>
      <c r="U22" s="164"/>
      <c r="V22" s="164"/>
      <c r="W22" s="164"/>
      <c r="X22" s="164"/>
      <c r="Y22" s="164"/>
      <c r="Z22" s="164"/>
      <c r="AA22" s="164"/>
      <c r="AB22" s="164"/>
      <c r="AC22" s="165"/>
      <c r="AD22" s="165"/>
      <c r="AE22" s="165"/>
      <c r="AF22" s="165"/>
      <c r="AG22" s="165"/>
      <c r="AH22" s="165"/>
      <c r="AI22" s="165"/>
      <c r="AJ22" s="165"/>
      <c r="AK22" s="165"/>
      <c r="AL22" s="165"/>
      <c r="AM22" s="165"/>
      <c r="AN22" s="165"/>
      <c r="AO22" s="165"/>
      <c r="AP22" s="166">
        <f t="shared" si="2"/>
        <v>0</v>
      </c>
      <c r="AQ22" s="164"/>
      <c r="AR22" s="167">
        <f>IF(B22="","",COUNTIF('Rel.Conjunts-Sistemes'!$B:$B,$B22))</f>
        <v>1</v>
      </c>
      <c r="AS22" s="167">
        <f>IF(B22="","",COUNTIF('Dominis de dades'!$B:$B,$D22))</f>
        <v>1</v>
      </c>
    </row>
    <row r="23" spans="1:45" s="19" customFormat="1" ht="30" x14ac:dyDescent="0.3">
      <c r="A23" s="26"/>
      <c r="B23" s="160" t="s">
        <v>817</v>
      </c>
      <c r="C23" s="161" t="s">
        <v>818</v>
      </c>
      <c r="D23" s="161" t="s">
        <v>98</v>
      </c>
      <c r="E23" s="171" t="str">
        <f t="shared" si="0"/>
        <v>Govern i administració</v>
      </c>
      <c r="F23" s="162"/>
      <c r="G23" s="162"/>
      <c r="H23" s="163"/>
      <c r="I23" s="164"/>
      <c r="J23" s="163"/>
      <c r="K23" s="163"/>
      <c r="L23" s="163"/>
      <c r="M23" s="163"/>
      <c r="N23" s="163"/>
      <c r="O23" s="164"/>
      <c r="P23" s="164"/>
      <c r="Q23" s="164"/>
      <c r="R23" s="164"/>
      <c r="S23" s="164"/>
      <c r="T23" s="164"/>
      <c r="U23" s="164"/>
      <c r="V23" s="164"/>
      <c r="W23" s="164"/>
      <c r="X23" s="164"/>
      <c r="Y23" s="164"/>
      <c r="Z23" s="164"/>
      <c r="AA23" s="164"/>
      <c r="AB23" s="164"/>
      <c r="AC23" s="165"/>
      <c r="AD23" s="165"/>
      <c r="AE23" s="165"/>
      <c r="AF23" s="165"/>
      <c r="AG23" s="165"/>
      <c r="AH23" s="165"/>
      <c r="AI23" s="165"/>
      <c r="AJ23" s="165"/>
      <c r="AK23" s="165"/>
      <c r="AL23" s="165"/>
      <c r="AM23" s="165"/>
      <c r="AN23" s="165"/>
      <c r="AO23" s="165"/>
      <c r="AP23" s="166">
        <f t="shared" si="2"/>
        <v>0</v>
      </c>
      <c r="AQ23" s="164"/>
      <c r="AR23" s="167">
        <f>IF(B23="","",COUNTIF('Rel.Conjunts-Sistemes'!$B:$B,$B23))</f>
        <v>1</v>
      </c>
      <c r="AS23" s="167">
        <f>IF(B23="","",COUNTIF('Dominis de dades'!$B:$B,$D23))</f>
        <v>1</v>
      </c>
    </row>
    <row r="24" spans="1:45" s="19" customFormat="1" ht="45" x14ac:dyDescent="0.3">
      <c r="A24" s="26"/>
      <c r="B24" s="160" t="s">
        <v>819</v>
      </c>
      <c r="C24" s="161" t="s">
        <v>820</v>
      </c>
      <c r="D24" s="161" t="s">
        <v>98</v>
      </c>
      <c r="E24" s="171" t="str">
        <f t="shared" si="0"/>
        <v>Govern i administració</v>
      </c>
      <c r="F24" s="162"/>
      <c r="G24" s="162"/>
      <c r="H24" s="163"/>
      <c r="I24" s="164"/>
      <c r="J24" s="163"/>
      <c r="K24" s="163"/>
      <c r="L24" s="163"/>
      <c r="M24" s="163"/>
      <c r="N24" s="163"/>
      <c r="O24" s="164"/>
      <c r="P24" s="164"/>
      <c r="Q24" s="164"/>
      <c r="R24" s="164"/>
      <c r="S24" s="164"/>
      <c r="T24" s="164"/>
      <c r="U24" s="164"/>
      <c r="V24" s="164"/>
      <c r="W24" s="164"/>
      <c r="X24" s="164"/>
      <c r="Y24" s="164"/>
      <c r="Z24" s="164"/>
      <c r="AA24" s="164"/>
      <c r="AB24" s="164"/>
      <c r="AC24" s="165"/>
      <c r="AD24" s="165"/>
      <c r="AE24" s="165"/>
      <c r="AF24" s="165"/>
      <c r="AG24" s="165"/>
      <c r="AH24" s="165"/>
      <c r="AI24" s="165"/>
      <c r="AJ24" s="165"/>
      <c r="AK24" s="165"/>
      <c r="AL24" s="165"/>
      <c r="AM24" s="165"/>
      <c r="AN24" s="165"/>
      <c r="AO24" s="165"/>
      <c r="AP24" s="166">
        <f t="shared" si="2"/>
        <v>0</v>
      </c>
      <c r="AQ24" s="164"/>
      <c r="AR24" s="167">
        <f>IF(B24="","",COUNTIF('Rel.Conjunts-Sistemes'!$B:$B,$B24))</f>
        <v>1</v>
      </c>
      <c r="AS24" s="167">
        <f>IF(B24="","",COUNTIF('Dominis de dades'!$B:$B,$D24))</f>
        <v>1</v>
      </c>
    </row>
    <row r="25" spans="1:45" s="19" customFormat="1" ht="30" x14ac:dyDescent="0.3">
      <c r="A25" s="26"/>
      <c r="B25" s="160" t="s">
        <v>852</v>
      </c>
      <c r="C25" s="161" t="s">
        <v>651</v>
      </c>
      <c r="D25" s="161" t="s">
        <v>98</v>
      </c>
      <c r="E25" s="171" t="str">
        <f t="shared" si="0"/>
        <v>Govern i administració</v>
      </c>
      <c r="F25" s="162"/>
      <c r="G25" s="162"/>
      <c r="H25" s="163"/>
      <c r="I25" s="164"/>
      <c r="J25" s="163"/>
      <c r="K25" s="163"/>
      <c r="L25" s="163"/>
      <c r="M25" s="163"/>
      <c r="N25" s="163"/>
      <c r="O25" s="164"/>
      <c r="P25" s="164"/>
      <c r="Q25" s="164"/>
      <c r="R25" s="164"/>
      <c r="S25" s="164"/>
      <c r="T25" s="164"/>
      <c r="U25" s="164"/>
      <c r="V25" s="164"/>
      <c r="W25" s="164"/>
      <c r="X25" s="164"/>
      <c r="Y25" s="164"/>
      <c r="Z25" s="164"/>
      <c r="AA25" s="164"/>
      <c r="AB25" s="164"/>
      <c r="AC25" s="165"/>
      <c r="AD25" s="165"/>
      <c r="AE25" s="165"/>
      <c r="AF25" s="165"/>
      <c r="AG25" s="165"/>
      <c r="AH25" s="165"/>
      <c r="AI25" s="165"/>
      <c r="AJ25" s="165"/>
      <c r="AK25" s="165"/>
      <c r="AL25" s="165"/>
      <c r="AM25" s="165"/>
      <c r="AN25" s="165"/>
      <c r="AO25" s="165"/>
      <c r="AP25" s="166">
        <f t="shared" si="2"/>
        <v>0</v>
      </c>
      <c r="AQ25" s="164"/>
      <c r="AR25" s="167">
        <f>IF(B25="","",COUNTIF('Rel.Conjunts-Sistemes'!$B:$B,$B25))</f>
        <v>1</v>
      </c>
      <c r="AS25" s="167">
        <f>IF(B25="","",COUNTIF('Dominis de dades'!$B:$B,$D25))</f>
        <v>1</v>
      </c>
    </row>
    <row r="26" spans="1:45" s="19" customFormat="1" ht="30" x14ac:dyDescent="0.3">
      <c r="A26" s="26"/>
      <c r="B26" s="160" t="s">
        <v>821</v>
      </c>
      <c r="C26" s="161" t="s">
        <v>822</v>
      </c>
      <c r="D26" s="161" t="s">
        <v>77</v>
      </c>
      <c r="E26" s="171" t="str">
        <f t="shared" si="0"/>
        <v>Govern i administració</v>
      </c>
      <c r="F26" s="162"/>
      <c r="G26" s="162"/>
      <c r="H26" s="163"/>
      <c r="I26" s="164"/>
      <c r="J26" s="163"/>
      <c r="K26" s="163"/>
      <c r="L26" s="163"/>
      <c r="M26" s="163"/>
      <c r="N26" s="163"/>
      <c r="O26" s="164"/>
      <c r="P26" s="164"/>
      <c r="Q26" s="164"/>
      <c r="R26" s="164"/>
      <c r="S26" s="164"/>
      <c r="T26" s="164"/>
      <c r="U26" s="164"/>
      <c r="V26" s="164"/>
      <c r="W26" s="164"/>
      <c r="X26" s="164"/>
      <c r="Y26" s="164"/>
      <c r="Z26" s="164"/>
      <c r="AA26" s="164"/>
      <c r="AB26" s="164"/>
      <c r="AC26" s="165"/>
      <c r="AD26" s="165"/>
      <c r="AE26" s="165"/>
      <c r="AF26" s="165"/>
      <c r="AG26" s="165"/>
      <c r="AH26" s="165"/>
      <c r="AI26" s="165"/>
      <c r="AJ26" s="165"/>
      <c r="AK26" s="165"/>
      <c r="AL26" s="165"/>
      <c r="AM26" s="165"/>
      <c r="AN26" s="165"/>
      <c r="AO26" s="165"/>
      <c r="AP26" s="166">
        <f t="shared" si="2"/>
        <v>0</v>
      </c>
      <c r="AQ26" s="164"/>
      <c r="AR26" s="167">
        <f>IF(B26="","",COUNTIF('Rel.Conjunts-Sistemes'!$B:$B,$B26))</f>
        <v>1</v>
      </c>
      <c r="AS26" s="167">
        <f>IF(B26="","",COUNTIF('Dominis de dades'!$B:$B,$D26))</f>
        <v>1</v>
      </c>
    </row>
    <row r="27" spans="1:45" s="19" customFormat="1" ht="30" x14ac:dyDescent="0.3">
      <c r="A27" s="26"/>
      <c r="B27" s="160" t="s">
        <v>823</v>
      </c>
      <c r="C27" s="161" t="s">
        <v>824</v>
      </c>
      <c r="D27" s="161" t="s">
        <v>77</v>
      </c>
      <c r="E27" s="171" t="str">
        <f t="shared" si="0"/>
        <v>Govern i administració</v>
      </c>
      <c r="F27" s="162"/>
      <c r="G27" s="162"/>
      <c r="H27" s="163"/>
      <c r="I27" s="164"/>
      <c r="J27" s="163"/>
      <c r="K27" s="163"/>
      <c r="L27" s="163"/>
      <c r="M27" s="163"/>
      <c r="N27" s="163"/>
      <c r="O27" s="164"/>
      <c r="P27" s="164"/>
      <c r="Q27" s="164"/>
      <c r="R27" s="164"/>
      <c r="S27" s="164"/>
      <c r="T27" s="164"/>
      <c r="U27" s="164"/>
      <c r="V27" s="164"/>
      <c r="W27" s="164"/>
      <c r="X27" s="164"/>
      <c r="Y27" s="164"/>
      <c r="Z27" s="164"/>
      <c r="AA27" s="164"/>
      <c r="AB27" s="164"/>
      <c r="AC27" s="165"/>
      <c r="AD27" s="165"/>
      <c r="AE27" s="165"/>
      <c r="AF27" s="165"/>
      <c r="AG27" s="165"/>
      <c r="AH27" s="165"/>
      <c r="AI27" s="165"/>
      <c r="AJ27" s="165"/>
      <c r="AK27" s="165"/>
      <c r="AL27" s="165"/>
      <c r="AM27" s="165"/>
      <c r="AN27" s="165"/>
      <c r="AO27" s="165"/>
      <c r="AP27" s="166">
        <f t="shared" si="2"/>
        <v>0</v>
      </c>
      <c r="AQ27" s="164"/>
      <c r="AR27" s="167">
        <f>IF(B27="","",COUNTIF('Rel.Conjunts-Sistemes'!$B:$B,$B27))</f>
        <v>1</v>
      </c>
      <c r="AS27" s="167">
        <f>IF(B27="","",COUNTIF('Dominis de dades'!$B:$B,$D27))</f>
        <v>1</v>
      </c>
    </row>
    <row r="28" spans="1:45" s="19" customFormat="1" ht="45" x14ac:dyDescent="0.3">
      <c r="A28" s="26"/>
      <c r="B28" s="160" t="s">
        <v>825</v>
      </c>
      <c r="C28" s="161" t="s">
        <v>826</v>
      </c>
      <c r="D28" s="161" t="s">
        <v>67</v>
      </c>
      <c r="E28" s="171" t="str">
        <f t="shared" si="0"/>
        <v>Govern i administració</v>
      </c>
      <c r="F28" s="162"/>
      <c r="G28" s="162"/>
      <c r="H28" s="163"/>
      <c r="I28" s="164"/>
      <c r="J28" s="163"/>
      <c r="K28" s="163"/>
      <c r="L28" s="163"/>
      <c r="M28" s="163"/>
      <c r="N28" s="163"/>
      <c r="O28" s="164"/>
      <c r="P28" s="164"/>
      <c r="Q28" s="164"/>
      <c r="R28" s="164"/>
      <c r="S28" s="164"/>
      <c r="T28" s="164"/>
      <c r="U28" s="164"/>
      <c r="V28" s="164"/>
      <c r="W28" s="164"/>
      <c r="X28" s="164"/>
      <c r="Y28" s="164"/>
      <c r="Z28" s="164"/>
      <c r="AA28" s="164"/>
      <c r="AB28" s="164"/>
      <c r="AC28" s="165"/>
      <c r="AD28" s="165"/>
      <c r="AE28" s="165"/>
      <c r="AF28" s="165"/>
      <c r="AG28" s="165"/>
      <c r="AH28" s="165"/>
      <c r="AI28" s="165"/>
      <c r="AJ28" s="165"/>
      <c r="AK28" s="165"/>
      <c r="AL28" s="165"/>
      <c r="AM28" s="165"/>
      <c r="AN28" s="165"/>
      <c r="AO28" s="165"/>
      <c r="AP28" s="166">
        <f t="shared" si="2"/>
        <v>0</v>
      </c>
      <c r="AQ28" s="164"/>
      <c r="AR28" s="167">
        <f>IF(B28="","",COUNTIF('Rel.Conjunts-Sistemes'!$B:$B,$B28))</f>
        <v>1</v>
      </c>
      <c r="AS28" s="167">
        <f>IF(B28="","",COUNTIF('Dominis de dades'!$B:$B,$D28))</f>
        <v>1</v>
      </c>
    </row>
    <row r="29" spans="1:45" s="19" customFormat="1" ht="30" x14ac:dyDescent="0.3">
      <c r="A29" s="26"/>
      <c r="B29" s="160" t="s">
        <v>827</v>
      </c>
      <c r="C29" s="161" t="s">
        <v>784</v>
      </c>
      <c r="D29" s="161" t="s">
        <v>67</v>
      </c>
      <c r="E29" s="171" t="str">
        <f t="shared" si="0"/>
        <v>Govern i administració</v>
      </c>
      <c r="F29" s="162"/>
      <c r="G29" s="162"/>
      <c r="H29" s="163"/>
      <c r="I29" s="164"/>
      <c r="J29" s="163"/>
      <c r="K29" s="163"/>
      <c r="L29" s="163"/>
      <c r="M29" s="163"/>
      <c r="N29" s="163"/>
      <c r="O29" s="164"/>
      <c r="P29" s="164"/>
      <c r="Q29" s="164"/>
      <c r="R29" s="164"/>
      <c r="S29" s="164"/>
      <c r="T29" s="164"/>
      <c r="U29" s="164"/>
      <c r="V29" s="164"/>
      <c r="W29" s="164"/>
      <c r="X29" s="164"/>
      <c r="Y29" s="164"/>
      <c r="Z29" s="164"/>
      <c r="AA29" s="164"/>
      <c r="AB29" s="164"/>
      <c r="AC29" s="165"/>
      <c r="AD29" s="165"/>
      <c r="AE29" s="165"/>
      <c r="AF29" s="165"/>
      <c r="AG29" s="165"/>
      <c r="AH29" s="165"/>
      <c r="AI29" s="165"/>
      <c r="AJ29" s="165"/>
      <c r="AK29" s="165"/>
      <c r="AL29" s="165"/>
      <c r="AM29" s="165"/>
      <c r="AN29" s="165"/>
      <c r="AO29" s="165"/>
      <c r="AP29" s="166">
        <f t="shared" si="2"/>
        <v>0</v>
      </c>
      <c r="AQ29" s="164"/>
      <c r="AR29" s="167">
        <f>IF(B29="","",COUNTIF('Rel.Conjunts-Sistemes'!$B:$B,$B29))</f>
        <v>1</v>
      </c>
      <c r="AS29" s="167">
        <f>IF(B29="","",COUNTIF('Dominis de dades'!$B:$B,$D29))</f>
        <v>1</v>
      </c>
    </row>
    <row r="30" spans="1:45" s="19" customFormat="1" ht="30" x14ac:dyDescent="0.3">
      <c r="A30" s="26"/>
      <c r="B30" s="160" t="s">
        <v>828</v>
      </c>
      <c r="C30" s="161" t="s">
        <v>785</v>
      </c>
      <c r="D30" s="161" t="s">
        <v>92</v>
      </c>
      <c r="E30" s="171" t="str">
        <f t="shared" si="0"/>
        <v>Govern i administració</v>
      </c>
      <c r="F30" s="162"/>
      <c r="G30" s="162"/>
      <c r="H30" s="163"/>
      <c r="I30" s="164"/>
      <c r="J30" s="163"/>
      <c r="K30" s="163"/>
      <c r="L30" s="163"/>
      <c r="M30" s="163"/>
      <c r="N30" s="163"/>
      <c r="O30" s="164"/>
      <c r="P30" s="164"/>
      <c r="Q30" s="164"/>
      <c r="R30" s="164"/>
      <c r="S30" s="164"/>
      <c r="T30" s="164"/>
      <c r="U30" s="164"/>
      <c r="V30" s="164"/>
      <c r="W30" s="164"/>
      <c r="X30" s="164"/>
      <c r="Y30" s="164"/>
      <c r="Z30" s="164"/>
      <c r="AA30" s="164"/>
      <c r="AB30" s="164"/>
      <c r="AC30" s="165"/>
      <c r="AD30" s="165"/>
      <c r="AE30" s="165"/>
      <c r="AF30" s="165"/>
      <c r="AG30" s="165"/>
      <c r="AH30" s="165"/>
      <c r="AI30" s="165"/>
      <c r="AJ30" s="165"/>
      <c r="AK30" s="165"/>
      <c r="AL30" s="165"/>
      <c r="AM30" s="165"/>
      <c r="AN30" s="165"/>
      <c r="AO30" s="165"/>
      <c r="AP30" s="166">
        <f t="shared" si="2"/>
        <v>0</v>
      </c>
      <c r="AQ30" s="164"/>
      <c r="AR30" s="167">
        <f>IF(B30="","",COUNTIF('Rel.Conjunts-Sistemes'!$B:$B,$B30))</f>
        <v>1</v>
      </c>
      <c r="AS30" s="167">
        <f>IF(B30="","",COUNTIF('Dominis de dades'!$B:$B,$D30))</f>
        <v>1</v>
      </c>
    </row>
    <row r="31" spans="1:45" s="19" customFormat="1" ht="30" x14ac:dyDescent="0.3">
      <c r="A31" s="26"/>
      <c r="B31" s="160" t="s">
        <v>829</v>
      </c>
      <c r="C31" s="161" t="s">
        <v>830</v>
      </c>
      <c r="D31" s="161" t="s">
        <v>92</v>
      </c>
      <c r="E31" s="171" t="str">
        <f t="shared" si="0"/>
        <v>Govern i administració</v>
      </c>
      <c r="F31" s="162"/>
      <c r="G31" s="162"/>
      <c r="H31" s="163"/>
      <c r="I31" s="164"/>
      <c r="J31" s="163"/>
      <c r="K31" s="163"/>
      <c r="L31" s="163"/>
      <c r="M31" s="163"/>
      <c r="N31" s="163"/>
      <c r="O31" s="164"/>
      <c r="P31" s="164"/>
      <c r="Q31" s="164"/>
      <c r="R31" s="164"/>
      <c r="S31" s="164"/>
      <c r="T31" s="164"/>
      <c r="U31" s="164"/>
      <c r="V31" s="164"/>
      <c r="W31" s="164"/>
      <c r="X31" s="164"/>
      <c r="Y31" s="164"/>
      <c r="Z31" s="164"/>
      <c r="AA31" s="164"/>
      <c r="AB31" s="164"/>
      <c r="AC31" s="165"/>
      <c r="AD31" s="165"/>
      <c r="AE31" s="165"/>
      <c r="AF31" s="165"/>
      <c r="AG31" s="165"/>
      <c r="AH31" s="165"/>
      <c r="AI31" s="165"/>
      <c r="AJ31" s="165"/>
      <c r="AK31" s="165"/>
      <c r="AL31" s="165"/>
      <c r="AM31" s="165"/>
      <c r="AN31" s="165"/>
      <c r="AO31" s="165"/>
      <c r="AP31" s="166">
        <f t="shared" si="2"/>
        <v>0</v>
      </c>
      <c r="AQ31" s="164"/>
      <c r="AR31" s="167">
        <f>IF(B31="","",COUNTIF('Rel.Conjunts-Sistemes'!$B:$B,$B31))</f>
        <v>1</v>
      </c>
      <c r="AS31" s="167">
        <f>IF(B31="","",COUNTIF('Dominis de dades'!$B:$B,$D31))</f>
        <v>1</v>
      </c>
    </row>
    <row r="32" spans="1:45" s="19" customFormat="1" ht="30" x14ac:dyDescent="0.3">
      <c r="A32" s="26"/>
      <c r="B32" s="160" t="s">
        <v>831</v>
      </c>
      <c r="C32" s="161" t="s">
        <v>652</v>
      </c>
      <c r="D32" s="161" t="s">
        <v>141</v>
      </c>
      <c r="E32" s="171" t="str">
        <f t="shared" si="0"/>
        <v>Govern i administració</v>
      </c>
      <c r="F32" s="162"/>
      <c r="G32" s="162"/>
      <c r="H32" s="163"/>
      <c r="I32" s="164"/>
      <c r="J32" s="163"/>
      <c r="K32" s="163"/>
      <c r="L32" s="163"/>
      <c r="M32" s="163"/>
      <c r="N32" s="163"/>
      <c r="O32" s="164"/>
      <c r="P32" s="164"/>
      <c r="Q32" s="164"/>
      <c r="R32" s="164"/>
      <c r="S32" s="164"/>
      <c r="T32" s="164"/>
      <c r="U32" s="164"/>
      <c r="V32" s="164"/>
      <c r="W32" s="164"/>
      <c r="X32" s="164"/>
      <c r="Y32" s="164"/>
      <c r="Z32" s="164"/>
      <c r="AA32" s="164"/>
      <c r="AB32" s="164"/>
      <c r="AC32" s="165"/>
      <c r="AD32" s="165"/>
      <c r="AE32" s="165"/>
      <c r="AF32" s="165"/>
      <c r="AG32" s="165"/>
      <c r="AH32" s="165"/>
      <c r="AI32" s="165"/>
      <c r="AJ32" s="165"/>
      <c r="AK32" s="165"/>
      <c r="AL32" s="165"/>
      <c r="AM32" s="165"/>
      <c r="AN32" s="165"/>
      <c r="AO32" s="165"/>
      <c r="AP32" s="166">
        <f t="shared" si="2"/>
        <v>0</v>
      </c>
      <c r="AQ32" s="164"/>
      <c r="AR32" s="167">
        <f>IF(B32="","",COUNTIF('Rel.Conjunts-Sistemes'!$B:$B,$B32))</f>
        <v>1</v>
      </c>
      <c r="AS32" s="167">
        <f>IF(B32="","",COUNTIF('Dominis de dades'!$B:$B,$D32))</f>
        <v>1</v>
      </c>
    </row>
    <row r="33" spans="1:45" s="19" customFormat="1" ht="30" x14ac:dyDescent="0.3">
      <c r="A33" s="26"/>
      <c r="B33" s="160" t="s">
        <v>832</v>
      </c>
      <c r="C33" s="161" t="s">
        <v>833</v>
      </c>
      <c r="D33" s="161" t="s">
        <v>141</v>
      </c>
      <c r="E33" s="171" t="str">
        <f t="shared" si="0"/>
        <v>Govern i administració</v>
      </c>
      <c r="F33" s="162"/>
      <c r="G33" s="162"/>
      <c r="H33" s="163"/>
      <c r="I33" s="164"/>
      <c r="J33" s="163"/>
      <c r="K33" s="163"/>
      <c r="L33" s="163"/>
      <c r="M33" s="163"/>
      <c r="N33" s="163"/>
      <c r="O33" s="164"/>
      <c r="P33" s="164"/>
      <c r="Q33" s="164"/>
      <c r="R33" s="164"/>
      <c r="S33" s="164"/>
      <c r="T33" s="164"/>
      <c r="U33" s="164"/>
      <c r="V33" s="164"/>
      <c r="W33" s="164"/>
      <c r="X33" s="164"/>
      <c r="Y33" s="164"/>
      <c r="Z33" s="164"/>
      <c r="AA33" s="164"/>
      <c r="AB33" s="164"/>
      <c r="AC33" s="165"/>
      <c r="AD33" s="165"/>
      <c r="AE33" s="165"/>
      <c r="AF33" s="165"/>
      <c r="AG33" s="165"/>
      <c r="AH33" s="165"/>
      <c r="AI33" s="165"/>
      <c r="AJ33" s="165"/>
      <c r="AK33" s="165"/>
      <c r="AL33" s="165"/>
      <c r="AM33" s="165"/>
      <c r="AN33" s="165"/>
      <c r="AO33" s="165"/>
      <c r="AP33" s="166">
        <f t="shared" si="2"/>
        <v>0</v>
      </c>
      <c r="AQ33" s="164"/>
      <c r="AR33" s="167">
        <f>IF(B33="","",COUNTIF('Rel.Conjunts-Sistemes'!$B:$B,$B33))</f>
        <v>1</v>
      </c>
      <c r="AS33" s="167">
        <f>IF(B33="","",COUNTIF('Dominis de dades'!$B:$B,$D33))</f>
        <v>1</v>
      </c>
    </row>
    <row r="34" spans="1:45" s="19" customFormat="1" ht="30" x14ac:dyDescent="0.3">
      <c r="A34" s="26"/>
      <c r="B34" s="160" t="s">
        <v>834</v>
      </c>
      <c r="C34" s="161" t="s">
        <v>653</v>
      </c>
      <c r="D34" s="161" t="s">
        <v>400</v>
      </c>
      <c r="E34" s="171" t="str">
        <f t="shared" si="0"/>
        <v>&lt;&lt;Domini erroni&gt;&gt;</v>
      </c>
      <c r="F34" s="162"/>
      <c r="G34" s="162"/>
      <c r="H34" s="163"/>
      <c r="I34" s="164"/>
      <c r="J34" s="163"/>
      <c r="K34" s="163"/>
      <c r="L34" s="163"/>
      <c r="M34" s="163"/>
      <c r="N34" s="163"/>
      <c r="O34" s="164"/>
      <c r="P34" s="164"/>
      <c r="Q34" s="164"/>
      <c r="R34" s="164"/>
      <c r="S34" s="164"/>
      <c r="T34" s="164"/>
      <c r="U34" s="164"/>
      <c r="V34" s="164"/>
      <c r="W34" s="164"/>
      <c r="X34" s="164"/>
      <c r="Y34" s="164"/>
      <c r="Z34" s="164"/>
      <c r="AA34" s="164"/>
      <c r="AB34" s="164"/>
      <c r="AC34" s="165"/>
      <c r="AD34" s="165"/>
      <c r="AE34" s="165"/>
      <c r="AF34" s="165"/>
      <c r="AG34" s="165"/>
      <c r="AH34" s="165"/>
      <c r="AI34" s="165"/>
      <c r="AJ34" s="165"/>
      <c r="AK34" s="165"/>
      <c r="AL34" s="165"/>
      <c r="AM34" s="165"/>
      <c r="AN34" s="165"/>
      <c r="AO34" s="165"/>
      <c r="AP34" s="166">
        <f t="shared" si="2"/>
        <v>0</v>
      </c>
      <c r="AQ34" s="164"/>
      <c r="AR34" s="167">
        <f>IF(B34="","",COUNTIF('Rel.Conjunts-Sistemes'!$B:$B,$B34))</f>
        <v>1</v>
      </c>
      <c r="AS34" s="167">
        <f>IF(B34="","",COUNTIF('Dominis de dades'!$B:$B,$D34))</f>
        <v>1</v>
      </c>
    </row>
    <row r="35" spans="1:45" s="19" customFormat="1" ht="41.4" x14ac:dyDescent="0.3">
      <c r="A35" s="26"/>
      <c r="B35" s="160" t="s">
        <v>835</v>
      </c>
      <c r="C35" s="161" t="s">
        <v>654</v>
      </c>
      <c r="D35" s="161" t="s">
        <v>100</v>
      </c>
      <c r="E35" s="171" t="str">
        <f t="shared" si="0"/>
        <v>Gestió de l'espai públic i serveis al territori</v>
      </c>
      <c r="F35" s="162"/>
      <c r="G35" s="162"/>
      <c r="H35" s="163"/>
      <c r="I35" s="164"/>
      <c r="J35" s="163"/>
      <c r="K35" s="163"/>
      <c r="L35" s="163"/>
      <c r="M35" s="163"/>
      <c r="N35" s="163"/>
      <c r="O35" s="164"/>
      <c r="P35" s="164"/>
      <c r="Q35" s="164"/>
      <c r="R35" s="164"/>
      <c r="S35" s="164"/>
      <c r="T35" s="164"/>
      <c r="U35" s="164"/>
      <c r="V35" s="164"/>
      <c r="W35" s="164"/>
      <c r="X35" s="164"/>
      <c r="Y35" s="164"/>
      <c r="Z35" s="164"/>
      <c r="AA35" s="164"/>
      <c r="AB35" s="164"/>
      <c r="AC35" s="165"/>
      <c r="AD35" s="165"/>
      <c r="AE35" s="165"/>
      <c r="AF35" s="165"/>
      <c r="AG35" s="165"/>
      <c r="AH35" s="165"/>
      <c r="AI35" s="165"/>
      <c r="AJ35" s="165"/>
      <c r="AK35" s="165"/>
      <c r="AL35" s="165"/>
      <c r="AM35" s="165"/>
      <c r="AN35" s="165"/>
      <c r="AO35" s="165"/>
      <c r="AP35" s="166">
        <f t="shared" si="2"/>
        <v>0</v>
      </c>
      <c r="AQ35" s="164"/>
      <c r="AR35" s="167">
        <f>IF(B35="","",COUNTIF('Rel.Conjunts-Sistemes'!$B:$B,$B35))</f>
        <v>0</v>
      </c>
      <c r="AS35" s="167">
        <f>IF(B35="","",COUNTIF('Dominis de dades'!$B:$B,$D35))</f>
        <v>1</v>
      </c>
    </row>
    <row r="36" spans="1:45" s="19" customFormat="1" ht="41.4" x14ac:dyDescent="0.3">
      <c r="A36" s="26"/>
      <c r="B36" s="160" t="s">
        <v>837</v>
      </c>
      <c r="C36" s="161" t="s">
        <v>836</v>
      </c>
      <c r="D36" s="161" t="s">
        <v>100</v>
      </c>
      <c r="E36" s="171" t="str">
        <f t="shared" si="0"/>
        <v>Gestió de l'espai públic i serveis al territori</v>
      </c>
      <c r="F36" s="162"/>
      <c r="G36" s="162"/>
      <c r="H36" s="163"/>
      <c r="I36" s="164"/>
      <c r="J36" s="163"/>
      <c r="K36" s="163"/>
      <c r="L36" s="163"/>
      <c r="M36" s="163"/>
      <c r="N36" s="163"/>
      <c r="O36" s="164"/>
      <c r="P36" s="164"/>
      <c r="Q36" s="164"/>
      <c r="R36" s="164"/>
      <c r="S36" s="164"/>
      <c r="T36" s="164"/>
      <c r="U36" s="164"/>
      <c r="V36" s="164"/>
      <c r="W36" s="164"/>
      <c r="X36" s="164"/>
      <c r="Y36" s="164"/>
      <c r="Z36" s="164"/>
      <c r="AA36" s="164"/>
      <c r="AB36" s="164"/>
      <c r="AC36" s="165"/>
      <c r="AD36" s="165"/>
      <c r="AE36" s="165"/>
      <c r="AF36" s="165"/>
      <c r="AG36" s="165"/>
      <c r="AH36" s="165"/>
      <c r="AI36" s="165"/>
      <c r="AJ36" s="165"/>
      <c r="AK36" s="165"/>
      <c r="AL36" s="165"/>
      <c r="AM36" s="165"/>
      <c r="AN36" s="165"/>
      <c r="AO36" s="165"/>
      <c r="AP36" s="166">
        <f t="shared" si="2"/>
        <v>0</v>
      </c>
      <c r="AQ36" s="164"/>
      <c r="AR36" s="167">
        <f>IF(B36="","",COUNTIF('Rel.Conjunts-Sistemes'!$B:$B,$B36))</f>
        <v>0</v>
      </c>
      <c r="AS36" s="167">
        <f>IF(B36="","",COUNTIF('Dominis de dades'!$B:$B,$D36))</f>
        <v>1</v>
      </c>
    </row>
    <row r="37" spans="1:45" s="19" customFormat="1" ht="30" x14ac:dyDescent="0.3">
      <c r="A37" s="26"/>
      <c r="B37" s="160" t="s">
        <v>838</v>
      </c>
      <c r="C37" s="161" t="s">
        <v>731</v>
      </c>
      <c r="D37" s="161" t="s">
        <v>82</v>
      </c>
      <c r="E37" s="171" t="str">
        <f t="shared" si="0"/>
        <v>Serveis a les persones</v>
      </c>
      <c r="F37" s="162"/>
      <c r="G37" s="162"/>
      <c r="H37" s="163"/>
      <c r="I37" s="164"/>
      <c r="J37" s="163"/>
      <c r="K37" s="163"/>
      <c r="L37" s="163"/>
      <c r="M37" s="163"/>
      <c r="N37" s="163"/>
      <c r="O37" s="164"/>
      <c r="P37" s="164"/>
      <c r="Q37" s="164"/>
      <c r="R37" s="164"/>
      <c r="S37" s="164"/>
      <c r="T37" s="164"/>
      <c r="U37" s="164"/>
      <c r="V37" s="164"/>
      <c r="W37" s="164"/>
      <c r="X37" s="164"/>
      <c r="Y37" s="164"/>
      <c r="Z37" s="164"/>
      <c r="AA37" s="164"/>
      <c r="AB37" s="164"/>
      <c r="AC37" s="165"/>
      <c r="AD37" s="165"/>
      <c r="AE37" s="165"/>
      <c r="AF37" s="165"/>
      <c r="AG37" s="165"/>
      <c r="AH37" s="165"/>
      <c r="AI37" s="165"/>
      <c r="AJ37" s="165"/>
      <c r="AK37" s="165"/>
      <c r="AL37" s="165"/>
      <c r="AM37" s="165"/>
      <c r="AN37" s="165"/>
      <c r="AO37" s="165"/>
      <c r="AP37" s="166">
        <f t="shared" si="2"/>
        <v>0</v>
      </c>
      <c r="AQ37" s="164"/>
      <c r="AR37" s="167">
        <f>IF(B37="","",COUNTIF('Rel.Conjunts-Sistemes'!$B:$B,$B37))</f>
        <v>1</v>
      </c>
      <c r="AS37" s="167">
        <f>IF(B37="","",COUNTIF('Dominis de dades'!$B:$B,$D37))</f>
        <v>1</v>
      </c>
    </row>
    <row r="38" spans="1:45" s="19" customFormat="1" ht="30" x14ac:dyDescent="0.3">
      <c r="A38" s="26"/>
      <c r="B38" s="160" t="s">
        <v>839</v>
      </c>
      <c r="C38" s="161" t="s">
        <v>655</v>
      </c>
      <c r="D38" s="161" t="s">
        <v>96</v>
      </c>
      <c r="E38" s="171" t="str">
        <f t="shared" si="0"/>
        <v>Serveis a les persones</v>
      </c>
      <c r="F38" s="162"/>
      <c r="G38" s="162"/>
      <c r="H38" s="163"/>
      <c r="I38" s="164"/>
      <c r="J38" s="163"/>
      <c r="K38" s="163"/>
      <c r="L38" s="163"/>
      <c r="M38" s="163"/>
      <c r="N38" s="163"/>
      <c r="O38" s="164"/>
      <c r="P38" s="164"/>
      <c r="Q38" s="164"/>
      <c r="R38" s="164"/>
      <c r="S38" s="164"/>
      <c r="T38" s="164"/>
      <c r="U38" s="164"/>
      <c r="V38" s="164"/>
      <c r="W38" s="164"/>
      <c r="X38" s="164"/>
      <c r="Y38" s="164"/>
      <c r="Z38" s="164"/>
      <c r="AA38" s="164"/>
      <c r="AB38" s="164"/>
      <c r="AC38" s="165"/>
      <c r="AD38" s="165"/>
      <c r="AE38" s="165"/>
      <c r="AF38" s="165"/>
      <c r="AG38" s="165"/>
      <c r="AH38" s="165"/>
      <c r="AI38" s="165"/>
      <c r="AJ38" s="165"/>
      <c r="AK38" s="165"/>
      <c r="AL38" s="165"/>
      <c r="AM38" s="165"/>
      <c r="AN38" s="165"/>
      <c r="AO38" s="165"/>
      <c r="AP38" s="166">
        <f t="shared" si="2"/>
        <v>0</v>
      </c>
      <c r="AQ38" s="164"/>
      <c r="AR38" s="167">
        <f>IF(B38="","",COUNTIF('Rel.Conjunts-Sistemes'!$B:$B,$B38))</f>
        <v>1</v>
      </c>
      <c r="AS38" s="167">
        <f>IF(B38="","",COUNTIF('Dominis de dades'!$B:$B,$D38))</f>
        <v>1</v>
      </c>
    </row>
    <row r="39" spans="1:45" s="19" customFormat="1" ht="30" x14ac:dyDescent="0.3">
      <c r="A39" s="26"/>
      <c r="B39" s="160" t="s">
        <v>840</v>
      </c>
      <c r="C39" s="161" t="s">
        <v>656</v>
      </c>
      <c r="D39" s="161" t="s">
        <v>96</v>
      </c>
      <c r="E39" s="171" t="str">
        <f t="shared" si="0"/>
        <v>Serveis a les persones</v>
      </c>
      <c r="F39" s="162"/>
      <c r="G39" s="162"/>
      <c r="H39" s="163"/>
      <c r="I39" s="164"/>
      <c r="J39" s="163"/>
      <c r="K39" s="163"/>
      <c r="L39" s="163"/>
      <c r="M39" s="163"/>
      <c r="N39" s="163"/>
      <c r="O39" s="164"/>
      <c r="P39" s="164"/>
      <c r="Q39" s="164"/>
      <c r="R39" s="164"/>
      <c r="S39" s="164"/>
      <c r="T39" s="164"/>
      <c r="U39" s="164"/>
      <c r="V39" s="164"/>
      <c r="W39" s="164"/>
      <c r="X39" s="164"/>
      <c r="Y39" s="164"/>
      <c r="Z39" s="164"/>
      <c r="AA39" s="164"/>
      <c r="AB39" s="164"/>
      <c r="AC39" s="165"/>
      <c r="AD39" s="165"/>
      <c r="AE39" s="165"/>
      <c r="AF39" s="165"/>
      <c r="AG39" s="165"/>
      <c r="AH39" s="165"/>
      <c r="AI39" s="165"/>
      <c r="AJ39" s="165"/>
      <c r="AK39" s="165"/>
      <c r="AL39" s="165"/>
      <c r="AM39" s="165"/>
      <c r="AN39" s="165"/>
      <c r="AO39" s="165"/>
      <c r="AP39" s="166">
        <f t="shared" si="2"/>
        <v>0</v>
      </c>
      <c r="AQ39" s="164"/>
      <c r="AR39" s="167">
        <f>IF(B39="","",COUNTIF('Rel.Conjunts-Sistemes'!$B:$B,$B39))</f>
        <v>1</v>
      </c>
      <c r="AS39" s="167">
        <f>IF(B39="","",COUNTIF('Dominis de dades'!$B:$B,$D39))</f>
        <v>1</v>
      </c>
    </row>
    <row r="40" spans="1:45" s="19" customFormat="1" ht="30" x14ac:dyDescent="0.3">
      <c r="A40" s="26"/>
      <c r="B40" s="160" t="s">
        <v>841</v>
      </c>
      <c r="C40" s="161" t="s">
        <v>657</v>
      </c>
      <c r="D40" s="161" t="s">
        <v>96</v>
      </c>
      <c r="E40" s="171" t="str">
        <f t="shared" si="0"/>
        <v>Serveis a les persones</v>
      </c>
      <c r="F40" s="162"/>
      <c r="G40" s="162"/>
      <c r="H40" s="163"/>
      <c r="I40" s="164"/>
      <c r="J40" s="163"/>
      <c r="K40" s="163"/>
      <c r="L40" s="163"/>
      <c r="M40" s="163"/>
      <c r="N40" s="163"/>
      <c r="O40" s="164"/>
      <c r="P40" s="164"/>
      <c r="Q40" s="164"/>
      <c r="R40" s="164"/>
      <c r="S40" s="164"/>
      <c r="T40" s="164"/>
      <c r="U40" s="164"/>
      <c r="V40" s="164"/>
      <c r="W40" s="164"/>
      <c r="X40" s="164"/>
      <c r="Y40" s="164"/>
      <c r="Z40" s="164"/>
      <c r="AA40" s="164"/>
      <c r="AB40" s="164"/>
      <c r="AC40" s="165"/>
      <c r="AD40" s="165"/>
      <c r="AE40" s="165"/>
      <c r="AF40" s="165"/>
      <c r="AG40" s="165"/>
      <c r="AH40" s="165"/>
      <c r="AI40" s="165"/>
      <c r="AJ40" s="165"/>
      <c r="AK40" s="165"/>
      <c r="AL40" s="165"/>
      <c r="AM40" s="165"/>
      <c r="AN40" s="165"/>
      <c r="AO40" s="165"/>
      <c r="AP40" s="166">
        <f t="shared" si="2"/>
        <v>0</v>
      </c>
      <c r="AQ40" s="164"/>
      <c r="AR40" s="167">
        <f>IF(B40="","",COUNTIF('Rel.Conjunts-Sistemes'!$B:$B,$B40))</f>
        <v>1</v>
      </c>
      <c r="AS40" s="167">
        <f>IF(B40="","",COUNTIF('Dominis de dades'!$B:$B,$D40))</f>
        <v>1</v>
      </c>
    </row>
    <row r="41" spans="1:45" s="19" customFormat="1" ht="30" x14ac:dyDescent="0.3">
      <c r="A41" s="26"/>
      <c r="B41" s="160" t="s">
        <v>952</v>
      </c>
      <c r="C41" s="161" t="s">
        <v>658</v>
      </c>
      <c r="D41" s="161" t="s">
        <v>96</v>
      </c>
      <c r="E41" s="171" t="str">
        <f t="shared" ref="E41:E72" si="3">IF(D41="","-",IF(ISERROR(VLOOKUP(D41,DominisDades,3,0)),"&lt;&lt;Domini erroni&gt;&gt;",VLOOKUP(D41,DominisDades,3,0)))</f>
        <v>Serveis a les persones</v>
      </c>
      <c r="F41" s="162"/>
      <c r="G41" s="162"/>
      <c r="H41" s="163"/>
      <c r="I41" s="164"/>
      <c r="J41" s="163"/>
      <c r="K41" s="163"/>
      <c r="L41" s="163"/>
      <c r="M41" s="163"/>
      <c r="N41" s="163"/>
      <c r="O41" s="164"/>
      <c r="P41" s="164"/>
      <c r="Q41" s="164"/>
      <c r="R41" s="164"/>
      <c r="S41" s="164"/>
      <c r="T41" s="164"/>
      <c r="U41" s="164"/>
      <c r="V41" s="164"/>
      <c r="W41" s="164"/>
      <c r="X41" s="164"/>
      <c r="Y41" s="164"/>
      <c r="Z41" s="164"/>
      <c r="AA41" s="164"/>
      <c r="AB41" s="164"/>
      <c r="AC41" s="165"/>
      <c r="AD41" s="165"/>
      <c r="AE41" s="165"/>
      <c r="AF41" s="165"/>
      <c r="AG41" s="165"/>
      <c r="AH41" s="165"/>
      <c r="AI41" s="165"/>
      <c r="AJ41" s="165"/>
      <c r="AK41" s="165"/>
      <c r="AL41" s="165"/>
      <c r="AM41" s="165"/>
      <c r="AN41" s="165"/>
      <c r="AO41" s="165"/>
      <c r="AP41" s="166">
        <f t="shared" si="2"/>
        <v>0</v>
      </c>
      <c r="AQ41" s="164"/>
      <c r="AR41" s="167">
        <f>IF(B41="","",COUNTIF('Rel.Conjunts-Sistemes'!$B:$B,$B41))</f>
        <v>1</v>
      </c>
      <c r="AS41" s="167">
        <f>IF(B41="","",COUNTIF('Dominis de dades'!$B:$B,$D41))</f>
        <v>1</v>
      </c>
    </row>
    <row r="42" spans="1:45" s="19" customFormat="1" ht="30" x14ac:dyDescent="0.3">
      <c r="A42" s="26"/>
      <c r="B42" s="160" t="s">
        <v>870</v>
      </c>
      <c r="C42" s="161" t="s">
        <v>660</v>
      </c>
      <c r="D42" s="161" t="s">
        <v>96</v>
      </c>
      <c r="E42" s="171" t="str">
        <f t="shared" si="3"/>
        <v>Serveis a les persones</v>
      </c>
      <c r="F42" s="162"/>
      <c r="G42" s="162"/>
      <c r="H42" s="163"/>
      <c r="I42" s="164"/>
      <c r="J42" s="163"/>
      <c r="K42" s="163"/>
      <c r="L42" s="163"/>
      <c r="M42" s="163"/>
      <c r="N42" s="163"/>
      <c r="O42" s="164"/>
      <c r="P42" s="164"/>
      <c r="Q42" s="164"/>
      <c r="R42" s="164"/>
      <c r="S42" s="164"/>
      <c r="T42" s="164"/>
      <c r="U42" s="164"/>
      <c r="V42" s="164"/>
      <c r="W42" s="164"/>
      <c r="X42" s="164"/>
      <c r="Y42" s="164"/>
      <c r="Z42" s="164"/>
      <c r="AA42" s="164"/>
      <c r="AB42" s="164"/>
      <c r="AC42" s="165"/>
      <c r="AD42" s="165"/>
      <c r="AE42" s="165"/>
      <c r="AF42" s="165"/>
      <c r="AG42" s="165"/>
      <c r="AH42" s="165"/>
      <c r="AI42" s="165"/>
      <c r="AJ42" s="165"/>
      <c r="AK42" s="165"/>
      <c r="AL42" s="165"/>
      <c r="AM42" s="165"/>
      <c r="AN42" s="165"/>
      <c r="AO42" s="165"/>
      <c r="AP42" s="166">
        <f t="shared" si="2"/>
        <v>0</v>
      </c>
      <c r="AQ42" s="164"/>
      <c r="AR42" s="167">
        <f>IF(B42="","",COUNTIF('Rel.Conjunts-Sistemes'!$B:$B,$B42))</f>
        <v>1</v>
      </c>
      <c r="AS42" s="167">
        <f>IF(B42="","",COUNTIF('Dominis de dades'!$B:$B,$D42))</f>
        <v>1</v>
      </c>
    </row>
    <row r="43" spans="1:45" s="19" customFormat="1" ht="41.4" x14ac:dyDescent="0.3">
      <c r="A43" s="26"/>
      <c r="B43" s="160" t="s">
        <v>871</v>
      </c>
      <c r="C43" s="161" t="s">
        <v>662</v>
      </c>
      <c r="D43" s="161" t="s">
        <v>513</v>
      </c>
      <c r="E43" s="171" t="str">
        <f t="shared" si="3"/>
        <v>Corporatiu (Dades mestres i de referència)</v>
      </c>
      <c r="F43" s="162"/>
      <c r="G43" s="162"/>
      <c r="H43" s="163"/>
      <c r="I43" s="164"/>
      <c r="J43" s="163"/>
      <c r="K43" s="163"/>
      <c r="L43" s="163"/>
      <c r="M43" s="163"/>
      <c r="N43" s="163"/>
      <c r="O43" s="164"/>
      <c r="P43" s="164"/>
      <c r="Q43" s="164"/>
      <c r="R43" s="164"/>
      <c r="S43" s="164"/>
      <c r="T43" s="164"/>
      <c r="U43" s="164"/>
      <c r="V43" s="164"/>
      <c r="W43" s="164"/>
      <c r="X43" s="164"/>
      <c r="Y43" s="164"/>
      <c r="Z43" s="164"/>
      <c r="AA43" s="164"/>
      <c r="AB43" s="164"/>
      <c r="AC43" s="165"/>
      <c r="AD43" s="165"/>
      <c r="AE43" s="165"/>
      <c r="AF43" s="165"/>
      <c r="AG43" s="165"/>
      <c r="AH43" s="165"/>
      <c r="AI43" s="165"/>
      <c r="AJ43" s="165"/>
      <c r="AK43" s="165"/>
      <c r="AL43" s="165"/>
      <c r="AM43" s="165"/>
      <c r="AN43" s="165"/>
      <c r="AO43" s="165"/>
      <c r="AP43" s="166">
        <f t="shared" si="2"/>
        <v>0</v>
      </c>
      <c r="AQ43" s="164"/>
      <c r="AR43" s="167">
        <f>IF(B43="","",COUNTIF('Rel.Conjunts-Sistemes'!$B:$B,$B43))</f>
        <v>1</v>
      </c>
      <c r="AS43" s="167">
        <f>IF(B43="","",COUNTIF('Dominis de dades'!$B:$B,$D43))</f>
        <v>1</v>
      </c>
    </row>
    <row r="44" spans="1:45" s="19" customFormat="1" ht="41.4" x14ac:dyDescent="0.3">
      <c r="A44" s="26"/>
      <c r="B44" s="160" t="s">
        <v>872</v>
      </c>
      <c r="C44" s="161" t="s">
        <v>664</v>
      </c>
      <c r="D44" s="161" t="s">
        <v>519</v>
      </c>
      <c r="E44" s="171" t="str">
        <f t="shared" si="3"/>
        <v>Gestió de l'espai públic i serveis al territori</v>
      </c>
      <c r="F44" s="162"/>
      <c r="G44" s="162"/>
      <c r="H44" s="163"/>
      <c r="I44" s="164"/>
      <c r="J44" s="163"/>
      <c r="K44" s="163"/>
      <c r="L44" s="163"/>
      <c r="M44" s="163"/>
      <c r="N44" s="163"/>
      <c r="O44" s="164"/>
      <c r="P44" s="164"/>
      <c r="Q44" s="164"/>
      <c r="R44" s="164"/>
      <c r="S44" s="164"/>
      <c r="T44" s="164"/>
      <c r="U44" s="164"/>
      <c r="V44" s="164"/>
      <c r="W44" s="164"/>
      <c r="X44" s="164"/>
      <c r="Y44" s="164"/>
      <c r="Z44" s="164"/>
      <c r="AA44" s="164"/>
      <c r="AB44" s="164"/>
      <c r="AC44" s="165"/>
      <c r="AD44" s="165"/>
      <c r="AE44" s="165"/>
      <c r="AF44" s="165"/>
      <c r="AG44" s="165"/>
      <c r="AH44" s="165"/>
      <c r="AI44" s="165"/>
      <c r="AJ44" s="165"/>
      <c r="AK44" s="165"/>
      <c r="AL44" s="165"/>
      <c r="AM44" s="165"/>
      <c r="AN44" s="165"/>
      <c r="AO44" s="165"/>
      <c r="AP44" s="166">
        <f t="shared" si="2"/>
        <v>0</v>
      </c>
      <c r="AQ44" s="164"/>
      <c r="AR44" s="167">
        <f>IF(B44="","",COUNTIF('Rel.Conjunts-Sistemes'!$B:$B,$B44))</f>
        <v>1</v>
      </c>
      <c r="AS44" s="167">
        <f>IF(B44="","",COUNTIF('Dominis de dades'!$B:$B,$D44))</f>
        <v>1</v>
      </c>
    </row>
    <row r="45" spans="1:45" s="19" customFormat="1" ht="41.4" x14ac:dyDescent="0.3">
      <c r="A45" s="26"/>
      <c r="B45" s="160" t="s">
        <v>873</v>
      </c>
      <c r="C45" s="161" t="s">
        <v>666</v>
      </c>
      <c r="D45" s="161" t="s">
        <v>519</v>
      </c>
      <c r="E45" s="171" t="str">
        <f t="shared" si="3"/>
        <v>Gestió de l'espai públic i serveis al territori</v>
      </c>
      <c r="F45" s="162"/>
      <c r="G45" s="162"/>
      <c r="H45" s="163"/>
      <c r="I45" s="164"/>
      <c r="J45" s="163"/>
      <c r="K45" s="163"/>
      <c r="L45" s="163"/>
      <c r="M45" s="163"/>
      <c r="N45" s="163"/>
      <c r="O45" s="164"/>
      <c r="P45" s="164"/>
      <c r="Q45" s="164"/>
      <c r="R45" s="164"/>
      <c r="S45" s="164"/>
      <c r="T45" s="164"/>
      <c r="U45" s="164"/>
      <c r="V45" s="164"/>
      <c r="W45" s="164"/>
      <c r="X45" s="164"/>
      <c r="Y45" s="164"/>
      <c r="Z45" s="164"/>
      <c r="AA45" s="164"/>
      <c r="AB45" s="164"/>
      <c r="AC45" s="165"/>
      <c r="AD45" s="165"/>
      <c r="AE45" s="165"/>
      <c r="AF45" s="165"/>
      <c r="AG45" s="165"/>
      <c r="AH45" s="165"/>
      <c r="AI45" s="165"/>
      <c r="AJ45" s="165"/>
      <c r="AK45" s="165"/>
      <c r="AL45" s="165"/>
      <c r="AM45" s="165"/>
      <c r="AN45" s="165"/>
      <c r="AO45" s="165"/>
      <c r="AP45" s="166">
        <f t="shared" si="2"/>
        <v>0</v>
      </c>
      <c r="AQ45" s="164"/>
      <c r="AR45" s="167">
        <f>IF(B45="","",COUNTIF('Rel.Conjunts-Sistemes'!$B:$B,$B45))</f>
        <v>1</v>
      </c>
      <c r="AS45" s="167">
        <f>IF(B45="","",COUNTIF('Dominis de dades'!$B:$B,$D45))</f>
        <v>1</v>
      </c>
    </row>
    <row r="46" spans="1:45" s="19" customFormat="1" ht="41.4" x14ac:dyDescent="0.3">
      <c r="A46" s="26"/>
      <c r="B46" s="160" t="s">
        <v>874</v>
      </c>
      <c r="C46" s="161" t="s">
        <v>668</v>
      </c>
      <c r="D46" s="161" t="s">
        <v>121</v>
      </c>
      <c r="E46" s="171" t="str">
        <f t="shared" si="3"/>
        <v>Gestió de l'espai públic i serveis al territori</v>
      </c>
      <c r="F46" s="162"/>
      <c r="G46" s="162"/>
      <c r="H46" s="163"/>
      <c r="I46" s="164"/>
      <c r="J46" s="163"/>
      <c r="K46" s="163"/>
      <c r="L46" s="163"/>
      <c r="M46" s="163"/>
      <c r="N46" s="163"/>
      <c r="O46" s="164"/>
      <c r="P46" s="164"/>
      <c r="Q46" s="164"/>
      <c r="R46" s="164"/>
      <c r="S46" s="164"/>
      <c r="T46" s="164"/>
      <c r="U46" s="164"/>
      <c r="V46" s="164"/>
      <c r="W46" s="164"/>
      <c r="X46" s="164"/>
      <c r="Y46" s="164"/>
      <c r="Z46" s="164"/>
      <c r="AA46" s="164"/>
      <c r="AB46" s="164"/>
      <c r="AC46" s="165"/>
      <c r="AD46" s="165"/>
      <c r="AE46" s="165"/>
      <c r="AF46" s="165"/>
      <c r="AG46" s="165"/>
      <c r="AH46" s="165"/>
      <c r="AI46" s="165"/>
      <c r="AJ46" s="165"/>
      <c r="AK46" s="165"/>
      <c r="AL46" s="165"/>
      <c r="AM46" s="165"/>
      <c r="AN46" s="165"/>
      <c r="AO46" s="165"/>
      <c r="AP46" s="166">
        <f t="shared" si="2"/>
        <v>0</v>
      </c>
      <c r="AQ46" s="164"/>
      <c r="AR46" s="167">
        <f>IF(B46="","",COUNTIF('Rel.Conjunts-Sistemes'!$B:$B,$B46))</f>
        <v>1</v>
      </c>
      <c r="AS46" s="167">
        <f>IF(B46="","",COUNTIF('Dominis de dades'!$B:$B,$D46))</f>
        <v>1</v>
      </c>
    </row>
    <row r="47" spans="1:45" s="19" customFormat="1" ht="41.4" x14ac:dyDescent="0.3">
      <c r="A47" s="26"/>
      <c r="B47" s="160" t="s">
        <v>875</v>
      </c>
      <c r="C47" s="161" t="s">
        <v>669</v>
      </c>
      <c r="D47" s="161" t="s">
        <v>121</v>
      </c>
      <c r="E47" s="171" t="str">
        <f t="shared" si="3"/>
        <v>Gestió de l'espai públic i serveis al territori</v>
      </c>
      <c r="F47" s="162"/>
      <c r="G47" s="162"/>
      <c r="H47" s="163"/>
      <c r="I47" s="164"/>
      <c r="J47" s="163"/>
      <c r="K47" s="163"/>
      <c r="L47" s="163"/>
      <c r="M47" s="163"/>
      <c r="N47" s="163"/>
      <c r="O47" s="164"/>
      <c r="P47" s="164"/>
      <c r="Q47" s="164"/>
      <c r="R47" s="164"/>
      <c r="S47" s="164"/>
      <c r="T47" s="164"/>
      <c r="U47" s="164"/>
      <c r="V47" s="164"/>
      <c r="W47" s="164"/>
      <c r="X47" s="164"/>
      <c r="Y47" s="164"/>
      <c r="Z47" s="164"/>
      <c r="AA47" s="164"/>
      <c r="AB47" s="164"/>
      <c r="AC47" s="165"/>
      <c r="AD47" s="165"/>
      <c r="AE47" s="165"/>
      <c r="AF47" s="165"/>
      <c r="AG47" s="165"/>
      <c r="AH47" s="165"/>
      <c r="AI47" s="165"/>
      <c r="AJ47" s="165"/>
      <c r="AK47" s="165"/>
      <c r="AL47" s="165"/>
      <c r="AM47" s="165"/>
      <c r="AN47" s="165"/>
      <c r="AO47" s="165"/>
      <c r="AP47" s="166">
        <f t="shared" si="2"/>
        <v>0</v>
      </c>
      <c r="AQ47" s="164"/>
      <c r="AR47" s="167">
        <f>IF(B47="","",COUNTIF('Rel.Conjunts-Sistemes'!$B:$B,$B47))</f>
        <v>1</v>
      </c>
      <c r="AS47" s="167">
        <f>IF(B47="","",COUNTIF('Dominis de dades'!$B:$B,$D47))</f>
        <v>1</v>
      </c>
    </row>
    <row r="48" spans="1:45" s="19" customFormat="1" ht="30" x14ac:dyDescent="0.3">
      <c r="A48" s="26"/>
      <c r="B48" s="160" t="s">
        <v>860</v>
      </c>
      <c r="C48" s="161" t="s">
        <v>671</v>
      </c>
      <c r="D48" s="161" t="s">
        <v>124</v>
      </c>
      <c r="E48" s="171" t="str">
        <f t="shared" si="3"/>
        <v>Govern i administració</v>
      </c>
      <c r="F48" s="162"/>
      <c r="G48" s="162"/>
      <c r="H48" s="163"/>
      <c r="I48" s="164"/>
      <c r="J48" s="163"/>
      <c r="K48" s="163"/>
      <c r="L48" s="163"/>
      <c r="M48" s="163"/>
      <c r="N48" s="163"/>
      <c r="O48" s="164"/>
      <c r="P48" s="164"/>
      <c r="Q48" s="164"/>
      <c r="R48" s="164"/>
      <c r="S48" s="164"/>
      <c r="T48" s="164"/>
      <c r="U48" s="164"/>
      <c r="V48" s="164"/>
      <c r="W48" s="164"/>
      <c r="X48" s="164"/>
      <c r="Y48" s="164"/>
      <c r="Z48" s="164"/>
      <c r="AA48" s="164"/>
      <c r="AB48" s="164"/>
      <c r="AC48" s="165"/>
      <c r="AD48" s="165"/>
      <c r="AE48" s="165"/>
      <c r="AF48" s="165"/>
      <c r="AG48" s="165"/>
      <c r="AH48" s="165"/>
      <c r="AI48" s="165"/>
      <c r="AJ48" s="165"/>
      <c r="AK48" s="165"/>
      <c r="AL48" s="165"/>
      <c r="AM48" s="165"/>
      <c r="AN48" s="165"/>
      <c r="AO48" s="165"/>
      <c r="AP48" s="166">
        <f t="shared" si="2"/>
        <v>0</v>
      </c>
      <c r="AQ48" s="164"/>
      <c r="AR48" s="167">
        <f>IF(B48="","",COUNTIF('Rel.Conjunts-Sistemes'!$B:$B,$B48))</f>
        <v>1</v>
      </c>
      <c r="AS48" s="167">
        <f>IF(B48="","",COUNTIF('Dominis de dades'!$B:$B,$D48))</f>
        <v>1</v>
      </c>
    </row>
    <row r="49" spans="1:45" s="19" customFormat="1" ht="30" x14ac:dyDescent="0.3">
      <c r="A49" s="26"/>
      <c r="B49" s="160" t="s">
        <v>876</v>
      </c>
      <c r="C49" s="161" t="s">
        <v>673</v>
      </c>
      <c r="D49" s="161" t="s">
        <v>126</v>
      </c>
      <c r="E49" s="171" t="str">
        <f t="shared" si="3"/>
        <v>Govern i administració</v>
      </c>
      <c r="F49" s="162"/>
      <c r="G49" s="162"/>
      <c r="H49" s="163"/>
      <c r="I49" s="164"/>
      <c r="J49" s="163"/>
      <c r="K49" s="163"/>
      <c r="L49" s="163"/>
      <c r="M49" s="163"/>
      <c r="N49" s="163"/>
      <c r="O49" s="164"/>
      <c r="P49" s="164"/>
      <c r="Q49" s="164"/>
      <c r="R49" s="164"/>
      <c r="S49" s="164"/>
      <c r="T49" s="164"/>
      <c r="U49" s="164"/>
      <c r="V49" s="164"/>
      <c r="W49" s="164"/>
      <c r="X49" s="164"/>
      <c r="Y49" s="164"/>
      <c r="Z49" s="164"/>
      <c r="AA49" s="164"/>
      <c r="AB49" s="164"/>
      <c r="AC49" s="165"/>
      <c r="AD49" s="165"/>
      <c r="AE49" s="165"/>
      <c r="AF49" s="165"/>
      <c r="AG49" s="165"/>
      <c r="AH49" s="165"/>
      <c r="AI49" s="165"/>
      <c r="AJ49" s="165"/>
      <c r="AK49" s="165"/>
      <c r="AL49" s="165"/>
      <c r="AM49" s="165"/>
      <c r="AN49" s="165"/>
      <c r="AO49" s="165"/>
      <c r="AP49" s="166">
        <f t="shared" si="2"/>
        <v>0</v>
      </c>
      <c r="AQ49" s="164"/>
      <c r="AR49" s="167">
        <f>IF(B49="","",COUNTIF('Rel.Conjunts-Sistemes'!$B:$B,$B49))</f>
        <v>1</v>
      </c>
      <c r="AS49" s="167">
        <f>IF(B49="","",COUNTIF('Dominis de dades'!$B:$B,$D49))</f>
        <v>1</v>
      </c>
    </row>
    <row r="50" spans="1:45" s="19" customFormat="1" ht="30" x14ac:dyDescent="0.3">
      <c r="A50" s="26"/>
      <c r="B50" s="160" t="s">
        <v>877</v>
      </c>
      <c r="C50" s="161" t="s">
        <v>675</v>
      </c>
      <c r="D50" s="161" t="s">
        <v>126</v>
      </c>
      <c r="E50" s="171" t="str">
        <f t="shared" si="3"/>
        <v>Govern i administració</v>
      </c>
      <c r="F50" s="162"/>
      <c r="G50" s="162"/>
      <c r="H50" s="163"/>
      <c r="I50" s="164"/>
      <c r="J50" s="163"/>
      <c r="K50" s="163"/>
      <c r="L50" s="163"/>
      <c r="M50" s="163"/>
      <c r="N50" s="163"/>
      <c r="O50" s="164"/>
      <c r="P50" s="164"/>
      <c r="Q50" s="164"/>
      <c r="R50" s="164"/>
      <c r="S50" s="164"/>
      <c r="T50" s="164"/>
      <c r="U50" s="164"/>
      <c r="V50" s="164"/>
      <c r="W50" s="164"/>
      <c r="X50" s="164"/>
      <c r="Y50" s="164"/>
      <c r="Z50" s="164"/>
      <c r="AA50" s="164"/>
      <c r="AB50" s="164"/>
      <c r="AC50" s="165"/>
      <c r="AD50" s="165"/>
      <c r="AE50" s="165"/>
      <c r="AF50" s="165"/>
      <c r="AG50" s="165"/>
      <c r="AH50" s="165"/>
      <c r="AI50" s="165"/>
      <c r="AJ50" s="165"/>
      <c r="AK50" s="165"/>
      <c r="AL50" s="165"/>
      <c r="AM50" s="165"/>
      <c r="AN50" s="165"/>
      <c r="AO50" s="165"/>
      <c r="AP50" s="166">
        <f t="shared" si="2"/>
        <v>0</v>
      </c>
      <c r="AQ50" s="164"/>
      <c r="AR50" s="167">
        <f>IF(B50="","",COUNTIF('Rel.Conjunts-Sistemes'!$B:$B,$B50))</f>
        <v>1</v>
      </c>
      <c r="AS50" s="167">
        <f>IF(B50="","",COUNTIF('Dominis de dades'!$B:$B,$D50))</f>
        <v>1</v>
      </c>
    </row>
    <row r="51" spans="1:45" s="19" customFormat="1" ht="30" x14ac:dyDescent="0.3">
      <c r="A51" s="26"/>
      <c r="B51" s="160" t="s">
        <v>878</v>
      </c>
      <c r="C51" s="161" t="s">
        <v>676</v>
      </c>
      <c r="D51" s="161" t="s">
        <v>126</v>
      </c>
      <c r="E51" s="171" t="str">
        <f t="shared" si="3"/>
        <v>Govern i administració</v>
      </c>
      <c r="F51" s="162"/>
      <c r="G51" s="162"/>
      <c r="H51" s="163"/>
      <c r="I51" s="164"/>
      <c r="J51" s="163"/>
      <c r="K51" s="163"/>
      <c r="L51" s="163"/>
      <c r="M51" s="163"/>
      <c r="N51" s="163"/>
      <c r="O51" s="164"/>
      <c r="P51" s="164"/>
      <c r="Q51" s="164"/>
      <c r="R51" s="164"/>
      <c r="S51" s="164"/>
      <c r="T51" s="164"/>
      <c r="U51" s="164"/>
      <c r="V51" s="164"/>
      <c r="W51" s="164"/>
      <c r="X51" s="164"/>
      <c r="Y51" s="164"/>
      <c r="Z51" s="164"/>
      <c r="AA51" s="164"/>
      <c r="AB51" s="164"/>
      <c r="AC51" s="165"/>
      <c r="AD51" s="165"/>
      <c r="AE51" s="165"/>
      <c r="AF51" s="165"/>
      <c r="AG51" s="165"/>
      <c r="AH51" s="165"/>
      <c r="AI51" s="165"/>
      <c r="AJ51" s="165"/>
      <c r="AK51" s="165"/>
      <c r="AL51" s="165"/>
      <c r="AM51" s="165"/>
      <c r="AN51" s="165"/>
      <c r="AO51" s="165"/>
      <c r="AP51" s="166">
        <f t="shared" si="2"/>
        <v>0</v>
      </c>
      <c r="AQ51" s="164"/>
      <c r="AR51" s="167">
        <f>IF(B51="","",COUNTIF('Rel.Conjunts-Sistemes'!$B:$B,$B51))</f>
        <v>1</v>
      </c>
      <c r="AS51" s="167">
        <f>IF(B51="","",COUNTIF('Dominis de dades'!$B:$B,$D51))</f>
        <v>1</v>
      </c>
    </row>
    <row r="52" spans="1:45" s="19" customFormat="1" ht="30" x14ac:dyDescent="0.3">
      <c r="A52" s="26"/>
      <c r="B52" s="160" t="s">
        <v>879</v>
      </c>
      <c r="C52" s="161" t="s">
        <v>787</v>
      </c>
      <c r="D52" s="161" t="s">
        <v>126</v>
      </c>
      <c r="E52" s="171" t="str">
        <f t="shared" si="3"/>
        <v>Govern i administració</v>
      </c>
      <c r="F52" s="162"/>
      <c r="G52" s="162"/>
      <c r="H52" s="163"/>
      <c r="I52" s="164"/>
      <c r="J52" s="163"/>
      <c r="K52" s="163"/>
      <c r="L52" s="163"/>
      <c r="M52" s="163"/>
      <c r="N52" s="163"/>
      <c r="O52" s="164"/>
      <c r="P52" s="164"/>
      <c r="Q52" s="164"/>
      <c r="R52" s="164"/>
      <c r="S52" s="164"/>
      <c r="T52" s="164"/>
      <c r="U52" s="164"/>
      <c r="V52" s="164"/>
      <c r="W52" s="164"/>
      <c r="X52" s="164"/>
      <c r="Y52" s="164"/>
      <c r="Z52" s="164"/>
      <c r="AA52" s="164"/>
      <c r="AB52" s="164"/>
      <c r="AC52" s="165"/>
      <c r="AD52" s="165"/>
      <c r="AE52" s="165"/>
      <c r="AF52" s="165"/>
      <c r="AG52" s="165"/>
      <c r="AH52" s="165"/>
      <c r="AI52" s="165"/>
      <c r="AJ52" s="165"/>
      <c r="AK52" s="165"/>
      <c r="AL52" s="165"/>
      <c r="AM52" s="165"/>
      <c r="AN52" s="165"/>
      <c r="AO52" s="165"/>
      <c r="AP52" s="166">
        <f t="shared" si="2"/>
        <v>0</v>
      </c>
      <c r="AQ52" s="164"/>
      <c r="AR52" s="167">
        <f>IF(B52="","",COUNTIF('Rel.Conjunts-Sistemes'!$B:$B,$B52))</f>
        <v>1</v>
      </c>
      <c r="AS52" s="167">
        <f>IF(B52="","",COUNTIF('Dominis de dades'!$B:$B,$D52))</f>
        <v>1</v>
      </c>
    </row>
    <row r="53" spans="1:45" s="19" customFormat="1" ht="41.4" x14ac:dyDescent="0.3">
      <c r="A53" s="26"/>
      <c r="B53" s="160" t="s">
        <v>880</v>
      </c>
      <c r="C53" s="161" t="s">
        <v>679</v>
      </c>
      <c r="D53" s="161" t="s">
        <v>108</v>
      </c>
      <c r="E53" s="171" t="str">
        <f t="shared" si="3"/>
        <v>Gestió de l'espai públic i serveis al territori</v>
      </c>
      <c r="F53" s="162"/>
      <c r="G53" s="162"/>
      <c r="H53" s="163"/>
      <c r="I53" s="164"/>
      <c r="J53" s="163"/>
      <c r="K53" s="163"/>
      <c r="L53" s="163"/>
      <c r="M53" s="163"/>
      <c r="N53" s="163"/>
      <c r="O53" s="164"/>
      <c r="P53" s="164"/>
      <c r="Q53" s="164"/>
      <c r="R53" s="164"/>
      <c r="S53" s="164"/>
      <c r="T53" s="164"/>
      <c r="U53" s="164"/>
      <c r="V53" s="164"/>
      <c r="W53" s="164"/>
      <c r="X53" s="164"/>
      <c r="Y53" s="164"/>
      <c r="Z53" s="164"/>
      <c r="AA53" s="164"/>
      <c r="AB53" s="164"/>
      <c r="AC53" s="165"/>
      <c r="AD53" s="165"/>
      <c r="AE53" s="165"/>
      <c r="AF53" s="165"/>
      <c r="AG53" s="165"/>
      <c r="AH53" s="165"/>
      <c r="AI53" s="165"/>
      <c r="AJ53" s="165"/>
      <c r="AK53" s="165"/>
      <c r="AL53" s="165"/>
      <c r="AM53" s="165"/>
      <c r="AN53" s="165"/>
      <c r="AO53" s="165"/>
      <c r="AP53" s="166">
        <f t="shared" si="2"/>
        <v>0</v>
      </c>
      <c r="AQ53" s="164"/>
      <c r="AR53" s="167">
        <f>IF(B53="","",COUNTIF('Rel.Conjunts-Sistemes'!$B:$B,$B53))</f>
        <v>1</v>
      </c>
      <c r="AS53" s="167">
        <f>IF(B53="","",COUNTIF('Dominis de dades'!$B:$B,$D53))</f>
        <v>1</v>
      </c>
    </row>
    <row r="54" spans="1:45" s="19" customFormat="1" ht="41.4" x14ac:dyDescent="0.3">
      <c r="A54" s="26"/>
      <c r="B54" s="160" t="s">
        <v>881</v>
      </c>
      <c r="C54" s="161" t="s">
        <v>681</v>
      </c>
      <c r="D54" s="161" t="s">
        <v>127</v>
      </c>
      <c r="E54" s="171" t="str">
        <f t="shared" si="3"/>
        <v>Gestió de l'espai públic i serveis al territori</v>
      </c>
      <c r="F54" s="162"/>
      <c r="G54" s="162"/>
      <c r="H54" s="163"/>
      <c r="I54" s="164"/>
      <c r="J54" s="163"/>
      <c r="K54" s="163"/>
      <c r="L54" s="163"/>
      <c r="M54" s="163"/>
      <c r="N54" s="163"/>
      <c r="O54" s="164"/>
      <c r="P54" s="164"/>
      <c r="Q54" s="164"/>
      <c r="R54" s="164"/>
      <c r="S54" s="164"/>
      <c r="T54" s="164"/>
      <c r="U54" s="164"/>
      <c r="V54" s="164"/>
      <c r="W54" s="164"/>
      <c r="X54" s="164"/>
      <c r="Y54" s="164"/>
      <c r="Z54" s="164"/>
      <c r="AA54" s="164"/>
      <c r="AB54" s="164"/>
      <c r="AC54" s="165"/>
      <c r="AD54" s="165"/>
      <c r="AE54" s="165"/>
      <c r="AF54" s="165"/>
      <c r="AG54" s="165"/>
      <c r="AH54" s="165"/>
      <c r="AI54" s="165"/>
      <c r="AJ54" s="165"/>
      <c r="AK54" s="165"/>
      <c r="AL54" s="165"/>
      <c r="AM54" s="165"/>
      <c r="AN54" s="165"/>
      <c r="AO54" s="165"/>
      <c r="AP54" s="166">
        <f t="shared" si="2"/>
        <v>0</v>
      </c>
      <c r="AQ54" s="164"/>
      <c r="AR54" s="167">
        <f>IF(B54="","",COUNTIF('Rel.Conjunts-Sistemes'!$B:$B,$B54))</f>
        <v>1</v>
      </c>
      <c r="AS54" s="167">
        <f>IF(B54="","",COUNTIF('Dominis de dades'!$B:$B,$D54))</f>
        <v>1</v>
      </c>
    </row>
    <row r="55" spans="1:45" s="19" customFormat="1" ht="30" x14ac:dyDescent="0.3">
      <c r="A55" s="26"/>
      <c r="B55" s="160" t="s">
        <v>882</v>
      </c>
      <c r="C55" s="161" t="s">
        <v>682</v>
      </c>
      <c r="D55" s="161" t="s">
        <v>400</v>
      </c>
      <c r="E55" s="171" t="str">
        <f t="shared" si="3"/>
        <v>&lt;&lt;Domini erroni&gt;&gt;</v>
      </c>
      <c r="F55" s="162"/>
      <c r="G55" s="162"/>
      <c r="H55" s="163"/>
      <c r="I55" s="164"/>
      <c r="J55" s="163"/>
      <c r="K55" s="163"/>
      <c r="L55" s="163"/>
      <c r="M55" s="163"/>
      <c r="N55" s="163"/>
      <c r="O55" s="164"/>
      <c r="P55" s="164"/>
      <c r="Q55" s="164"/>
      <c r="R55" s="164"/>
      <c r="S55" s="164"/>
      <c r="T55" s="164"/>
      <c r="U55" s="164"/>
      <c r="V55" s="164"/>
      <c r="W55" s="164"/>
      <c r="X55" s="164"/>
      <c r="Y55" s="164"/>
      <c r="Z55" s="164"/>
      <c r="AA55" s="164"/>
      <c r="AB55" s="164"/>
      <c r="AC55" s="165"/>
      <c r="AD55" s="165"/>
      <c r="AE55" s="165"/>
      <c r="AF55" s="165"/>
      <c r="AG55" s="165"/>
      <c r="AH55" s="165"/>
      <c r="AI55" s="165"/>
      <c r="AJ55" s="165"/>
      <c r="AK55" s="165"/>
      <c r="AL55" s="165"/>
      <c r="AM55" s="165"/>
      <c r="AN55" s="165"/>
      <c r="AO55" s="165"/>
      <c r="AP55" s="166">
        <f t="shared" si="2"/>
        <v>0</v>
      </c>
      <c r="AQ55" s="164"/>
      <c r="AR55" s="167">
        <f>IF(B55="","",COUNTIF('Rel.Conjunts-Sistemes'!$B:$B,$B55))</f>
        <v>1</v>
      </c>
      <c r="AS55" s="167">
        <f>IF(B55="","",COUNTIF('Dominis de dades'!$B:$B,$D55))</f>
        <v>1</v>
      </c>
    </row>
    <row r="56" spans="1:45" s="19" customFormat="1" ht="30" x14ac:dyDescent="0.3">
      <c r="A56" s="26"/>
      <c r="B56" s="160" t="s">
        <v>883</v>
      </c>
      <c r="C56" s="161" t="s">
        <v>738</v>
      </c>
      <c r="D56" s="161" t="s">
        <v>400</v>
      </c>
      <c r="E56" s="171" t="str">
        <f t="shared" si="3"/>
        <v>&lt;&lt;Domini erroni&gt;&gt;</v>
      </c>
      <c r="F56" s="162"/>
      <c r="G56" s="162"/>
      <c r="H56" s="163"/>
      <c r="I56" s="164"/>
      <c r="J56" s="163"/>
      <c r="K56" s="163"/>
      <c r="L56" s="163"/>
      <c r="M56" s="163"/>
      <c r="N56" s="163"/>
      <c r="O56" s="164"/>
      <c r="P56" s="164"/>
      <c r="Q56" s="164"/>
      <c r="R56" s="164"/>
      <c r="S56" s="164"/>
      <c r="T56" s="164"/>
      <c r="U56" s="164"/>
      <c r="V56" s="164"/>
      <c r="W56" s="164"/>
      <c r="X56" s="164"/>
      <c r="Y56" s="164"/>
      <c r="Z56" s="164"/>
      <c r="AA56" s="164"/>
      <c r="AB56" s="164"/>
      <c r="AC56" s="165"/>
      <c r="AD56" s="165"/>
      <c r="AE56" s="165"/>
      <c r="AF56" s="165"/>
      <c r="AG56" s="165"/>
      <c r="AH56" s="165"/>
      <c r="AI56" s="165"/>
      <c r="AJ56" s="165"/>
      <c r="AK56" s="165"/>
      <c r="AL56" s="165"/>
      <c r="AM56" s="165"/>
      <c r="AN56" s="165"/>
      <c r="AO56" s="165"/>
      <c r="AP56" s="166">
        <f t="shared" si="2"/>
        <v>0</v>
      </c>
      <c r="AQ56" s="164"/>
      <c r="AR56" s="167">
        <f>IF(B56="","",COUNTIF('Rel.Conjunts-Sistemes'!$B:$B,$B56))</f>
        <v>1</v>
      </c>
      <c r="AS56" s="167">
        <f>IF(B56="","",COUNTIF('Dominis de dades'!$B:$B,$D56))</f>
        <v>1</v>
      </c>
    </row>
    <row r="57" spans="1:45" s="19" customFormat="1" ht="41.4" x14ac:dyDescent="0.3">
      <c r="A57" s="26"/>
      <c r="B57" s="160" t="s">
        <v>641</v>
      </c>
      <c r="C57" s="161" t="s">
        <v>741</v>
      </c>
      <c r="D57" s="161" t="s">
        <v>108</v>
      </c>
      <c r="E57" s="171" t="str">
        <f t="shared" si="3"/>
        <v>Gestió de l'espai públic i serveis al territori</v>
      </c>
      <c r="F57" s="162"/>
      <c r="G57" s="162"/>
      <c r="H57" s="163"/>
      <c r="I57" s="164"/>
      <c r="J57" s="163"/>
      <c r="K57" s="163"/>
      <c r="L57" s="163"/>
      <c r="M57" s="163"/>
      <c r="N57" s="163"/>
      <c r="O57" s="164"/>
      <c r="P57" s="164"/>
      <c r="Q57" s="164"/>
      <c r="R57" s="164"/>
      <c r="S57" s="164"/>
      <c r="T57" s="164"/>
      <c r="U57" s="164"/>
      <c r="V57" s="164"/>
      <c r="W57" s="164"/>
      <c r="X57" s="164"/>
      <c r="Y57" s="164"/>
      <c r="Z57" s="164"/>
      <c r="AA57" s="164"/>
      <c r="AB57" s="164"/>
      <c r="AC57" s="165"/>
      <c r="AD57" s="165"/>
      <c r="AE57" s="165"/>
      <c r="AF57" s="165"/>
      <c r="AG57" s="165"/>
      <c r="AH57" s="165"/>
      <c r="AI57" s="165"/>
      <c r="AJ57" s="165"/>
      <c r="AK57" s="165"/>
      <c r="AL57" s="165"/>
      <c r="AM57" s="165"/>
      <c r="AN57" s="165"/>
      <c r="AO57" s="165"/>
      <c r="AP57" s="166">
        <f t="shared" si="2"/>
        <v>0</v>
      </c>
      <c r="AQ57" s="164"/>
      <c r="AR57" s="167">
        <f>IF(B57="","",COUNTIF('Rel.Conjunts-Sistemes'!$B:$B,$B57))</f>
        <v>1</v>
      </c>
      <c r="AS57" s="167">
        <f>IF(B57="","",COUNTIF('Dominis de dades'!$B:$B,$D57))</f>
        <v>1</v>
      </c>
    </row>
    <row r="58" spans="1:45" s="19" customFormat="1" ht="41.4" x14ac:dyDescent="0.3">
      <c r="A58" s="26"/>
      <c r="B58" s="160" t="s">
        <v>884</v>
      </c>
      <c r="C58" s="161" t="s">
        <v>776</v>
      </c>
      <c r="D58" s="161" t="s">
        <v>108</v>
      </c>
      <c r="E58" s="171" t="str">
        <f t="shared" si="3"/>
        <v>Gestió de l'espai públic i serveis al territori</v>
      </c>
      <c r="F58" s="162"/>
      <c r="G58" s="162"/>
      <c r="H58" s="163"/>
      <c r="I58" s="164"/>
      <c r="J58" s="163"/>
      <c r="K58" s="163"/>
      <c r="L58" s="163"/>
      <c r="M58" s="163"/>
      <c r="N58" s="163"/>
      <c r="O58" s="164"/>
      <c r="P58" s="164"/>
      <c r="Q58" s="164"/>
      <c r="R58" s="164"/>
      <c r="S58" s="164"/>
      <c r="T58" s="164"/>
      <c r="U58" s="164"/>
      <c r="V58" s="164"/>
      <c r="W58" s="164"/>
      <c r="X58" s="164"/>
      <c r="Y58" s="164"/>
      <c r="Z58" s="164"/>
      <c r="AA58" s="164"/>
      <c r="AB58" s="164"/>
      <c r="AC58" s="165"/>
      <c r="AD58" s="165"/>
      <c r="AE58" s="165"/>
      <c r="AF58" s="165"/>
      <c r="AG58" s="165"/>
      <c r="AH58" s="165"/>
      <c r="AI58" s="165"/>
      <c r="AJ58" s="165"/>
      <c r="AK58" s="165"/>
      <c r="AL58" s="165"/>
      <c r="AM58" s="165"/>
      <c r="AN58" s="165"/>
      <c r="AO58" s="165"/>
      <c r="AP58" s="166">
        <f t="shared" si="2"/>
        <v>0</v>
      </c>
      <c r="AQ58" s="164"/>
      <c r="AR58" s="167">
        <f>IF(B58="","",COUNTIF('Rel.Conjunts-Sistemes'!$B:$B,$B58))</f>
        <v>1</v>
      </c>
      <c r="AS58" s="167">
        <f>IF(B58="","",COUNTIF('Dominis de dades'!$B:$B,$D58))</f>
        <v>1</v>
      </c>
    </row>
    <row r="59" spans="1:45" s="19" customFormat="1" ht="41.4" x14ac:dyDescent="0.3">
      <c r="A59" s="26"/>
      <c r="B59" s="160" t="s">
        <v>885</v>
      </c>
      <c r="C59" s="161" t="s">
        <v>777</v>
      </c>
      <c r="D59" s="161" t="s">
        <v>108</v>
      </c>
      <c r="E59" s="171" t="str">
        <f t="shared" si="3"/>
        <v>Gestió de l'espai públic i serveis al territori</v>
      </c>
      <c r="F59" s="162"/>
      <c r="G59" s="162"/>
      <c r="H59" s="163"/>
      <c r="I59" s="164"/>
      <c r="J59" s="163"/>
      <c r="K59" s="163"/>
      <c r="L59" s="163"/>
      <c r="M59" s="163"/>
      <c r="N59" s="163"/>
      <c r="O59" s="164"/>
      <c r="P59" s="164"/>
      <c r="Q59" s="164"/>
      <c r="R59" s="164"/>
      <c r="S59" s="164"/>
      <c r="T59" s="164"/>
      <c r="U59" s="164"/>
      <c r="V59" s="164"/>
      <c r="W59" s="164"/>
      <c r="X59" s="164"/>
      <c r="Y59" s="164"/>
      <c r="Z59" s="164"/>
      <c r="AA59" s="164"/>
      <c r="AB59" s="164"/>
      <c r="AC59" s="165"/>
      <c r="AD59" s="165"/>
      <c r="AE59" s="165"/>
      <c r="AF59" s="165"/>
      <c r="AG59" s="165"/>
      <c r="AH59" s="165"/>
      <c r="AI59" s="165"/>
      <c r="AJ59" s="165"/>
      <c r="AK59" s="165"/>
      <c r="AL59" s="165"/>
      <c r="AM59" s="165"/>
      <c r="AN59" s="165"/>
      <c r="AO59" s="165"/>
      <c r="AP59" s="166">
        <f t="shared" si="2"/>
        <v>0</v>
      </c>
      <c r="AQ59" s="164"/>
      <c r="AR59" s="167">
        <f>IF(B59="","",COUNTIF('Rel.Conjunts-Sistemes'!$B:$B,$B59))</f>
        <v>1</v>
      </c>
      <c r="AS59" s="167">
        <f>IF(B59="","",COUNTIF('Dominis de dades'!$B:$B,$D59))</f>
        <v>1</v>
      </c>
    </row>
    <row r="60" spans="1:45" s="19" customFormat="1" ht="30" x14ac:dyDescent="0.3">
      <c r="A60" s="26"/>
      <c r="B60" s="160" t="s">
        <v>866</v>
      </c>
      <c r="C60" s="161" t="s">
        <v>684</v>
      </c>
      <c r="D60" s="161" t="s">
        <v>400</v>
      </c>
      <c r="E60" s="171" t="str">
        <f t="shared" si="3"/>
        <v>&lt;&lt;Domini erroni&gt;&gt;</v>
      </c>
      <c r="F60" s="162"/>
      <c r="G60" s="162"/>
      <c r="H60" s="163"/>
      <c r="I60" s="164"/>
      <c r="J60" s="163"/>
      <c r="K60" s="163"/>
      <c r="L60" s="163"/>
      <c r="M60" s="163"/>
      <c r="N60" s="163"/>
      <c r="O60" s="164"/>
      <c r="P60" s="164"/>
      <c r="Q60" s="164"/>
      <c r="R60" s="164"/>
      <c r="S60" s="164"/>
      <c r="T60" s="164"/>
      <c r="U60" s="164"/>
      <c r="V60" s="164"/>
      <c r="W60" s="164"/>
      <c r="X60" s="164"/>
      <c r="Y60" s="164"/>
      <c r="Z60" s="164"/>
      <c r="AA60" s="164"/>
      <c r="AB60" s="164"/>
      <c r="AC60" s="165"/>
      <c r="AD60" s="165"/>
      <c r="AE60" s="165"/>
      <c r="AF60" s="165"/>
      <c r="AG60" s="165"/>
      <c r="AH60" s="165"/>
      <c r="AI60" s="165"/>
      <c r="AJ60" s="165"/>
      <c r="AK60" s="165"/>
      <c r="AL60" s="165"/>
      <c r="AM60" s="165"/>
      <c r="AN60" s="165"/>
      <c r="AO60" s="165"/>
      <c r="AP60" s="166">
        <f t="shared" si="2"/>
        <v>0</v>
      </c>
      <c r="AQ60" s="164"/>
      <c r="AR60" s="167">
        <f>IF(B60="","",COUNTIF('Rel.Conjunts-Sistemes'!$B:$B,$B60))</f>
        <v>1</v>
      </c>
      <c r="AS60" s="167">
        <f>IF(B60="","",COUNTIF('Dominis de dades'!$B:$B,$D60))</f>
        <v>1</v>
      </c>
    </row>
    <row r="61" spans="1:45" s="19" customFormat="1" ht="30" x14ac:dyDescent="0.3">
      <c r="A61" s="26"/>
      <c r="B61" s="160" t="s">
        <v>867</v>
      </c>
      <c r="C61" s="161" t="s">
        <v>686</v>
      </c>
      <c r="D61" s="161" t="s">
        <v>400</v>
      </c>
      <c r="E61" s="171" t="str">
        <f t="shared" si="3"/>
        <v>&lt;&lt;Domini erroni&gt;&gt;</v>
      </c>
      <c r="F61" s="162"/>
      <c r="G61" s="162"/>
      <c r="H61" s="163"/>
      <c r="I61" s="164"/>
      <c r="J61" s="163"/>
      <c r="K61" s="163"/>
      <c r="L61" s="163"/>
      <c r="M61" s="163"/>
      <c r="N61" s="163"/>
      <c r="O61" s="164"/>
      <c r="P61" s="164"/>
      <c r="Q61" s="164"/>
      <c r="R61" s="164"/>
      <c r="S61" s="164"/>
      <c r="T61" s="164"/>
      <c r="U61" s="164"/>
      <c r="V61" s="164"/>
      <c r="W61" s="164"/>
      <c r="X61" s="164"/>
      <c r="Y61" s="164"/>
      <c r="Z61" s="164"/>
      <c r="AA61" s="164"/>
      <c r="AB61" s="164"/>
      <c r="AC61" s="165"/>
      <c r="AD61" s="165"/>
      <c r="AE61" s="165"/>
      <c r="AF61" s="165"/>
      <c r="AG61" s="165"/>
      <c r="AH61" s="165"/>
      <c r="AI61" s="165"/>
      <c r="AJ61" s="165"/>
      <c r="AK61" s="165"/>
      <c r="AL61" s="165"/>
      <c r="AM61" s="165"/>
      <c r="AN61" s="165"/>
      <c r="AO61" s="165"/>
      <c r="AP61" s="166">
        <f t="shared" si="2"/>
        <v>0</v>
      </c>
      <c r="AQ61" s="164"/>
      <c r="AR61" s="167">
        <f>IF(B61="","",COUNTIF('Rel.Conjunts-Sistemes'!$B:$B,$B61))</f>
        <v>1</v>
      </c>
      <c r="AS61" s="167">
        <f>IF(B61="","",COUNTIF('Dominis de dades'!$B:$B,$D61))</f>
        <v>1</v>
      </c>
    </row>
    <row r="62" spans="1:45" s="19" customFormat="1" ht="30" x14ac:dyDescent="0.3">
      <c r="A62" s="26"/>
      <c r="B62" s="160" t="s">
        <v>861</v>
      </c>
      <c r="C62" s="161" t="s">
        <v>688</v>
      </c>
      <c r="D62" s="161" t="s">
        <v>400</v>
      </c>
      <c r="E62" s="171" t="str">
        <f t="shared" si="3"/>
        <v>&lt;&lt;Domini erroni&gt;&gt;</v>
      </c>
      <c r="F62" s="162"/>
      <c r="G62" s="162"/>
      <c r="H62" s="163"/>
      <c r="I62" s="164"/>
      <c r="J62" s="163"/>
      <c r="K62" s="163"/>
      <c r="L62" s="163"/>
      <c r="M62" s="163"/>
      <c r="N62" s="163"/>
      <c r="O62" s="164"/>
      <c r="P62" s="164"/>
      <c r="Q62" s="164"/>
      <c r="R62" s="164"/>
      <c r="S62" s="164"/>
      <c r="T62" s="164"/>
      <c r="U62" s="164"/>
      <c r="V62" s="164"/>
      <c r="W62" s="164"/>
      <c r="X62" s="164"/>
      <c r="Y62" s="164"/>
      <c r="Z62" s="164"/>
      <c r="AA62" s="164"/>
      <c r="AB62" s="164"/>
      <c r="AC62" s="165"/>
      <c r="AD62" s="165"/>
      <c r="AE62" s="165"/>
      <c r="AF62" s="165"/>
      <c r="AG62" s="165"/>
      <c r="AH62" s="165"/>
      <c r="AI62" s="165"/>
      <c r="AJ62" s="165"/>
      <c r="AK62" s="165"/>
      <c r="AL62" s="165"/>
      <c r="AM62" s="165"/>
      <c r="AN62" s="165"/>
      <c r="AO62" s="165"/>
      <c r="AP62" s="166">
        <f t="shared" si="2"/>
        <v>0</v>
      </c>
      <c r="AQ62" s="164"/>
      <c r="AR62" s="167">
        <f>IF(B62="","",COUNTIF('Rel.Conjunts-Sistemes'!$B:$B,$B62))</f>
        <v>1</v>
      </c>
      <c r="AS62" s="167">
        <f>IF(B62="","",COUNTIF('Dominis de dades'!$B:$B,$D62))</f>
        <v>1</v>
      </c>
    </row>
    <row r="63" spans="1:45" s="19" customFormat="1" ht="30" x14ac:dyDescent="0.3">
      <c r="A63" s="132"/>
      <c r="B63" s="160" t="s">
        <v>886</v>
      </c>
      <c r="C63" s="161" t="s">
        <v>690</v>
      </c>
      <c r="D63" s="161" t="s">
        <v>400</v>
      </c>
      <c r="E63" s="171" t="str">
        <f t="shared" si="3"/>
        <v>&lt;&lt;Domini erroni&gt;&gt;</v>
      </c>
      <c r="F63" s="162"/>
      <c r="G63" s="162"/>
      <c r="H63" s="163"/>
      <c r="I63" s="164"/>
      <c r="J63" s="163"/>
      <c r="K63" s="163"/>
      <c r="L63" s="163"/>
      <c r="M63" s="163"/>
      <c r="N63" s="163"/>
      <c r="O63" s="164"/>
      <c r="P63" s="164"/>
      <c r="Q63" s="164"/>
      <c r="R63" s="164"/>
      <c r="S63" s="164"/>
      <c r="T63" s="164"/>
      <c r="U63" s="164"/>
      <c r="V63" s="164"/>
      <c r="W63" s="164"/>
      <c r="X63" s="164"/>
      <c r="Y63" s="164"/>
      <c r="Z63" s="164"/>
      <c r="AA63" s="164"/>
      <c r="AB63" s="164"/>
      <c r="AC63" s="165"/>
      <c r="AD63" s="165"/>
      <c r="AE63" s="165"/>
      <c r="AF63" s="165"/>
      <c r="AG63" s="165"/>
      <c r="AH63" s="165"/>
      <c r="AI63" s="165"/>
      <c r="AJ63" s="165"/>
      <c r="AK63" s="165"/>
      <c r="AL63" s="165"/>
      <c r="AM63" s="165"/>
      <c r="AN63" s="165"/>
      <c r="AO63" s="165"/>
      <c r="AP63" s="166">
        <f t="shared" si="2"/>
        <v>0</v>
      </c>
      <c r="AQ63" s="164"/>
      <c r="AR63" s="167">
        <f>IF(B63="","",COUNTIF('Rel.Conjunts-Sistemes'!$B:$B,$B63))</f>
        <v>1</v>
      </c>
      <c r="AS63" s="167">
        <f>IF(B63="","",COUNTIF('Dominis de dades'!$B:$B,$D63))</f>
        <v>1</v>
      </c>
    </row>
    <row r="64" spans="1:45" s="19" customFormat="1" ht="45" x14ac:dyDescent="0.3">
      <c r="A64" s="132"/>
      <c r="B64" s="160" t="s">
        <v>887</v>
      </c>
      <c r="C64" s="161" t="s">
        <v>692</v>
      </c>
      <c r="D64" s="161" t="s">
        <v>514</v>
      </c>
      <c r="E64" s="171" t="str">
        <f t="shared" si="3"/>
        <v>Serveis a les persones</v>
      </c>
      <c r="F64" s="162"/>
      <c r="G64" s="162"/>
      <c r="H64" s="163"/>
      <c r="I64" s="164"/>
      <c r="J64" s="163"/>
      <c r="K64" s="163"/>
      <c r="L64" s="163"/>
      <c r="M64" s="163"/>
      <c r="N64" s="163"/>
      <c r="O64" s="164"/>
      <c r="P64" s="164"/>
      <c r="Q64" s="164"/>
      <c r="R64" s="164"/>
      <c r="S64" s="164"/>
      <c r="T64" s="164"/>
      <c r="U64" s="164"/>
      <c r="V64" s="164"/>
      <c r="W64" s="164"/>
      <c r="X64" s="164"/>
      <c r="Y64" s="164"/>
      <c r="Z64" s="164"/>
      <c r="AA64" s="164"/>
      <c r="AB64" s="164"/>
      <c r="AC64" s="165"/>
      <c r="AD64" s="165"/>
      <c r="AE64" s="165"/>
      <c r="AF64" s="165"/>
      <c r="AG64" s="165"/>
      <c r="AH64" s="165"/>
      <c r="AI64" s="165"/>
      <c r="AJ64" s="165"/>
      <c r="AK64" s="165"/>
      <c r="AL64" s="165"/>
      <c r="AM64" s="165"/>
      <c r="AN64" s="165"/>
      <c r="AO64" s="165"/>
      <c r="AP64" s="166">
        <f t="shared" si="2"/>
        <v>0</v>
      </c>
      <c r="AQ64" s="164"/>
      <c r="AR64" s="167">
        <f>IF(B64="","",COUNTIF('Rel.Conjunts-Sistemes'!$B:$B,$B64))</f>
        <v>0</v>
      </c>
      <c r="AS64" s="167">
        <f>IF(B64="","",COUNTIF('Dominis de dades'!$B:$B,$D64))</f>
        <v>1</v>
      </c>
    </row>
    <row r="65" spans="1:45" s="19" customFormat="1" ht="45" x14ac:dyDescent="0.3">
      <c r="A65" s="132"/>
      <c r="B65" s="160" t="s">
        <v>888</v>
      </c>
      <c r="C65" s="161" t="s">
        <v>694</v>
      </c>
      <c r="D65" s="161" t="s">
        <v>514</v>
      </c>
      <c r="E65" s="171" t="str">
        <f t="shared" si="3"/>
        <v>Serveis a les persones</v>
      </c>
      <c r="F65" s="162"/>
      <c r="G65" s="162"/>
      <c r="H65" s="163"/>
      <c r="I65" s="164"/>
      <c r="J65" s="163"/>
      <c r="K65" s="163"/>
      <c r="L65" s="163"/>
      <c r="M65" s="163"/>
      <c r="N65" s="163"/>
      <c r="O65" s="164"/>
      <c r="P65" s="164"/>
      <c r="Q65" s="164"/>
      <c r="R65" s="164"/>
      <c r="S65" s="164"/>
      <c r="T65" s="164"/>
      <c r="U65" s="164"/>
      <c r="V65" s="164"/>
      <c r="W65" s="164"/>
      <c r="X65" s="164"/>
      <c r="Y65" s="164"/>
      <c r="Z65" s="164"/>
      <c r="AA65" s="164"/>
      <c r="AB65" s="164"/>
      <c r="AC65" s="165"/>
      <c r="AD65" s="165"/>
      <c r="AE65" s="165"/>
      <c r="AF65" s="165"/>
      <c r="AG65" s="165"/>
      <c r="AH65" s="165"/>
      <c r="AI65" s="165"/>
      <c r="AJ65" s="165"/>
      <c r="AK65" s="165"/>
      <c r="AL65" s="165"/>
      <c r="AM65" s="165"/>
      <c r="AN65" s="165"/>
      <c r="AO65" s="165"/>
      <c r="AP65" s="166">
        <f t="shared" si="2"/>
        <v>0</v>
      </c>
      <c r="AQ65" s="164"/>
      <c r="AR65" s="167">
        <f>IF(B65="","",COUNTIF('Rel.Conjunts-Sistemes'!$B:$B,$B65))</f>
        <v>1</v>
      </c>
      <c r="AS65" s="167">
        <f>IF(B65="","",COUNTIF('Dominis de dades'!$B:$B,$D65))</f>
        <v>1</v>
      </c>
    </row>
    <row r="66" spans="1:45" s="19" customFormat="1" ht="45" x14ac:dyDescent="0.3">
      <c r="A66" s="132"/>
      <c r="B66" s="160" t="s">
        <v>889</v>
      </c>
      <c r="C66" s="161" t="s">
        <v>696</v>
      </c>
      <c r="D66" s="161" t="s">
        <v>514</v>
      </c>
      <c r="E66" s="171" t="str">
        <f t="shared" si="3"/>
        <v>Serveis a les persones</v>
      </c>
      <c r="F66" s="162"/>
      <c r="G66" s="162"/>
      <c r="H66" s="163"/>
      <c r="I66" s="164"/>
      <c r="J66" s="163"/>
      <c r="K66" s="163"/>
      <c r="L66" s="163"/>
      <c r="M66" s="163"/>
      <c r="N66" s="163"/>
      <c r="O66" s="164"/>
      <c r="P66" s="164"/>
      <c r="Q66" s="164"/>
      <c r="R66" s="164"/>
      <c r="S66" s="164"/>
      <c r="T66" s="164"/>
      <c r="U66" s="164"/>
      <c r="V66" s="164"/>
      <c r="W66" s="164"/>
      <c r="X66" s="164"/>
      <c r="Y66" s="164"/>
      <c r="Z66" s="164"/>
      <c r="AA66" s="164"/>
      <c r="AB66" s="164"/>
      <c r="AC66" s="165"/>
      <c r="AD66" s="165"/>
      <c r="AE66" s="165"/>
      <c r="AF66" s="165"/>
      <c r="AG66" s="165"/>
      <c r="AH66" s="165"/>
      <c r="AI66" s="165"/>
      <c r="AJ66" s="165"/>
      <c r="AK66" s="165"/>
      <c r="AL66" s="165"/>
      <c r="AM66" s="165"/>
      <c r="AN66" s="165"/>
      <c r="AO66" s="165"/>
      <c r="AP66" s="166">
        <f t="shared" si="2"/>
        <v>0</v>
      </c>
      <c r="AQ66" s="164"/>
      <c r="AR66" s="167">
        <f>IF(B66="","",COUNTIF('Rel.Conjunts-Sistemes'!$B:$B,$B66))</f>
        <v>1</v>
      </c>
      <c r="AS66" s="167">
        <f>IF(B66="","",COUNTIF('Dominis de dades'!$B:$B,$D66))</f>
        <v>1</v>
      </c>
    </row>
    <row r="67" spans="1:45" s="19" customFormat="1" ht="41.4" x14ac:dyDescent="0.3">
      <c r="A67" s="132"/>
      <c r="B67" s="160" t="s">
        <v>863</v>
      </c>
      <c r="C67" s="161" t="s">
        <v>698</v>
      </c>
      <c r="D67" s="161" t="s">
        <v>519</v>
      </c>
      <c r="E67" s="171" t="str">
        <f t="shared" si="3"/>
        <v>Gestió de l'espai públic i serveis al territori</v>
      </c>
      <c r="F67" s="162"/>
      <c r="G67" s="162"/>
      <c r="H67" s="163"/>
      <c r="I67" s="164"/>
      <c r="J67" s="163"/>
      <c r="K67" s="163"/>
      <c r="L67" s="163"/>
      <c r="M67" s="163"/>
      <c r="N67" s="163"/>
      <c r="O67" s="164"/>
      <c r="P67" s="164"/>
      <c r="Q67" s="164"/>
      <c r="R67" s="164"/>
      <c r="S67" s="164"/>
      <c r="T67" s="164"/>
      <c r="U67" s="164"/>
      <c r="V67" s="164"/>
      <c r="W67" s="164"/>
      <c r="X67" s="164"/>
      <c r="Y67" s="164"/>
      <c r="Z67" s="164"/>
      <c r="AA67" s="164"/>
      <c r="AB67" s="164"/>
      <c r="AC67" s="165"/>
      <c r="AD67" s="165"/>
      <c r="AE67" s="165"/>
      <c r="AF67" s="165"/>
      <c r="AG67" s="165"/>
      <c r="AH67" s="165"/>
      <c r="AI67" s="165"/>
      <c r="AJ67" s="165"/>
      <c r="AK67" s="165"/>
      <c r="AL67" s="165"/>
      <c r="AM67" s="165"/>
      <c r="AN67" s="165"/>
      <c r="AO67" s="165"/>
      <c r="AP67" s="166">
        <f t="shared" si="2"/>
        <v>0</v>
      </c>
      <c r="AQ67" s="164"/>
      <c r="AR67" s="167">
        <f>IF(B67="","",COUNTIF('Rel.Conjunts-Sistemes'!$B:$B,$B67))</f>
        <v>1</v>
      </c>
      <c r="AS67" s="167">
        <f>IF(B67="","",COUNTIF('Dominis de dades'!$B:$B,$D67))</f>
        <v>1</v>
      </c>
    </row>
    <row r="68" spans="1:45" s="19" customFormat="1" ht="41.4" x14ac:dyDescent="0.3">
      <c r="A68" s="132"/>
      <c r="B68" s="160" t="s">
        <v>890</v>
      </c>
      <c r="C68" s="161" t="s">
        <v>699</v>
      </c>
      <c r="D68" s="161" t="s">
        <v>519</v>
      </c>
      <c r="E68" s="171" t="str">
        <f t="shared" si="3"/>
        <v>Gestió de l'espai públic i serveis al territori</v>
      </c>
      <c r="F68" s="162"/>
      <c r="G68" s="162"/>
      <c r="H68" s="163"/>
      <c r="I68" s="164"/>
      <c r="J68" s="163"/>
      <c r="K68" s="163"/>
      <c r="L68" s="163"/>
      <c r="M68" s="163"/>
      <c r="N68" s="163"/>
      <c r="O68" s="164"/>
      <c r="P68" s="164"/>
      <c r="Q68" s="164"/>
      <c r="R68" s="164"/>
      <c r="S68" s="164"/>
      <c r="T68" s="164"/>
      <c r="U68" s="164"/>
      <c r="V68" s="164"/>
      <c r="W68" s="164"/>
      <c r="X68" s="164"/>
      <c r="Y68" s="164"/>
      <c r="Z68" s="164"/>
      <c r="AA68" s="164"/>
      <c r="AB68" s="164"/>
      <c r="AC68" s="165"/>
      <c r="AD68" s="165"/>
      <c r="AE68" s="165"/>
      <c r="AF68" s="165"/>
      <c r="AG68" s="165"/>
      <c r="AH68" s="165"/>
      <c r="AI68" s="165"/>
      <c r="AJ68" s="165"/>
      <c r="AK68" s="165"/>
      <c r="AL68" s="165"/>
      <c r="AM68" s="165"/>
      <c r="AN68" s="165"/>
      <c r="AO68" s="165"/>
      <c r="AP68" s="166">
        <f t="shared" si="2"/>
        <v>0</v>
      </c>
      <c r="AQ68" s="164"/>
      <c r="AR68" s="167">
        <f>IF(B68="","",COUNTIF('Rel.Conjunts-Sistemes'!$B:$B,$B68))</f>
        <v>1</v>
      </c>
      <c r="AS68" s="167">
        <f>IF(B68="","",COUNTIF('Dominis de dades'!$B:$B,$D68))</f>
        <v>1</v>
      </c>
    </row>
    <row r="69" spans="1:45" s="19" customFormat="1" ht="30" x14ac:dyDescent="0.3">
      <c r="A69" s="132"/>
      <c r="B69" s="160" t="s">
        <v>862</v>
      </c>
      <c r="C69" s="161" t="s">
        <v>701</v>
      </c>
      <c r="D69" s="161" t="s">
        <v>400</v>
      </c>
      <c r="E69" s="171" t="str">
        <f t="shared" si="3"/>
        <v>&lt;&lt;Domini erroni&gt;&gt;</v>
      </c>
      <c r="F69" s="162"/>
      <c r="G69" s="162"/>
      <c r="H69" s="163"/>
      <c r="I69" s="164"/>
      <c r="J69" s="163"/>
      <c r="K69" s="163"/>
      <c r="L69" s="163"/>
      <c r="M69" s="163"/>
      <c r="N69" s="163"/>
      <c r="O69" s="164"/>
      <c r="P69" s="164"/>
      <c r="Q69" s="164"/>
      <c r="R69" s="164"/>
      <c r="S69" s="164"/>
      <c r="T69" s="164"/>
      <c r="U69" s="164"/>
      <c r="V69" s="164"/>
      <c r="W69" s="164"/>
      <c r="X69" s="164"/>
      <c r="Y69" s="164"/>
      <c r="Z69" s="164"/>
      <c r="AA69" s="164"/>
      <c r="AB69" s="164"/>
      <c r="AC69" s="165"/>
      <c r="AD69" s="165"/>
      <c r="AE69" s="165"/>
      <c r="AF69" s="165"/>
      <c r="AG69" s="165"/>
      <c r="AH69" s="165"/>
      <c r="AI69" s="165"/>
      <c r="AJ69" s="165"/>
      <c r="AK69" s="165"/>
      <c r="AL69" s="165"/>
      <c r="AM69" s="165"/>
      <c r="AN69" s="165"/>
      <c r="AO69" s="165"/>
      <c r="AP69" s="166">
        <f t="shared" si="2"/>
        <v>0</v>
      </c>
      <c r="AQ69" s="164"/>
      <c r="AR69" s="167">
        <f>IF(B69="","",COUNTIF('Rel.Conjunts-Sistemes'!$B:$B,$B69))</f>
        <v>1</v>
      </c>
      <c r="AS69" s="167">
        <f>IF(B69="","",COUNTIF('Dominis de dades'!$B:$B,$D69))</f>
        <v>1</v>
      </c>
    </row>
    <row r="70" spans="1:45" s="19" customFormat="1" ht="30" x14ac:dyDescent="0.3">
      <c r="A70" s="132"/>
      <c r="B70" s="160" t="s">
        <v>864</v>
      </c>
      <c r="C70" s="161" t="s">
        <v>703</v>
      </c>
      <c r="D70" s="161" t="s">
        <v>842</v>
      </c>
      <c r="E70" s="171" t="str">
        <f t="shared" si="3"/>
        <v>Serveis a les persones</v>
      </c>
      <c r="F70" s="162"/>
      <c r="G70" s="162"/>
      <c r="H70" s="163"/>
      <c r="I70" s="164"/>
      <c r="J70" s="163"/>
      <c r="K70" s="163"/>
      <c r="L70" s="163"/>
      <c r="M70" s="163"/>
      <c r="N70" s="163"/>
      <c r="O70" s="164"/>
      <c r="P70" s="164"/>
      <c r="Q70" s="164"/>
      <c r="R70" s="164"/>
      <c r="S70" s="164"/>
      <c r="T70" s="164"/>
      <c r="U70" s="164"/>
      <c r="V70" s="164"/>
      <c r="W70" s="164"/>
      <c r="X70" s="164"/>
      <c r="Y70" s="164"/>
      <c r="Z70" s="164"/>
      <c r="AA70" s="164"/>
      <c r="AB70" s="164"/>
      <c r="AC70" s="165"/>
      <c r="AD70" s="165"/>
      <c r="AE70" s="165"/>
      <c r="AF70" s="165"/>
      <c r="AG70" s="165"/>
      <c r="AH70" s="165"/>
      <c r="AI70" s="165"/>
      <c r="AJ70" s="165"/>
      <c r="AK70" s="165"/>
      <c r="AL70" s="165"/>
      <c r="AM70" s="165"/>
      <c r="AN70" s="165"/>
      <c r="AO70" s="165"/>
      <c r="AP70" s="166">
        <f t="shared" si="2"/>
        <v>0</v>
      </c>
      <c r="AQ70" s="164"/>
      <c r="AR70" s="167">
        <f>IF(B70="","",COUNTIF('Rel.Conjunts-Sistemes'!$B:$B,$B70))</f>
        <v>1</v>
      </c>
      <c r="AS70" s="167">
        <f>IF(B70="","",COUNTIF('Dominis de dades'!$B:$B,$D70))</f>
        <v>1</v>
      </c>
    </row>
    <row r="71" spans="1:45" s="19" customFormat="1" ht="30" x14ac:dyDescent="0.3">
      <c r="A71" s="132"/>
      <c r="B71" s="160" t="s">
        <v>891</v>
      </c>
      <c r="C71" s="161" t="s">
        <v>705</v>
      </c>
      <c r="D71" s="161" t="s">
        <v>842</v>
      </c>
      <c r="E71" s="171" t="str">
        <f t="shared" si="3"/>
        <v>Serveis a les persones</v>
      </c>
      <c r="F71" s="162"/>
      <c r="G71" s="162"/>
      <c r="H71" s="163"/>
      <c r="I71" s="164"/>
      <c r="J71" s="163"/>
      <c r="K71" s="163"/>
      <c r="L71" s="163"/>
      <c r="M71" s="163"/>
      <c r="N71" s="163"/>
      <c r="O71" s="164"/>
      <c r="P71" s="164"/>
      <c r="Q71" s="164"/>
      <c r="R71" s="164"/>
      <c r="S71" s="164"/>
      <c r="T71" s="164"/>
      <c r="U71" s="164"/>
      <c r="V71" s="164"/>
      <c r="W71" s="164"/>
      <c r="X71" s="164"/>
      <c r="Y71" s="164"/>
      <c r="Z71" s="164"/>
      <c r="AA71" s="164"/>
      <c r="AB71" s="164"/>
      <c r="AC71" s="165"/>
      <c r="AD71" s="165"/>
      <c r="AE71" s="165"/>
      <c r="AF71" s="165"/>
      <c r="AG71" s="165"/>
      <c r="AH71" s="165"/>
      <c r="AI71" s="165"/>
      <c r="AJ71" s="165"/>
      <c r="AK71" s="165"/>
      <c r="AL71" s="165"/>
      <c r="AM71" s="165"/>
      <c r="AN71" s="165"/>
      <c r="AO71" s="165"/>
      <c r="AP71" s="166">
        <f t="shared" si="2"/>
        <v>0</v>
      </c>
      <c r="AQ71" s="164"/>
      <c r="AR71" s="167">
        <f>IF(B71="","",COUNTIF('Rel.Conjunts-Sistemes'!$B:$B,$B71))</f>
        <v>1</v>
      </c>
      <c r="AS71" s="167">
        <f>IF(B71="","",COUNTIF('Dominis de dades'!$B:$B,$D71))</f>
        <v>1</v>
      </c>
    </row>
    <row r="72" spans="1:45" s="19" customFormat="1" ht="30" x14ac:dyDescent="0.3">
      <c r="A72" s="132"/>
      <c r="B72" s="160" t="s">
        <v>892</v>
      </c>
      <c r="C72" s="161" t="s">
        <v>707</v>
      </c>
      <c r="D72" s="161" t="s">
        <v>842</v>
      </c>
      <c r="E72" s="171" t="str">
        <f t="shared" si="3"/>
        <v>Serveis a les persones</v>
      </c>
      <c r="F72" s="162"/>
      <c r="G72" s="162"/>
      <c r="H72" s="163"/>
      <c r="I72" s="164"/>
      <c r="J72" s="163"/>
      <c r="K72" s="163"/>
      <c r="L72" s="163"/>
      <c r="M72" s="163"/>
      <c r="N72" s="163"/>
      <c r="O72" s="164"/>
      <c r="P72" s="164"/>
      <c r="Q72" s="164"/>
      <c r="R72" s="164"/>
      <c r="S72" s="164"/>
      <c r="T72" s="164"/>
      <c r="U72" s="164"/>
      <c r="V72" s="164"/>
      <c r="W72" s="164"/>
      <c r="X72" s="164"/>
      <c r="Y72" s="164"/>
      <c r="Z72" s="164"/>
      <c r="AA72" s="164"/>
      <c r="AB72" s="164"/>
      <c r="AC72" s="165"/>
      <c r="AD72" s="165"/>
      <c r="AE72" s="165"/>
      <c r="AF72" s="165"/>
      <c r="AG72" s="165"/>
      <c r="AH72" s="165"/>
      <c r="AI72" s="165"/>
      <c r="AJ72" s="165"/>
      <c r="AK72" s="165"/>
      <c r="AL72" s="165"/>
      <c r="AM72" s="165"/>
      <c r="AN72" s="165"/>
      <c r="AO72" s="165"/>
      <c r="AP72" s="166">
        <f t="shared" si="2"/>
        <v>0</v>
      </c>
      <c r="AQ72" s="164"/>
      <c r="AR72" s="167">
        <f>IF(B72="","",COUNTIF('Rel.Conjunts-Sistemes'!$B:$B,$B72))</f>
        <v>1</v>
      </c>
      <c r="AS72" s="167">
        <f>IF(B72="","",COUNTIF('Dominis de dades'!$B:$B,$D72))</f>
        <v>1</v>
      </c>
    </row>
    <row r="73" spans="1:45" s="19" customFormat="1" ht="30" x14ac:dyDescent="0.3">
      <c r="A73" s="132"/>
      <c r="B73" s="160" t="s">
        <v>893</v>
      </c>
      <c r="C73" s="161" t="s">
        <v>709</v>
      </c>
      <c r="D73" s="161" t="s">
        <v>842</v>
      </c>
      <c r="E73" s="171" t="str">
        <f t="shared" ref="E73:E104" si="4">IF(D73="","-",IF(ISERROR(VLOOKUP(D73,DominisDades,3,0)),"&lt;&lt;Domini erroni&gt;&gt;",VLOOKUP(D73,DominisDades,3,0)))</f>
        <v>Serveis a les persones</v>
      </c>
      <c r="F73" s="162"/>
      <c r="G73" s="162"/>
      <c r="H73" s="163"/>
      <c r="I73" s="164"/>
      <c r="J73" s="163"/>
      <c r="K73" s="163"/>
      <c r="L73" s="163"/>
      <c r="M73" s="163"/>
      <c r="N73" s="163"/>
      <c r="O73" s="164"/>
      <c r="P73" s="164"/>
      <c r="Q73" s="164"/>
      <c r="R73" s="164"/>
      <c r="S73" s="164"/>
      <c r="T73" s="164"/>
      <c r="U73" s="164"/>
      <c r="V73" s="164"/>
      <c r="W73" s="164"/>
      <c r="X73" s="164"/>
      <c r="Y73" s="164"/>
      <c r="Z73" s="164"/>
      <c r="AA73" s="164"/>
      <c r="AB73" s="164"/>
      <c r="AC73" s="165"/>
      <c r="AD73" s="165"/>
      <c r="AE73" s="165"/>
      <c r="AF73" s="165"/>
      <c r="AG73" s="165"/>
      <c r="AH73" s="165"/>
      <c r="AI73" s="165"/>
      <c r="AJ73" s="165"/>
      <c r="AK73" s="165"/>
      <c r="AL73" s="165"/>
      <c r="AM73" s="165"/>
      <c r="AN73" s="165"/>
      <c r="AO73" s="165"/>
      <c r="AP73" s="166">
        <f t="shared" si="2"/>
        <v>0</v>
      </c>
      <c r="AQ73" s="164"/>
      <c r="AR73" s="167">
        <f>IF(B73="","",COUNTIF('Rel.Conjunts-Sistemes'!$B:$B,$B73))</f>
        <v>1</v>
      </c>
      <c r="AS73" s="167">
        <f>IF(B73="","",COUNTIF('Dominis de dades'!$B:$B,$D73))</f>
        <v>1</v>
      </c>
    </row>
    <row r="74" spans="1:45" s="19" customFormat="1" ht="30" x14ac:dyDescent="0.3">
      <c r="A74" s="132"/>
      <c r="B74" s="160" t="s">
        <v>894</v>
      </c>
      <c r="C74" s="161" t="s">
        <v>711</v>
      </c>
      <c r="D74" s="161" t="s">
        <v>842</v>
      </c>
      <c r="E74" s="171" t="str">
        <f t="shared" si="4"/>
        <v>Serveis a les persones</v>
      </c>
      <c r="F74" s="162"/>
      <c r="G74" s="162"/>
      <c r="H74" s="163"/>
      <c r="I74" s="164"/>
      <c r="J74" s="163"/>
      <c r="K74" s="163"/>
      <c r="L74" s="163"/>
      <c r="M74" s="163"/>
      <c r="N74" s="163"/>
      <c r="O74" s="164"/>
      <c r="P74" s="164"/>
      <c r="Q74" s="164"/>
      <c r="R74" s="164"/>
      <c r="S74" s="164"/>
      <c r="T74" s="164"/>
      <c r="U74" s="164"/>
      <c r="V74" s="164"/>
      <c r="W74" s="164"/>
      <c r="X74" s="164"/>
      <c r="Y74" s="164"/>
      <c r="Z74" s="164"/>
      <c r="AA74" s="164"/>
      <c r="AB74" s="164"/>
      <c r="AC74" s="165"/>
      <c r="AD74" s="165"/>
      <c r="AE74" s="165"/>
      <c r="AF74" s="165"/>
      <c r="AG74" s="165"/>
      <c r="AH74" s="165"/>
      <c r="AI74" s="165"/>
      <c r="AJ74" s="165"/>
      <c r="AK74" s="165"/>
      <c r="AL74" s="165"/>
      <c r="AM74" s="165"/>
      <c r="AN74" s="165"/>
      <c r="AO74" s="165"/>
      <c r="AP74" s="166">
        <f t="shared" si="2"/>
        <v>0</v>
      </c>
      <c r="AQ74" s="164"/>
      <c r="AR74" s="167">
        <f>IF(B74="","",COUNTIF('Rel.Conjunts-Sistemes'!$B:$B,$B74))</f>
        <v>1</v>
      </c>
      <c r="AS74" s="167">
        <f>IF(B74="","",COUNTIF('Dominis de dades'!$B:$B,$D74))</f>
        <v>1</v>
      </c>
    </row>
    <row r="75" spans="1:45" s="19" customFormat="1" ht="30" x14ac:dyDescent="0.3">
      <c r="A75" s="132"/>
      <c r="B75" s="160" t="s">
        <v>895</v>
      </c>
      <c r="C75" s="161" t="s">
        <v>713</v>
      </c>
      <c r="D75" s="161" t="s">
        <v>842</v>
      </c>
      <c r="E75" s="171" t="str">
        <f t="shared" si="4"/>
        <v>Serveis a les persones</v>
      </c>
      <c r="F75" s="162"/>
      <c r="G75" s="162"/>
      <c r="H75" s="163"/>
      <c r="I75" s="164"/>
      <c r="J75" s="163"/>
      <c r="K75" s="163"/>
      <c r="L75" s="163"/>
      <c r="M75" s="163"/>
      <c r="N75" s="163"/>
      <c r="O75" s="164"/>
      <c r="P75" s="164"/>
      <c r="Q75" s="164"/>
      <c r="R75" s="164"/>
      <c r="S75" s="164"/>
      <c r="T75" s="164"/>
      <c r="U75" s="164"/>
      <c r="V75" s="164"/>
      <c r="W75" s="164"/>
      <c r="X75" s="164"/>
      <c r="Y75" s="164"/>
      <c r="Z75" s="164"/>
      <c r="AA75" s="164"/>
      <c r="AB75" s="164"/>
      <c r="AC75" s="165"/>
      <c r="AD75" s="165"/>
      <c r="AE75" s="165"/>
      <c r="AF75" s="165"/>
      <c r="AG75" s="165"/>
      <c r="AH75" s="165"/>
      <c r="AI75" s="165"/>
      <c r="AJ75" s="165"/>
      <c r="AK75" s="165"/>
      <c r="AL75" s="165"/>
      <c r="AM75" s="165"/>
      <c r="AN75" s="165"/>
      <c r="AO75" s="165"/>
      <c r="AP75" s="166">
        <f t="shared" ref="AP75:AP120" si="5">AVERAGE(SUMIF(AnàlisiRiscos,AC75,AnàlisiRiscosGrau),SUMIF(AnàlisiRiscos,AD75,AnàlisiRiscosGrau),SUMIF(AnàlisiRiscos,AE75,AnàlisiRiscosGrau),SUMIF(AnàlisiRiscos,AF75,AnàlisiRiscosGrau),SUMIF(AnàlisiRiscos,AG75,AnàlisiRiscosGrau),SUMIF(AnàlisiRiscos,AH75,AnàlisiRiscosGrau),SUMIF(AnàlisiRiscos,AI75,AnàlisiRiscosGrau),SUMIF(AnàlisiRiscos,AJ75,AnàlisiRiscosGrau),SUMIF(AnàlisiRiscos,AK75,AnàlisiRiscosGrau),SUMIF(AnàlisiRiscos,AL75,AnàlisiRiscosGrau),SUMIF(AnàlisiRiscos,AM75,AnàlisiRiscosGrau),SUMIF(AnàlisiRiscos,AN75,AnàlisiRiscosGrau),SUMIF(AnàlisiRiscos,AO75,AnàlisiRiscosGrau))</f>
        <v>0</v>
      </c>
      <c r="AQ75" s="164"/>
      <c r="AR75" s="167">
        <f>IF(B75="","",COUNTIF('Rel.Conjunts-Sistemes'!$B:$B,$B75))</f>
        <v>0</v>
      </c>
      <c r="AS75" s="167">
        <f>IF(B75="","",COUNTIF('Dominis de dades'!$B:$B,$D75))</f>
        <v>1</v>
      </c>
    </row>
    <row r="76" spans="1:45" s="19" customFormat="1" ht="30" x14ac:dyDescent="0.3">
      <c r="A76" s="132"/>
      <c r="B76" s="160" t="s">
        <v>896</v>
      </c>
      <c r="C76" s="161" t="s">
        <v>743</v>
      </c>
      <c r="D76" s="161" t="s">
        <v>63</v>
      </c>
      <c r="E76" s="171" t="str">
        <f t="shared" si="4"/>
        <v>Serveis a les persones</v>
      </c>
      <c r="F76" s="162"/>
      <c r="G76" s="162"/>
      <c r="H76" s="163"/>
      <c r="I76" s="164"/>
      <c r="J76" s="163"/>
      <c r="K76" s="163"/>
      <c r="L76" s="163"/>
      <c r="M76" s="163"/>
      <c r="N76" s="163"/>
      <c r="O76" s="164"/>
      <c r="P76" s="164"/>
      <c r="Q76" s="164"/>
      <c r="R76" s="164"/>
      <c r="S76" s="164"/>
      <c r="T76" s="164"/>
      <c r="U76" s="164"/>
      <c r="V76" s="164"/>
      <c r="W76" s="164"/>
      <c r="X76" s="164"/>
      <c r="Y76" s="164"/>
      <c r="Z76" s="164"/>
      <c r="AA76" s="164"/>
      <c r="AB76" s="164"/>
      <c r="AC76" s="165"/>
      <c r="AD76" s="165"/>
      <c r="AE76" s="165"/>
      <c r="AF76" s="165"/>
      <c r="AG76" s="165"/>
      <c r="AH76" s="165"/>
      <c r="AI76" s="165"/>
      <c r="AJ76" s="165"/>
      <c r="AK76" s="165"/>
      <c r="AL76" s="165"/>
      <c r="AM76" s="165"/>
      <c r="AN76" s="165"/>
      <c r="AO76" s="165"/>
      <c r="AP76" s="166">
        <f t="shared" si="5"/>
        <v>0</v>
      </c>
      <c r="AQ76" s="164"/>
      <c r="AR76" s="167">
        <f>IF(B76="","",COUNTIF('Rel.Conjunts-Sistemes'!$B:$B,$B76))</f>
        <v>1</v>
      </c>
      <c r="AS76" s="167">
        <f>IF(B76="","",COUNTIF('Dominis de dades'!$B:$B,$D76))</f>
        <v>1</v>
      </c>
    </row>
    <row r="77" spans="1:45" s="19" customFormat="1" ht="30" x14ac:dyDescent="0.3">
      <c r="A77" s="132"/>
      <c r="B77" s="160" t="s">
        <v>897</v>
      </c>
      <c r="C77" s="161" t="s">
        <v>715</v>
      </c>
      <c r="D77" s="161" t="s">
        <v>138</v>
      </c>
      <c r="E77" s="171" t="str">
        <f t="shared" si="4"/>
        <v>Serveis a les persones</v>
      </c>
      <c r="F77" s="162"/>
      <c r="G77" s="162"/>
      <c r="H77" s="163"/>
      <c r="I77" s="164"/>
      <c r="J77" s="163"/>
      <c r="K77" s="163"/>
      <c r="L77" s="163"/>
      <c r="M77" s="163"/>
      <c r="N77" s="163"/>
      <c r="O77" s="164"/>
      <c r="P77" s="164"/>
      <c r="Q77" s="164"/>
      <c r="R77" s="164"/>
      <c r="S77" s="164"/>
      <c r="T77" s="164"/>
      <c r="U77" s="164"/>
      <c r="V77" s="164"/>
      <c r="W77" s="164"/>
      <c r="X77" s="164"/>
      <c r="Y77" s="164"/>
      <c r="Z77" s="164"/>
      <c r="AA77" s="164"/>
      <c r="AB77" s="164"/>
      <c r="AC77" s="165"/>
      <c r="AD77" s="165"/>
      <c r="AE77" s="165"/>
      <c r="AF77" s="165"/>
      <c r="AG77" s="165"/>
      <c r="AH77" s="165"/>
      <c r="AI77" s="165"/>
      <c r="AJ77" s="165"/>
      <c r="AK77" s="165"/>
      <c r="AL77" s="165"/>
      <c r="AM77" s="165"/>
      <c r="AN77" s="165"/>
      <c r="AO77" s="165"/>
      <c r="AP77" s="166">
        <f t="shared" si="5"/>
        <v>0</v>
      </c>
      <c r="AQ77" s="164"/>
      <c r="AR77" s="167">
        <f>IF(B77="","",COUNTIF('Rel.Conjunts-Sistemes'!$B:$B,$B77))</f>
        <v>1</v>
      </c>
      <c r="AS77" s="167">
        <f>IF(B77="","",COUNTIF('Dominis de dades'!$B:$B,$D77))</f>
        <v>1</v>
      </c>
    </row>
    <row r="78" spans="1:45" s="19" customFormat="1" ht="30" x14ac:dyDescent="0.3">
      <c r="A78" s="132"/>
      <c r="B78" s="160" t="s">
        <v>898</v>
      </c>
      <c r="C78" s="161" t="s">
        <v>717</v>
      </c>
      <c r="D78" s="161" t="s">
        <v>138</v>
      </c>
      <c r="E78" s="171" t="str">
        <f t="shared" si="4"/>
        <v>Serveis a les persones</v>
      </c>
      <c r="F78" s="162"/>
      <c r="G78" s="162"/>
      <c r="H78" s="163"/>
      <c r="I78" s="164"/>
      <c r="J78" s="163"/>
      <c r="K78" s="163"/>
      <c r="L78" s="163"/>
      <c r="M78" s="163"/>
      <c r="N78" s="163"/>
      <c r="O78" s="164"/>
      <c r="P78" s="164"/>
      <c r="Q78" s="164"/>
      <c r="R78" s="164"/>
      <c r="S78" s="164"/>
      <c r="T78" s="164"/>
      <c r="U78" s="164"/>
      <c r="V78" s="164"/>
      <c r="W78" s="164"/>
      <c r="X78" s="164"/>
      <c r="Y78" s="164"/>
      <c r="Z78" s="164"/>
      <c r="AA78" s="164"/>
      <c r="AB78" s="164"/>
      <c r="AC78" s="165"/>
      <c r="AD78" s="165"/>
      <c r="AE78" s="165"/>
      <c r="AF78" s="165"/>
      <c r="AG78" s="165"/>
      <c r="AH78" s="165"/>
      <c r="AI78" s="165"/>
      <c r="AJ78" s="165"/>
      <c r="AK78" s="165"/>
      <c r="AL78" s="165"/>
      <c r="AM78" s="165"/>
      <c r="AN78" s="165"/>
      <c r="AO78" s="165"/>
      <c r="AP78" s="166">
        <f t="shared" si="5"/>
        <v>0</v>
      </c>
      <c r="AQ78" s="164"/>
      <c r="AR78" s="167">
        <f>IF(B78="","",COUNTIF('Rel.Conjunts-Sistemes'!$B:$B,$B78))</f>
        <v>1</v>
      </c>
      <c r="AS78" s="167">
        <f>IF(B78="","",COUNTIF('Dominis de dades'!$B:$B,$D78))</f>
        <v>1</v>
      </c>
    </row>
    <row r="79" spans="1:45" s="19" customFormat="1" ht="30" x14ac:dyDescent="0.3">
      <c r="A79" s="132"/>
      <c r="B79" s="160" t="s">
        <v>899</v>
      </c>
      <c r="C79" s="161" t="s">
        <v>719</v>
      </c>
      <c r="D79" s="161" t="s">
        <v>85</v>
      </c>
      <c r="E79" s="171" t="str">
        <f t="shared" si="4"/>
        <v>Serveis a les persones</v>
      </c>
      <c r="F79" s="162"/>
      <c r="G79" s="162"/>
      <c r="H79" s="163"/>
      <c r="I79" s="164"/>
      <c r="J79" s="163"/>
      <c r="K79" s="163"/>
      <c r="L79" s="163"/>
      <c r="M79" s="163"/>
      <c r="N79" s="163"/>
      <c r="O79" s="164"/>
      <c r="P79" s="164"/>
      <c r="Q79" s="164"/>
      <c r="R79" s="164"/>
      <c r="S79" s="164"/>
      <c r="T79" s="164"/>
      <c r="U79" s="164"/>
      <c r="V79" s="164"/>
      <c r="W79" s="164"/>
      <c r="X79" s="164"/>
      <c r="Y79" s="164"/>
      <c r="Z79" s="164"/>
      <c r="AA79" s="164"/>
      <c r="AB79" s="164"/>
      <c r="AC79" s="165"/>
      <c r="AD79" s="165"/>
      <c r="AE79" s="165"/>
      <c r="AF79" s="165"/>
      <c r="AG79" s="165"/>
      <c r="AH79" s="165"/>
      <c r="AI79" s="165"/>
      <c r="AJ79" s="165"/>
      <c r="AK79" s="165"/>
      <c r="AL79" s="165"/>
      <c r="AM79" s="165"/>
      <c r="AN79" s="165"/>
      <c r="AO79" s="165"/>
      <c r="AP79" s="166">
        <f t="shared" si="5"/>
        <v>0</v>
      </c>
      <c r="AQ79" s="164"/>
      <c r="AR79" s="167">
        <f>IF(B79="","",COUNTIF('Rel.Conjunts-Sistemes'!$B:$B,$B79))</f>
        <v>0</v>
      </c>
      <c r="AS79" s="167">
        <f>IF(B79="","",COUNTIF('Dominis de dades'!$B:$B,$D79))</f>
        <v>1</v>
      </c>
    </row>
    <row r="80" spans="1:45" s="19" customFormat="1" ht="30" x14ac:dyDescent="0.3">
      <c r="A80" s="132"/>
      <c r="B80" s="160" t="s">
        <v>900</v>
      </c>
      <c r="C80" s="161" t="s">
        <v>789</v>
      </c>
      <c r="D80" s="161" t="s">
        <v>85</v>
      </c>
      <c r="E80" s="171" t="str">
        <f t="shared" si="4"/>
        <v>Serveis a les persones</v>
      </c>
      <c r="F80" s="162"/>
      <c r="G80" s="162"/>
      <c r="H80" s="163"/>
      <c r="I80" s="164"/>
      <c r="J80" s="163"/>
      <c r="K80" s="163"/>
      <c r="L80" s="163"/>
      <c r="M80" s="163"/>
      <c r="N80" s="163"/>
      <c r="O80" s="164"/>
      <c r="P80" s="164"/>
      <c r="Q80" s="164"/>
      <c r="R80" s="164"/>
      <c r="S80" s="164"/>
      <c r="T80" s="164"/>
      <c r="U80" s="164"/>
      <c r="V80" s="164"/>
      <c r="W80" s="164"/>
      <c r="X80" s="164"/>
      <c r="Y80" s="164"/>
      <c r="Z80" s="164"/>
      <c r="AA80" s="164"/>
      <c r="AB80" s="164"/>
      <c r="AC80" s="165"/>
      <c r="AD80" s="165"/>
      <c r="AE80" s="165"/>
      <c r="AF80" s="165"/>
      <c r="AG80" s="165"/>
      <c r="AH80" s="165"/>
      <c r="AI80" s="165"/>
      <c r="AJ80" s="165"/>
      <c r="AK80" s="165"/>
      <c r="AL80" s="165"/>
      <c r="AM80" s="165"/>
      <c r="AN80" s="165"/>
      <c r="AO80" s="165"/>
      <c r="AP80" s="166">
        <f t="shared" si="5"/>
        <v>0</v>
      </c>
      <c r="AQ80" s="164"/>
      <c r="AR80" s="167">
        <f>IF(B80="","",COUNTIF('Rel.Conjunts-Sistemes'!$B:$B,$B80))</f>
        <v>1</v>
      </c>
      <c r="AS80" s="167">
        <f>IF(B80="","",COUNTIF('Dominis de dades'!$B:$B,$D80))</f>
        <v>1</v>
      </c>
    </row>
    <row r="81" spans="1:45" s="19" customFormat="1" ht="30" x14ac:dyDescent="0.3">
      <c r="A81" s="132"/>
      <c r="B81" s="160" t="s">
        <v>901</v>
      </c>
      <c r="C81" s="161" t="s">
        <v>722</v>
      </c>
      <c r="D81" s="161" t="s">
        <v>67</v>
      </c>
      <c r="E81" s="171" t="str">
        <f t="shared" si="4"/>
        <v>Govern i administració</v>
      </c>
      <c r="F81" s="162"/>
      <c r="G81" s="162"/>
      <c r="H81" s="163"/>
      <c r="I81" s="164"/>
      <c r="J81" s="163"/>
      <c r="K81" s="163"/>
      <c r="L81" s="163"/>
      <c r="M81" s="163"/>
      <c r="N81" s="163"/>
      <c r="O81" s="164"/>
      <c r="P81" s="164"/>
      <c r="Q81" s="164"/>
      <c r="R81" s="164"/>
      <c r="S81" s="164"/>
      <c r="T81" s="164"/>
      <c r="U81" s="164"/>
      <c r="V81" s="164"/>
      <c r="W81" s="164"/>
      <c r="X81" s="164"/>
      <c r="Y81" s="164"/>
      <c r="Z81" s="164"/>
      <c r="AA81" s="164"/>
      <c r="AB81" s="164"/>
      <c r="AC81" s="165"/>
      <c r="AD81" s="165"/>
      <c r="AE81" s="165"/>
      <c r="AF81" s="165"/>
      <c r="AG81" s="165"/>
      <c r="AH81" s="165"/>
      <c r="AI81" s="165"/>
      <c r="AJ81" s="165"/>
      <c r="AK81" s="165"/>
      <c r="AL81" s="165"/>
      <c r="AM81" s="165"/>
      <c r="AN81" s="165"/>
      <c r="AO81" s="165"/>
      <c r="AP81" s="166">
        <f t="shared" si="5"/>
        <v>0</v>
      </c>
      <c r="AQ81" s="164"/>
      <c r="AR81" s="167">
        <f>IF(B81="","",COUNTIF('Rel.Conjunts-Sistemes'!$B:$B,$B81))</f>
        <v>1</v>
      </c>
      <c r="AS81" s="167">
        <f>IF(B81="","",COUNTIF('Dominis de dades'!$B:$B,$D81))</f>
        <v>1</v>
      </c>
    </row>
    <row r="82" spans="1:45" s="19" customFormat="1" ht="30" x14ac:dyDescent="0.3">
      <c r="A82" s="132"/>
      <c r="B82" s="160" t="s">
        <v>902</v>
      </c>
      <c r="C82" s="161" t="s">
        <v>724</v>
      </c>
      <c r="D82" s="161" t="s">
        <v>63</v>
      </c>
      <c r="E82" s="171" t="str">
        <f t="shared" si="4"/>
        <v>Serveis a les persones</v>
      </c>
      <c r="F82" s="162"/>
      <c r="G82" s="162"/>
      <c r="H82" s="163"/>
      <c r="I82" s="164"/>
      <c r="J82" s="163"/>
      <c r="K82" s="163"/>
      <c r="L82" s="163"/>
      <c r="M82" s="163"/>
      <c r="N82" s="163"/>
      <c r="O82" s="164"/>
      <c r="P82" s="164"/>
      <c r="Q82" s="164"/>
      <c r="R82" s="164"/>
      <c r="S82" s="164"/>
      <c r="T82" s="164"/>
      <c r="U82" s="164"/>
      <c r="V82" s="164"/>
      <c r="W82" s="164"/>
      <c r="X82" s="164"/>
      <c r="Y82" s="164"/>
      <c r="Z82" s="164"/>
      <c r="AA82" s="164"/>
      <c r="AB82" s="164"/>
      <c r="AC82" s="165"/>
      <c r="AD82" s="165"/>
      <c r="AE82" s="165"/>
      <c r="AF82" s="165"/>
      <c r="AG82" s="165"/>
      <c r="AH82" s="165"/>
      <c r="AI82" s="165"/>
      <c r="AJ82" s="165"/>
      <c r="AK82" s="165"/>
      <c r="AL82" s="165"/>
      <c r="AM82" s="165"/>
      <c r="AN82" s="165"/>
      <c r="AO82" s="165"/>
      <c r="AP82" s="166">
        <f t="shared" si="5"/>
        <v>0</v>
      </c>
      <c r="AQ82" s="164"/>
      <c r="AR82" s="167">
        <f>IF(B82="","",COUNTIF('Rel.Conjunts-Sistemes'!$B:$B,$B82))</f>
        <v>1</v>
      </c>
      <c r="AS82" s="167">
        <f>IF(B82="","",COUNTIF('Dominis de dades'!$B:$B,$D82))</f>
        <v>1</v>
      </c>
    </row>
    <row r="83" spans="1:45" s="19" customFormat="1" ht="30" x14ac:dyDescent="0.3">
      <c r="A83" s="132"/>
      <c r="B83" s="160" t="s">
        <v>903</v>
      </c>
      <c r="C83" s="161" t="s">
        <v>726</v>
      </c>
      <c r="D83" s="161" t="s">
        <v>63</v>
      </c>
      <c r="E83" s="171" t="str">
        <f t="shared" si="4"/>
        <v>Serveis a les persones</v>
      </c>
      <c r="F83" s="162"/>
      <c r="G83" s="162"/>
      <c r="H83" s="163"/>
      <c r="I83" s="164"/>
      <c r="J83" s="163"/>
      <c r="K83" s="163"/>
      <c r="L83" s="163"/>
      <c r="M83" s="163"/>
      <c r="N83" s="163"/>
      <c r="O83" s="164"/>
      <c r="P83" s="164"/>
      <c r="Q83" s="164"/>
      <c r="R83" s="164"/>
      <c r="S83" s="164"/>
      <c r="T83" s="164"/>
      <c r="U83" s="164"/>
      <c r="V83" s="164"/>
      <c r="W83" s="164"/>
      <c r="X83" s="164"/>
      <c r="Y83" s="164"/>
      <c r="Z83" s="164"/>
      <c r="AA83" s="164"/>
      <c r="AB83" s="164"/>
      <c r="AC83" s="165"/>
      <c r="AD83" s="165"/>
      <c r="AE83" s="165"/>
      <c r="AF83" s="165"/>
      <c r="AG83" s="165"/>
      <c r="AH83" s="165"/>
      <c r="AI83" s="165"/>
      <c r="AJ83" s="165"/>
      <c r="AK83" s="165"/>
      <c r="AL83" s="165"/>
      <c r="AM83" s="165"/>
      <c r="AN83" s="165"/>
      <c r="AO83" s="165"/>
      <c r="AP83" s="166">
        <f t="shared" si="5"/>
        <v>0</v>
      </c>
      <c r="AQ83" s="164"/>
      <c r="AR83" s="167">
        <f>IF(B83="","",COUNTIF('Rel.Conjunts-Sistemes'!$B:$B,$B83))</f>
        <v>1</v>
      </c>
      <c r="AS83" s="167">
        <f>IF(B83="","",COUNTIF('Dominis de dades'!$B:$B,$D83))</f>
        <v>1</v>
      </c>
    </row>
    <row r="84" spans="1:45" s="19" customFormat="1" ht="30" x14ac:dyDescent="0.3">
      <c r="A84" s="132"/>
      <c r="B84" s="160" t="s">
        <v>904</v>
      </c>
      <c r="C84" s="161" t="s">
        <v>728</v>
      </c>
      <c r="D84" s="161" t="s">
        <v>63</v>
      </c>
      <c r="E84" s="171" t="str">
        <f t="shared" si="4"/>
        <v>Serveis a les persones</v>
      </c>
      <c r="F84" s="162"/>
      <c r="G84" s="162"/>
      <c r="H84" s="163"/>
      <c r="I84" s="164"/>
      <c r="J84" s="163"/>
      <c r="K84" s="163"/>
      <c r="L84" s="163"/>
      <c r="M84" s="163"/>
      <c r="N84" s="163"/>
      <c r="O84" s="164"/>
      <c r="P84" s="164"/>
      <c r="Q84" s="164"/>
      <c r="R84" s="164"/>
      <c r="S84" s="164"/>
      <c r="T84" s="164"/>
      <c r="U84" s="164"/>
      <c r="V84" s="164"/>
      <c r="W84" s="164"/>
      <c r="X84" s="164"/>
      <c r="Y84" s="164"/>
      <c r="Z84" s="164"/>
      <c r="AA84" s="164"/>
      <c r="AB84" s="164"/>
      <c r="AC84" s="165"/>
      <c r="AD84" s="165"/>
      <c r="AE84" s="165"/>
      <c r="AF84" s="165"/>
      <c r="AG84" s="165"/>
      <c r="AH84" s="165"/>
      <c r="AI84" s="165"/>
      <c r="AJ84" s="165"/>
      <c r="AK84" s="165"/>
      <c r="AL84" s="165"/>
      <c r="AM84" s="165"/>
      <c r="AN84" s="165"/>
      <c r="AO84" s="165"/>
      <c r="AP84" s="166">
        <f t="shared" si="5"/>
        <v>0</v>
      </c>
      <c r="AQ84" s="164"/>
      <c r="AR84" s="167">
        <f>IF(B84="","",COUNTIF('Rel.Conjunts-Sistemes'!$B:$B,$B84))</f>
        <v>1</v>
      </c>
      <c r="AS84" s="167">
        <f>IF(B84="","",COUNTIF('Dominis de dades'!$B:$B,$D84))</f>
        <v>1</v>
      </c>
    </row>
    <row r="85" spans="1:45" s="19" customFormat="1" ht="30" x14ac:dyDescent="0.3">
      <c r="A85" s="132"/>
      <c r="B85" s="160" t="s">
        <v>905</v>
      </c>
      <c r="C85" s="161" t="s">
        <v>730</v>
      </c>
      <c r="D85" s="161" t="s">
        <v>63</v>
      </c>
      <c r="E85" s="171" t="str">
        <f t="shared" si="4"/>
        <v>Serveis a les persones</v>
      </c>
      <c r="F85" s="162"/>
      <c r="G85" s="162"/>
      <c r="H85" s="163"/>
      <c r="I85" s="164"/>
      <c r="J85" s="163"/>
      <c r="K85" s="163"/>
      <c r="L85" s="163"/>
      <c r="M85" s="163"/>
      <c r="N85" s="163"/>
      <c r="O85" s="164"/>
      <c r="P85" s="164"/>
      <c r="Q85" s="164"/>
      <c r="R85" s="164"/>
      <c r="S85" s="164"/>
      <c r="T85" s="164"/>
      <c r="U85" s="164"/>
      <c r="V85" s="164"/>
      <c r="W85" s="164"/>
      <c r="X85" s="164"/>
      <c r="Y85" s="164"/>
      <c r="Z85" s="164"/>
      <c r="AA85" s="164"/>
      <c r="AB85" s="164"/>
      <c r="AC85" s="165"/>
      <c r="AD85" s="165"/>
      <c r="AE85" s="165"/>
      <c r="AF85" s="165"/>
      <c r="AG85" s="165"/>
      <c r="AH85" s="165"/>
      <c r="AI85" s="165"/>
      <c r="AJ85" s="165"/>
      <c r="AK85" s="165"/>
      <c r="AL85" s="165"/>
      <c r="AM85" s="165"/>
      <c r="AN85" s="165"/>
      <c r="AO85" s="165"/>
      <c r="AP85" s="166">
        <f t="shared" si="5"/>
        <v>0</v>
      </c>
      <c r="AQ85" s="164"/>
      <c r="AR85" s="167">
        <f>IF(B85="","",COUNTIF('Rel.Conjunts-Sistemes'!$B:$B,$B85))</f>
        <v>1</v>
      </c>
      <c r="AS85" s="167">
        <f>IF(B85="","",COUNTIF('Dominis de dades'!$B:$B,$D85))</f>
        <v>1</v>
      </c>
    </row>
    <row r="86" spans="1:45" s="19" customFormat="1" ht="30" x14ac:dyDescent="0.3">
      <c r="A86" s="132"/>
      <c r="B86" s="160" t="s">
        <v>865</v>
      </c>
      <c r="C86" s="161" t="s">
        <v>791</v>
      </c>
      <c r="D86" s="161" t="s">
        <v>63</v>
      </c>
      <c r="E86" s="171" t="str">
        <f t="shared" si="4"/>
        <v>Serveis a les persones</v>
      </c>
      <c r="F86" s="162"/>
      <c r="G86" s="162"/>
      <c r="H86" s="163"/>
      <c r="I86" s="164"/>
      <c r="J86" s="163"/>
      <c r="K86" s="163"/>
      <c r="L86" s="163"/>
      <c r="M86" s="163"/>
      <c r="N86" s="163"/>
      <c r="O86" s="164"/>
      <c r="P86" s="164"/>
      <c r="Q86" s="164"/>
      <c r="R86" s="164"/>
      <c r="S86" s="164"/>
      <c r="T86" s="164"/>
      <c r="U86" s="164"/>
      <c r="V86" s="164"/>
      <c r="W86" s="164"/>
      <c r="X86" s="164"/>
      <c r="Y86" s="164"/>
      <c r="Z86" s="164"/>
      <c r="AA86" s="164"/>
      <c r="AB86" s="164"/>
      <c r="AC86" s="165"/>
      <c r="AD86" s="165"/>
      <c r="AE86" s="165"/>
      <c r="AF86" s="165"/>
      <c r="AG86" s="165"/>
      <c r="AH86" s="165"/>
      <c r="AI86" s="165"/>
      <c r="AJ86" s="165"/>
      <c r="AK86" s="165"/>
      <c r="AL86" s="165"/>
      <c r="AM86" s="165"/>
      <c r="AN86" s="165"/>
      <c r="AO86" s="165"/>
      <c r="AP86" s="166">
        <f t="shared" si="5"/>
        <v>0</v>
      </c>
      <c r="AQ86" s="164"/>
      <c r="AR86" s="167">
        <f>IF(B86="","",COUNTIF('Rel.Conjunts-Sistemes'!$B:$B,$B86))</f>
        <v>1</v>
      </c>
      <c r="AS86" s="167">
        <f>IF(B86="","",COUNTIF('Dominis de dades'!$B:$B,$D86))</f>
        <v>1</v>
      </c>
    </row>
    <row r="87" spans="1:45" s="19" customFormat="1" ht="30" x14ac:dyDescent="0.3">
      <c r="A87" s="132"/>
      <c r="B87" s="160" t="s">
        <v>906</v>
      </c>
      <c r="C87" s="161" t="s">
        <v>751</v>
      </c>
      <c r="D87" s="161" t="s">
        <v>63</v>
      </c>
      <c r="E87" s="171" t="str">
        <f t="shared" si="4"/>
        <v>Serveis a les persones</v>
      </c>
      <c r="F87" s="162"/>
      <c r="G87" s="162"/>
      <c r="H87" s="163"/>
      <c r="I87" s="164"/>
      <c r="J87" s="163"/>
      <c r="K87" s="163"/>
      <c r="L87" s="163"/>
      <c r="M87" s="163"/>
      <c r="N87" s="163"/>
      <c r="O87" s="164"/>
      <c r="P87" s="164"/>
      <c r="Q87" s="164"/>
      <c r="R87" s="164"/>
      <c r="S87" s="164"/>
      <c r="T87" s="164"/>
      <c r="U87" s="164"/>
      <c r="V87" s="164"/>
      <c r="W87" s="164"/>
      <c r="X87" s="164"/>
      <c r="Y87" s="164"/>
      <c r="Z87" s="164"/>
      <c r="AA87" s="164"/>
      <c r="AB87" s="164"/>
      <c r="AC87" s="165"/>
      <c r="AD87" s="165"/>
      <c r="AE87" s="165"/>
      <c r="AF87" s="165"/>
      <c r="AG87" s="165"/>
      <c r="AH87" s="165"/>
      <c r="AI87" s="165"/>
      <c r="AJ87" s="165"/>
      <c r="AK87" s="165"/>
      <c r="AL87" s="165"/>
      <c r="AM87" s="165"/>
      <c r="AN87" s="165"/>
      <c r="AO87" s="165"/>
      <c r="AP87" s="166">
        <f t="shared" si="5"/>
        <v>0</v>
      </c>
      <c r="AQ87" s="164"/>
      <c r="AR87" s="167">
        <f>IF(B87="","",COUNTIF('Rel.Conjunts-Sistemes'!$B:$B,$B87))</f>
        <v>1</v>
      </c>
      <c r="AS87" s="167">
        <f>IF(B87="","",COUNTIF('Dominis de dades'!$B:$B,$D87))</f>
        <v>1</v>
      </c>
    </row>
    <row r="88" spans="1:45" s="19" customFormat="1" ht="30" x14ac:dyDescent="0.3">
      <c r="A88" s="132"/>
      <c r="B88" s="160" t="s">
        <v>907</v>
      </c>
      <c r="C88" s="161" t="s">
        <v>734</v>
      </c>
      <c r="D88" s="161" t="s">
        <v>129</v>
      </c>
      <c r="E88" s="171" t="str">
        <f t="shared" si="4"/>
        <v>Serveis a les persones</v>
      </c>
      <c r="F88" s="162"/>
      <c r="G88" s="162"/>
      <c r="H88" s="163"/>
      <c r="I88" s="164"/>
      <c r="J88" s="163"/>
      <c r="K88" s="163"/>
      <c r="L88" s="163"/>
      <c r="M88" s="163"/>
      <c r="N88" s="163"/>
      <c r="O88" s="164"/>
      <c r="P88" s="164"/>
      <c r="Q88" s="164"/>
      <c r="R88" s="164"/>
      <c r="S88" s="164"/>
      <c r="T88" s="164"/>
      <c r="U88" s="164"/>
      <c r="V88" s="164"/>
      <c r="W88" s="164"/>
      <c r="X88" s="164"/>
      <c r="Y88" s="164"/>
      <c r="Z88" s="164"/>
      <c r="AA88" s="164"/>
      <c r="AB88" s="164"/>
      <c r="AC88" s="165"/>
      <c r="AD88" s="165"/>
      <c r="AE88" s="165"/>
      <c r="AF88" s="165"/>
      <c r="AG88" s="165"/>
      <c r="AH88" s="165"/>
      <c r="AI88" s="165"/>
      <c r="AJ88" s="165"/>
      <c r="AK88" s="165"/>
      <c r="AL88" s="165"/>
      <c r="AM88" s="165"/>
      <c r="AN88" s="165"/>
      <c r="AO88" s="165"/>
      <c r="AP88" s="166">
        <f t="shared" si="5"/>
        <v>0</v>
      </c>
      <c r="AQ88" s="164"/>
      <c r="AR88" s="167">
        <f>IF(B88="","",COUNTIF('Rel.Conjunts-Sistemes'!$B:$B,$B88))</f>
        <v>1</v>
      </c>
      <c r="AS88" s="167">
        <f>IF(B88="","",COUNTIF('Dominis de dades'!$B:$B,$D88))</f>
        <v>1</v>
      </c>
    </row>
    <row r="89" spans="1:45" s="19" customFormat="1" ht="30" x14ac:dyDescent="0.3">
      <c r="A89" s="132"/>
      <c r="B89" s="160" t="s">
        <v>908</v>
      </c>
      <c r="C89" s="161" t="s">
        <v>736</v>
      </c>
      <c r="D89" s="161" t="s">
        <v>129</v>
      </c>
      <c r="E89" s="171" t="str">
        <f t="shared" si="4"/>
        <v>Serveis a les persones</v>
      </c>
      <c r="F89" s="162"/>
      <c r="G89" s="162"/>
      <c r="H89" s="163"/>
      <c r="I89" s="164"/>
      <c r="J89" s="163"/>
      <c r="K89" s="163"/>
      <c r="L89" s="163"/>
      <c r="M89" s="163"/>
      <c r="N89" s="163"/>
      <c r="O89" s="164"/>
      <c r="P89" s="164"/>
      <c r="Q89" s="164"/>
      <c r="R89" s="164"/>
      <c r="S89" s="164"/>
      <c r="T89" s="164"/>
      <c r="U89" s="164"/>
      <c r="V89" s="164"/>
      <c r="W89" s="164"/>
      <c r="X89" s="164"/>
      <c r="Y89" s="164"/>
      <c r="Z89" s="164"/>
      <c r="AA89" s="164"/>
      <c r="AB89" s="164"/>
      <c r="AC89" s="165"/>
      <c r="AD89" s="165"/>
      <c r="AE89" s="165"/>
      <c r="AF89" s="165"/>
      <c r="AG89" s="165"/>
      <c r="AH89" s="165"/>
      <c r="AI89" s="165"/>
      <c r="AJ89" s="165"/>
      <c r="AK89" s="165"/>
      <c r="AL89" s="165"/>
      <c r="AM89" s="165"/>
      <c r="AN89" s="165"/>
      <c r="AO89" s="165"/>
      <c r="AP89" s="166">
        <f t="shared" si="5"/>
        <v>0</v>
      </c>
      <c r="AQ89" s="164"/>
      <c r="AR89" s="167">
        <f>IF(B89="","",COUNTIF('Rel.Conjunts-Sistemes'!$B:$B,$B89))</f>
        <v>0</v>
      </c>
      <c r="AS89" s="167">
        <f>IF(B89="","",COUNTIF('Dominis de dades'!$B:$B,$D89))</f>
        <v>1</v>
      </c>
    </row>
    <row r="90" spans="1:45" s="19" customFormat="1" ht="41.4" x14ac:dyDescent="0.3">
      <c r="A90" s="132"/>
      <c r="B90" s="160" t="s">
        <v>909</v>
      </c>
      <c r="C90" s="161" t="s">
        <v>774</v>
      </c>
      <c r="D90" s="161" t="s">
        <v>59</v>
      </c>
      <c r="E90" s="171" t="str">
        <f t="shared" si="4"/>
        <v>Gestió de l'espai públic i serveis al territori</v>
      </c>
      <c r="F90" s="162"/>
      <c r="G90" s="162"/>
      <c r="H90" s="163"/>
      <c r="I90" s="164"/>
      <c r="J90" s="163"/>
      <c r="K90" s="163"/>
      <c r="L90" s="163"/>
      <c r="M90" s="163"/>
      <c r="N90" s="163"/>
      <c r="O90" s="164"/>
      <c r="P90" s="164"/>
      <c r="Q90" s="164"/>
      <c r="R90" s="164"/>
      <c r="S90" s="164"/>
      <c r="T90" s="164"/>
      <c r="U90" s="164"/>
      <c r="V90" s="164"/>
      <c r="W90" s="164"/>
      <c r="X90" s="164"/>
      <c r="Y90" s="164"/>
      <c r="Z90" s="164"/>
      <c r="AA90" s="164"/>
      <c r="AB90" s="164"/>
      <c r="AC90" s="165"/>
      <c r="AD90" s="165"/>
      <c r="AE90" s="165"/>
      <c r="AF90" s="165"/>
      <c r="AG90" s="165"/>
      <c r="AH90" s="165"/>
      <c r="AI90" s="165"/>
      <c r="AJ90" s="165"/>
      <c r="AK90" s="165"/>
      <c r="AL90" s="165"/>
      <c r="AM90" s="165"/>
      <c r="AN90" s="165"/>
      <c r="AO90" s="165"/>
      <c r="AP90" s="166">
        <f t="shared" si="5"/>
        <v>0</v>
      </c>
      <c r="AQ90" s="164"/>
      <c r="AR90" s="167">
        <f>IF(B90="","",COUNTIF('Rel.Conjunts-Sistemes'!$B:$B,$B90))</f>
        <v>1</v>
      </c>
      <c r="AS90" s="167">
        <f>IF(B90="","",COUNTIF('Dominis de dades'!$B:$B,$D90))</f>
        <v>1</v>
      </c>
    </row>
    <row r="91" spans="1:45" s="19" customFormat="1" ht="30" x14ac:dyDescent="0.3">
      <c r="A91" s="132"/>
      <c r="B91" s="160" t="s">
        <v>910</v>
      </c>
      <c r="C91" s="161" t="s">
        <v>745</v>
      </c>
      <c r="D91" s="161" t="s">
        <v>843</v>
      </c>
      <c r="E91" s="171" t="str">
        <f t="shared" si="4"/>
        <v>Serveis a les persones</v>
      </c>
      <c r="F91" s="162"/>
      <c r="G91" s="162"/>
      <c r="H91" s="163"/>
      <c r="I91" s="164"/>
      <c r="J91" s="163"/>
      <c r="K91" s="163"/>
      <c r="L91" s="163"/>
      <c r="M91" s="163"/>
      <c r="N91" s="163"/>
      <c r="O91" s="164"/>
      <c r="P91" s="164"/>
      <c r="Q91" s="164"/>
      <c r="R91" s="164"/>
      <c r="S91" s="164"/>
      <c r="T91" s="164"/>
      <c r="U91" s="164"/>
      <c r="V91" s="164"/>
      <c r="W91" s="164"/>
      <c r="X91" s="164"/>
      <c r="Y91" s="164"/>
      <c r="Z91" s="164"/>
      <c r="AA91" s="164"/>
      <c r="AB91" s="164"/>
      <c r="AC91" s="165"/>
      <c r="AD91" s="165"/>
      <c r="AE91" s="165"/>
      <c r="AF91" s="165"/>
      <c r="AG91" s="165"/>
      <c r="AH91" s="165"/>
      <c r="AI91" s="165"/>
      <c r="AJ91" s="165"/>
      <c r="AK91" s="165"/>
      <c r="AL91" s="165"/>
      <c r="AM91" s="165"/>
      <c r="AN91" s="165"/>
      <c r="AO91" s="165"/>
      <c r="AP91" s="166">
        <f t="shared" si="5"/>
        <v>0</v>
      </c>
      <c r="AQ91" s="164"/>
      <c r="AR91" s="167">
        <f>IF(B91="","",COUNTIF('Rel.Conjunts-Sistemes'!$B:$B,$B91))</f>
        <v>1</v>
      </c>
      <c r="AS91" s="167">
        <f>IF(B91="","",COUNTIF('Dominis de dades'!$B:$B,$D91))</f>
        <v>1</v>
      </c>
    </row>
    <row r="92" spans="1:45" s="19" customFormat="1" ht="30" x14ac:dyDescent="0.3">
      <c r="A92" s="132"/>
      <c r="B92" s="160" t="s">
        <v>911</v>
      </c>
      <c r="C92" s="161" t="s">
        <v>747</v>
      </c>
      <c r="D92" s="161" t="s">
        <v>843</v>
      </c>
      <c r="E92" s="171" t="str">
        <f t="shared" si="4"/>
        <v>Serveis a les persones</v>
      </c>
      <c r="F92" s="162"/>
      <c r="G92" s="162"/>
      <c r="H92" s="163"/>
      <c r="I92" s="164"/>
      <c r="J92" s="163"/>
      <c r="K92" s="163"/>
      <c r="L92" s="163"/>
      <c r="M92" s="163"/>
      <c r="N92" s="163"/>
      <c r="O92" s="164"/>
      <c r="P92" s="164"/>
      <c r="Q92" s="164"/>
      <c r="R92" s="164"/>
      <c r="S92" s="164"/>
      <c r="T92" s="164"/>
      <c r="U92" s="164"/>
      <c r="V92" s="164"/>
      <c r="W92" s="164"/>
      <c r="X92" s="164"/>
      <c r="Y92" s="164"/>
      <c r="Z92" s="164"/>
      <c r="AA92" s="164"/>
      <c r="AB92" s="164"/>
      <c r="AC92" s="165"/>
      <c r="AD92" s="165"/>
      <c r="AE92" s="165"/>
      <c r="AF92" s="165"/>
      <c r="AG92" s="165"/>
      <c r="AH92" s="165"/>
      <c r="AI92" s="165"/>
      <c r="AJ92" s="165"/>
      <c r="AK92" s="165"/>
      <c r="AL92" s="165"/>
      <c r="AM92" s="165"/>
      <c r="AN92" s="165"/>
      <c r="AO92" s="165"/>
      <c r="AP92" s="166">
        <f t="shared" si="5"/>
        <v>0</v>
      </c>
      <c r="AQ92" s="164"/>
      <c r="AR92" s="167">
        <f>IF(B92="","",COUNTIF('Rel.Conjunts-Sistemes'!$B:$B,$B92))</f>
        <v>1</v>
      </c>
      <c r="AS92" s="167">
        <f>IF(B92="","",COUNTIF('Dominis de dades'!$B:$B,$D92))</f>
        <v>1</v>
      </c>
    </row>
    <row r="93" spans="1:45" s="19" customFormat="1" ht="30" x14ac:dyDescent="0.3">
      <c r="A93" s="132"/>
      <c r="B93" s="160" t="s">
        <v>912</v>
      </c>
      <c r="C93" s="161" t="s">
        <v>749</v>
      </c>
      <c r="D93" s="161" t="s">
        <v>843</v>
      </c>
      <c r="E93" s="171" t="str">
        <f t="shared" si="4"/>
        <v>Serveis a les persones</v>
      </c>
      <c r="F93" s="162"/>
      <c r="G93" s="162"/>
      <c r="H93" s="163"/>
      <c r="I93" s="164"/>
      <c r="J93" s="163"/>
      <c r="K93" s="163"/>
      <c r="L93" s="163"/>
      <c r="M93" s="163"/>
      <c r="N93" s="163"/>
      <c r="O93" s="164"/>
      <c r="P93" s="164"/>
      <c r="Q93" s="164"/>
      <c r="R93" s="164"/>
      <c r="S93" s="164"/>
      <c r="T93" s="164"/>
      <c r="U93" s="164"/>
      <c r="V93" s="164"/>
      <c r="W93" s="164"/>
      <c r="X93" s="164"/>
      <c r="Y93" s="164"/>
      <c r="Z93" s="164"/>
      <c r="AA93" s="164"/>
      <c r="AB93" s="164"/>
      <c r="AC93" s="165"/>
      <c r="AD93" s="165"/>
      <c r="AE93" s="165"/>
      <c r="AF93" s="165"/>
      <c r="AG93" s="165"/>
      <c r="AH93" s="165"/>
      <c r="AI93" s="165"/>
      <c r="AJ93" s="165"/>
      <c r="AK93" s="165"/>
      <c r="AL93" s="165"/>
      <c r="AM93" s="165"/>
      <c r="AN93" s="165"/>
      <c r="AO93" s="165"/>
      <c r="AP93" s="166">
        <f t="shared" si="5"/>
        <v>0</v>
      </c>
      <c r="AQ93" s="164"/>
      <c r="AR93" s="167">
        <f>IF(B93="","",COUNTIF('Rel.Conjunts-Sistemes'!$B:$B,$B93))</f>
        <v>0</v>
      </c>
      <c r="AS93" s="167">
        <f>IF(B93="","",COUNTIF('Dominis de dades'!$B:$B,$D93))</f>
        <v>1</v>
      </c>
    </row>
    <row r="94" spans="1:45" s="19" customFormat="1" ht="41.4" x14ac:dyDescent="0.3">
      <c r="A94" s="132"/>
      <c r="B94" s="160" t="s">
        <v>913</v>
      </c>
      <c r="C94" s="161" t="s">
        <v>753</v>
      </c>
      <c r="D94" s="161" t="s">
        <v>520</v>
      </c>
      <c r="E94" s="171" t="str">
        <f t="shared" si="4"/>
        <v>Gestió de l'espai públic i serveis al territori</v>
      </c>
      <c r="F94" s="162"/>
      <c r="G94" s="162"/>
      <c r="H94" s="163"/>
      <c r="I94" s="164"/>
      <c r="J94" s="163"/>
      <c r="K94" s="163"/>
      <c r="L94" s="163"/>
      <c r="M94" s="163"/>
      <c r="N94" s="163"/>
      <c r="O94" s="164"/>
      <c r="P94" s="164"/>
      <c r="Q94" s="164"/>
      <c r="R94" s="164"/>
      <c r="S94" s="164"/>
      <c r="T94" s="164"/>
      <c r="U94" s="164"/>
      <c r="V94" s="164"/>
      <c r="W94" s="164"/>
      <c r="X94" s="164"/>
      <c r="Y94" s="164"/>
      <c r="Z94" s="164"/>
      <c r="AA94" s="164"/>
      <c r="AB94" s="164"/>
      <c r="AC94" s="165"/>
      <c r="AD94" s="165"/>
      <c r="AE94" s="165"/>
      <c r="AF94" s="165"/>
      <c r="AG94" s="165"/>
      <c r="AH94" s="165"/>
      <c r="AI94" s="165"/>
      <c r="AJ94" s="165"/>
      <c r="AK94" s="165"/>
      <c r="AL94" s="165"/>
      <c r="AM94" s="165"/>
      <c r="AN94" s="165"/>
      <c r="AO94" s="165"/>
      <c r="AP94" s="166">
        <f t="shared" si="5"/>
        <v>0</v>
      </c>
      <c r="AQ94" s="164"/>
      <c r="AR94" s="167">
        <f>IF(B94="","",COUNTIF('Rel.Conjunts-Sistemes'!$B:$B,$B94))</f>
        <v>1</v>
      </c>
      <c r="AS94" s="167">
        <f>IF(B94="","",COUNTIF('Dominis de dades'!$B:$B,$D94))</f>
        <v>1</v>
      </c>
    </row>
    <row r="95" spans="1:45" s="19" customFormat="1" ht="45" x14ac:dyDescent="0.3">
      <c r="A95" s="132"/>
      <c r="B95" s="160" t="s">
        <v>914</v>
      </c>
      <c r="C95" s="161" t="s">
        <v>918</v>
      </c>
      <c r="D95" s="161" t="s">
        <v>520</v>
      </c>
      <c r="E95" s="171" t="str">
        <f t="shared" si="4"/>
        <v>Gestió de l'espai públic i serveis al territori</v>
      </c>
      <c r="F95" s="162"/>
      <c r="G95" s="162"/>
      <c r="H95" s="163"/>
      <c r="I95" s="164"/>
      <c r="J95" s="163"/>
      <c r="K95" s="163"/>
      <c r="L95" s="163"/>
      <c r="M95" s="163"/>
      <c r="N95" s="163"/>
      <c r="O95" s="164"/>
      <c r="P95" s="164"/>
      <c r="Q95" s="164"/>
      <c r="R95" s="164"/>
      <c r="S95" s="164"/>
      <c r="T95" s="164"/>
      <c r="U95" s="164"/>
      <c r="V95" s="164"/>
      <c r="W95" s="164"/>
      <c r="X95" s="164"/>
      <c r="Y95" s="164"/>
      <c r="Z95" s="164"/>
      <c r="AA95" s="164"/>
      <c r="AB95" s="164"/>
      <c r="AC95" s="165"/>
      <c r="AD95" s="165"/>
      <c r="AE95" s="165"/>
      <c r="AF95" s="165"/>
      <c r="AG95" s="165"/>
      <c r="AH95" s="165"/>
      <c r="AI95" s="165"/>
      <c r="AJ95" s="165"/>
      <c r="AK95" s="165"/>
      <c r="AL95" s="165"/>
      <c r="AM95" s="165"/>
      <c r="AN95" s="165"/>
      <c r="AO95" s="165"/>
      <c r="AP95" s="166">
        <f t="shared" si="5"/>
        <v>0</v>
      </c>
      <c r="AQ95" s="164"/>
      <c r="AR95" s="167">
        <f>IF(B95="","",COUNTIF('Rel.Conjunts-Sistemes'!$B:$B,$B95))</f>
        <v>1</v>
      </c>
      <c r="AS95" s="167">
        <f>IF(B95="","",COUNTIF('Dominis de dades'!$B:$B,$D95))</f>
        <v>1</v>
      </c>
    </row>
    <row r="96" spans="1:45" s="19" customFormat="1" ht="41.4" x14ac:dyDescent="0.3">
      <c r="A96" s="132"/>
      <c r="B96" s="160" t="s">
        <v>915</v>
      </c>
      <c r="C96" s="161" t="s">
        <v>756</v>
      </c>
      <c r="D96" s="161" t="s">
        <v>520</v>
      </c>
      <c r="E96" s="171" t="str">
        <f t="shared" si="4"/>
        <v>Gestió de l'espai públic i serveis al territori</v>
      </c>
      <c r="F96" s="162"/>
      <c r="G96" s="162"/>
      <c r="H96" s="163"/>
      <c r="I96" s="164"/>
      <c r="J96" s="163"/>
      <c r="K96" s="163"/>
      <c r="L96" s="163"/>
      <c r="M96" s="163"/>
      <c r="N96" s="163"/>
      <c r="O96" s="164"/>
      <c r="P96" s="164"/>
      <c r="Q96" s="164"/>
      <c r="R96" s="164"/>
      <c r="S96" s="164"/>
      <c r="T96" s="164"/>
      <c r="U96" s="164"/>
      <c r="V96" s="164"/>
      <c r="W96" s="164"/>
      <c r="X96" s="164"/>
      <c r="Y96" s="164"/>
      <c r="Z96" s="164"/>
      <c r="AA96" s="164"/>
      <c r="AB96" s="164"/>
      <c r="AC96" s="165"/>
      <c r="AD96" s="165"/>
      <c r="AE96" s="165"/>
      <c r="AF96" s="165"/>
      <c r="AG96" s="165"/>
      <c r="AH96" s="165"/>
      <c r="AI96" s="165"/>
      <c r="AJ96" s="165"/>
      <c r="AK96" s="165"/>
      <c r="AL96" s="165"/>
      <c r="AM96" s="165"/>
      <c r="AN96" s="165"/>
      <c r="AO96" s="165"/>
      <c r="AP96" s="166">
        <f t="shared" si="5"/>
        <v>0</v>
      </c>
      <c r="AQ96" s="164"/>
      <c r="AR96" s="167">
        <f>IF(B96="","",COUNTIF('Rel.Conjunts-Sistemes'!$B:$B,$B96))</f>
        <v>1</v>
      </c>
      <c r="AS96" s="167">
        <f>IF(B96="","",COUNTIF('Dominis de dades'!$B:$B,$D96))</f>
        <v>1</v>
      </c>
    </row>
    <row r="97" spans="1:45" s="19" customFormat="1" ht="41.4" x14ac:dyDescent="0.3">
      <c r="A97" s="132"/>
      <c r="B97" s="160" t="s">
        <v>916</v>
      </c>
      <c r="C97" s="161" t="s">
        <v>758</v>
      </c>
      <c r="D97" s="161" t="s">
        <v>520</v>
      </c>
      <c r="E97" s="171" t="str">
        <f t="shared" si="4"/>
        <v>Gestió de l'espai públic i serveis al territori</v>
      </c>
      <c r="F97" s="162"/>
      <c r="G97" s="162"/>
      <c r="H97" s="163"/>
      <c r="I97" s="164"/>
      <c r="J97" s="163"/>
      <c r="K97" s="163"/>
      <c r="L97" s="163"/>
      <c r="M97" s="163"/>
      <c r="N97" s="163"/>
      <c r="O97" s="164"/>
      <c r="P97" s="164"/>
      <c r="Q97" s="164"/>
      <c r="R97" s="164"/>
      <c r="S97" s="164"/>
      <c r="T97" s="164"/>
      <c r="U97" s="164"/>
      <c r="V97" s="164"/>
      <c r="W97" s="164"/>
      <c r="X97" s="164"/>
      <c r="Y97" s="164"/>
      <c r="Z97" s="164"/>
      <c r="AA97" s="164"/>
      <c r="AB97" s="164"/>
      <c r="AC97" s="165"/>
      <c r="AD97" s="165"/>
      <c r="AE97" s="165"/>
      <c r="AF97" s="165"/>
      <c r="AG97" s="165"/>
      <c r="AH97" s="165"/>
      <c r="AI97" s="165"/>
      <c r="AJ97" s="165"/>
      <c r="AK97" s="165"/>
      <c r="AL97" s="165"/>
      <c r="AM97" s="165"/>
      <c r="AN97" s="165"/>
      <c r="AO97" s="165"/>
      <c r="AP97" s="166">
        <f t="shared" si="5"/>
        <v>0</v>
      </c>
      <c r="AQ97" s="164"/>
      <c r="AR97" s="167">
        <f>IF(B97="","",COUNTIF('Rel.Conjunts-Sistemes'!$B:$B,$B97))</f>
        <v>1</v>
      </c>
      <c r="AS97" s="167">
        <f>IF(B97="","",COUNTIF('Dominis de dades'!$B:$B,$D97))</f>
        <v>1</v>
      </c>
    </row>
    <row r="98" spans="1:45" s="19" customFormat="1" ht="45" x14ac:dyDescent="0.3">
      <c r="A98" s="132"/>
      <c r="B98" s="160" t="s">
        <v>917</v>
      </c>
      <c r="C98" s="161" t="s">
        <v>782</v>
      </c>
      <c r="D98" s="161" t="s">
        <v>520</v>
      </c>
      <c r="E98" s="171" t="str">
        <f t="shared" si="4"/>
        <v>Gestió de l'espai públic i serveis al territori</v>
      </c>
      <c r="F98" s="162"/>
      <c r="G98" s="162"/>
      <c r="H98" s="163"/>
      <c r="I98" s="164"/>
      <c r="J98" s="163"/>
      <c r="K98" s="163"/>
      <c r="L98" s="163"/>
      <c r="M98" s="163"/>
      <c r="N98" s="163"/>
      <c r="O98" s="164"/>
      <c r="P98" s="164"/>
      <c r="Q98" s="164"/>
      <c r="R98" s="164"/>
      <c r="S98" s="164"/>
      <c r="T98" s="164"/>
      <c r="U98" s="164"/>
      <c r="V98" s="164"/>
      <c r="W98" s="164"/>
      <c r="X98" s="164"/>
      <c r="Y98" s="164"/>
      <c r="Z98" s="164"/>
      <c r="AA98" s="164"/>
      <c r="AB98" s="164"/>
      <c r="AC98" s="165"/>
      <c r="AD98" s="165"/>
      <c r="AE98" s="165"/>
      <c r="AF98" s="165"/>
      <c r="AG98" s="165"/>
      <c r="AH98" s="165"/>
      <c r="AI98" s="165"/>
      <c r="AJ98" s="165"/>
      <c r="AK98" s="165"/>
      <c r="AL98" s="165"/>
      <c r="AM98" s="165"/>
      <c r="AN98" s="165"/>
      <c r="AO98" s="165"/>
      <c r="AP98" s="166">
        <f t="shared" si="5"/>
        <v>0</v>
      </c>
      <c r="AQ98" s="164"/>
      <c r="AR98" s="167">
        <f>IF(B98="","",COUNTIF('Rel.Conjunts-Sistemes'!$B:$B,$B98))</f>
        <v>1</v>
      </c>
      <c r="AS98" s="167">
        <f>IF(B98="","",COUNTIF('Dominis de dades'!$B:$B,$D98))</f>
        <v>1</v>
      </c>
    </row>
    <row r="99" spans="1:45" s="19" customFormat="1" ht="45" x14ac:dyDescent="0.3">
      <c r="A99" s="132"/>
      <c r="B99" s="160" t="s">
        <v>919</v>
      </c>
      <c r="C99" s="161" t="s">
        <v>920</v>
      </c>
      <c r="D99" s="161" t="s">
        <v>520</v>
      </c>
      <c r="E99" s="171" t="str">
        <f t="shared" si="4"/>
        <v>Gestió de l'espai públic i serveis al territori</v>
      </c>
      <c r="F99" s="162"/>
      <c r="G99" s="162"/>
      <c r="H99" s="163"/>
      <c r="I99" s="164"/>
      <c r="J99" s="163"/>
      <c r="K99" s="163"/>
      <c r="L99" s="163"/>
      <c r="M99" s="163"/>
      <c r="N99" s="163"/>
      <c r="O99" s="164"/>
      <c r="P99" s="164"/>
      <c r="Q99" s="164"/>
      <c r="R99" s="164"/>
      <c r="S99" s="164"/>
      <c r="T99" s="164"/>
      <c r="U99" s="164"/>
      <c r="V99" s="164"/>
      <c r="W99" s="164"/>
      <c r="X99" s="164"/>
      <c r="Y99" s="164"/>
      <c r="Z99" s="164"/>
      <c r="AA99" s="164"/>
      <c r="AB99" s="164"/>
      <c r="AC99" s="165"/>
      <c r="AD99" s="165"/>
      <c r="AE99" s="165"/>
      <c r="AF99" s="165"/>
      <c r="AG99" s="165"/>
      <c r="AH99" s="165"/>
      <c r="AI99" s="165"/>
      <c r="AJ99" s="165"/>
      <c r="AK99" s="165"/>
      <c r="AL99" s="165"/>
      <c r="AM99" s="165"/>
      <c r="AN99" s="165"/>
      <c r="AO99" s="165"/>
      <c r="AP99" s="166">
        <f t="shared" si="5"/>
        <v>0</v>
      </c>
      <c r="AQ99" s="164"/>
      <c r="AR99" s="167">
        <f>IF(B99="","",COUNTIF('Rel.Conjunts-Sistemes'!$B:$B,$B99))</f>
        <v>1</v>
      </c>
      <c r="AS99" s="167">
        <f>IF(B99="","",COUNTIF('Dominis de dades'!$B:$B,$D99))</f>
        <v>1</v>
      </c>
    </row>
    <row r="100" spans="1:45" s="19" customFormat="1" ht="30" x14ac:dyDescent="0.3">
      <c r="A100" s="132"/>
      <c r="B100" s="160" t="s">
        <v>921</v>
      </c>
      <c r="C100" s="161" t="s">
        <v>760</v>
      </c>
      <c r="D100" s="161" t="s">
        <v>567</v>
      </c>
      <c r="E100" s="171" t="str">
        <f t="shared" si="4"/>
        <v>Govern i administració</v>
      </c>
      <c r="F100" s="162"/>
      <c r="G100" s="162"/>
      <c r="H100" s="163"/>
      <c r="I100" s="164"/>
      <c r="J100" s="163"/>
      <c r="K100" s="163"/>
      <c r="L100" s="163"/>
      <c r="M100" s="163"/>
      <c r="N100" s="163"/>
      <c r="O100" s="164"/>
      <c r="P100" s="164"/>
      <c r="Q100" s="164"/>
      <c r="R100" s="164"/>
      <c r="S100" s="164"/>
      <c r="T100" s="164"/>
      <c r="U100" s="164"/>
      <c r="V100" s="164"/>
      <c r="W100" s="164"/>
      <c r="X100" s="164"/>
      <c r="Y100" s="164"/>
      <c r="Z100" s="164"/>
      <c r="AA100" s="164"/>
      <c r="AB100" s="164"/>
      <c r="AC100" s="165"/>
      <c r="AD100" s="165"/>
      <c r="AE100" s="165"/>
      <c r="AF100" s="165"/>
      <c r="AG100" s="165"/>
      <c r="AH100" s="165"/>
      <c r="AI100" s="165"/>
      <c r="AJ100" s="165"/>
      <c r="AK100" s="165"/>
      <c r="AL100" s="165"/>
      <c r="AM100" s="165"/>
      <c r="AN100" s="165"/>
      <c r="AO100" s="165"/>
      <c r="AP100" s="166">
        <f t="shared" si="5"/>
        <v>0</v>
      </c>
      <c r="AQ100" s="164"/>
      <c r="AR100" s="167">
        <f>IF(B100="","",COUNTIF('Rel.Conjunts-Sistemes'!$B:$B,$B100))</f>
        <v>1</v>
      </c>
      <c r="AS100" s="167">
        <f>IF(B100="","",COUNTIF('Dominis de dades'!$B:$B,$D100))</f>
        <v>1</v>
      </c>
    </row>
    <row r="101" spans="1:45" s="19" customFormat="1" ht="30" x14ac:dyDescent="0.3">
      <c r="A101" s="132"/>
      <c r="B101" s="160" t="s">
        <v>922</v>
      </c>
      <c r="C101" s="161" t="s">
        <v>767</v>
      </c>
      <c r="D101" s="161" t="s">
        <v>567</v>
      </c>
      <c r="E101" s="171" t="str">
        <f t="shared" si="4"/>
        <v>Govern i administració</v>
      </c>
      <c r="F101" s="162"/>
      <c r="G101" s="162"/>
      <c r="H101" s="163"/>
      <c r="I101" s="164"/>
      <c r="J101" s="163"/>
      <c r="K101" s="163"/>
      <c r="L101" s="163"/>
      <c r="M101" s="163"/>
      <c r="N101" s="163"/>
      <c r="O101" s="164"/>
      <c r="P101" s="164"/>
      <c r="Q101" s="164"/>
      <c r="R101" s="164"/>
      <c r="S101" s="164"/>
      <c r="T101" s="164"/>
      <c r="U101" s="164"/>
      <c r="V101" s="164"/>
      <c r="W101" s="164"/>
      <c r="X101" s="164"/>
      <c r="Y101" s="164"/>
      <c r="Z101" s="164"/>
      <c r="AA101" s="164"/>
      <c r="AB101" s="164"/>
      <c r="AC101" s="165"/>
      <c r="AD101" s="165"/>
      <c r="AE101" s="165"/>
      <c r="AF101" s="165"/>
      <c r="AG101" s="165"/>
      <c r="AH101" s="165"/>
      <c r="AI101" s="165"/>
      <c r="AJ101" s="165"/>
      <c r="AK101" s="165"/>
      <c r="AL101" s="165"/>
      <c r="AM101" s="165"/>
      <c r="AN101" s="165"/>
      <c r="AO101" s="165"/>
      <c r="AP101" s="166">
        <f t="shared" si="5"/>
        <v>0</v>
      </c>
      <c r="AQ101" s="164"/>
      <c r="AR101" s="167">
        <f>IF(B101="","",COUNTIF('Rel.Conjunts-Sistemes'!$B:$B,$B101))</f>
        <v>1</v>
      </c>
      <c r="AS101" s="167">
        <f>IF(B101="","",COUNTIF('Dominis de dades'!$B:$B,$D101))</f>
        <v>1</v>
      </c>
    </row>
    <row r="102" spans="1:45" s="19" customFormat="1" ht="30" x14ac:dyDescent="0.3">
      <c r="A102" s="132"/>
      <c r="B102" s="160" t="s">
        <v>923</v>
      </c>
      <c r="C102" s="161" t="s">
        <v>769</v>
      </c>
      <c r="D102" s="161" t="s">
        <v>400</v>
      </c>
      <c r="E102" s="171" t="str">
        <f t="shared" si="4"/>
        <v>&lt;&lt;Domini erroni&gt;&gt;</v>
      </c>
      <c r="F102" s="162"/>
      <c r="G102" s="162"/>
      <c r="H102" s="163"/>
      <c r="I102" s="164"/>
      <c r="J102" s="163"/>
      <c r="K102" s="163"/>
      <c r="L102" s="163"/>
      <c r="M102" s="163"/>
      <c r="N102" s="163"/>
      <c r="O102" s="164"/>
      <c r="P102" s="164"/>
      <c r="Q102" s="164"/>
      <c r="R102" s="164"/>
      <c r="S102" s="164"/>
      <c r="T102" s="164"/>
      <c r="U102" s="164"/>
      <c r="V102" s="164"/>
      <c r="W102" s="164"/>
      <c r="X102" s="164"/>
      <c r="Y102" s="164"/>
      <c r="Z102" s="164"/>
      <c r="AA102" s="164"/>
      <c r="AB102" s="164"/>
      <c r="AC102" s="165"/>
      <c r="AD102" s="165"/>
      <c r="AE102" s="165"/>
      <c r="AF102" s="165"/>
      <c r="AG102" s="165"/>
      <c r="AH102" s="165"/>
      <c r="AI102" s="165"/>
      <c r="AJ102" s="165"/>
      <c r="AK102" s="165"/>
      <c r="AL102" s="165"/>
      <c r="AM102" s="165"/>
      <c r="AN102" s="165"/>
      <c r="AO102" s="165"/>
      <c r="AP102" s="166">
        <f t="shared" si="5"/>
        <v>0</v>
      </c>
      <c r="AQ102" s="164"/>
      <c r="AR102" s="167">
        <f>IF(B102="","",COUNTIF('Rel.Conjunts-Sistemes'!$B:$B,$B102))</f>
        <v>1</v>
      </c>
      <c r="AS102" s="167">
        <f>IF(B102="","",COUNTIF('Dominis de dades'!$B:$B,$D102))</f>
        <v>1</v>
      </c>
    </row>
    <row r="103" spans="1:45" s="19" customFormat="1" ht="30" x14ac:dyDescent="0.3">
      <c r="A103" s="132"/>
      <c r="B103" s="160" t="s">
        <v>924</v>
      </c>
      <c r="C103" s="161" t="s">
        <v>925</v>
      </c>
      <c r="D103" s="161" t="s">
        <v>567</v>
      </c>
      <c r="E103" s="171" t="str">
        <f t="shared" si="4"/>
        <v>Govern i administració</v>
      </c>
      <c r="F103" s="162"/>
      <c r="G103" s="162"/>
      <c r="H103" s="163"/>
      <c r="I103" s="164"/>
      <c r="J103" s="163"/>
      <c r="K103" s="163"/>
      <c r="L103" s="163"/>
      <c r="M103" s="163"/>
      <c r="N103" s="163"/>
      <c r="O103" s="164"/>
      <c r="P103" s="164"/>
      <c r="Q103" s="164"/>
      <c r="R103" s="164"/>
      <c r="S103" s="164"/>
      <c r="T103" s="164"/>
      <c r="U103" s="164"/>
      <c r="V103" s="164"/>
      <c r="W103" s="164"/>
      <c r="X103" s="164"/>
      <c r="Y103" s="164"/>
      <c r="Z103" s="164"/>
      <c r="AA103" s="164"/>
      <c r="AB103" s="164"/>
      <c r="AC103" s="165"/>
      <c r="AD103" s="165"/>
      <c r="AE103" s="165"/>
      <c r="AF103" s="165"/>
      <c r="AG103" s="165"/>
      <c r="AH103" s="165"/>
      <c r="AI103" s="165"/>
      <c r="AJ103" s="165"/>
      <c r="AK103" s="165"/>
      <c r="AL103" s="165"/>
      <c r="AM103" s="165"/>
      <c r="AN103" s="165"/>
      <c r="AO103" s="165"/>
      <c r="AP103" s="166">
        <f t="shared" si="5"/>
        <v>0</v>
      </c>
      <c r="AQ103" s="164"/>
      <c r="AR103" s="167">
        <f>IF(B103="","",COUNTIF('Rel.Conjunts-Sistemes'!$B:$B,$B103))</f>
        <v>1</v>
      </c>
      <c r="AS103" s="167">
        <f>IF(B103="","",COUNTIF('Dominis de dades'!$B:$B,$D103))</f>
        <v>1</v>
      </c>
    </row>
    <row r="104" spans="1:45" s="19" customFormat="1" ht="30" x14ac:dyDescent="0.3">
      <c r="A104" s="132"/>
      <c r="B104" s="160" t="s">
        <v>926</v>
      </c>
      <c r="C104" s="161" t="s">
        <v>771</v>
      </c>
      <c r="D104" s="161" t="s">
        <v>400</v>
      </c>
      <c r="E104" s="171" t="str">
        <f t="shared" si="4"/>
        <v>&lt;&lt;Domini erroni&gt;&gt;</v>
      </c>
      <c r="F104" s="162"/>
      <c r="G104" s="162"/>
      <c r="H104" s="163"/>
      <c r="I104" s="164"/>
      <c r="J104" s="163"/>
      <c r="K104" s="163"/>
      <c r="L104" s="163"/>
      <c r="M104" s="163"/>
      <c r="N104" s="163"/>
      <c r="O104" s="164"/>
      <c r="P104" s="164"/>
      <c r="Q104" s="164"/>
      <c r="R104" s="164"/>
      <c r="S104" s="164"/>
      <c r="T104" s="164"/>
      <c r="U104" s="164"/>
      <c r="V104" s="164"/>
      <c r="W104" s="164"/>
      <c r="X104" s="164"/>
      <c r="Y104" s="164"/>
      <c r="Z104" s="164"/>
      <c r="AA104" s="164"/>
      <c r="AB104" s="164"/>
      <c r="AC104" s="165"/>
      <c r="AD104" s="165"/>
      <c r="AE104" s="165"/>
      <c r="AF104" s="165"/>
      <c r="AG104" s="165"/>
      <c r="AH104" s="165"/>
      <c r="AI104" s="165"/>
      <c r="AJ104" s="165"/>
      <c r="AK104" s="165"/>
      <c r="AL104" s="165"/>
      <c r="AM104" s="165"/>
      <c r="AN104" s="165"/>
      <c r="AO104" s="165"/>
      <c r="AP104" s="166">
        <f t="shared" si="5"/>
        <v>0</v>
      </c>
      <c r="AQ104" s="164"/>
      <c r="AR104" s="167">
        <f>IF(B104="","",COUNTIF('Rel.Conjunts-Sistemes'!$B:$B,$B104))</f>
        <v>1</v>
      </c>
      <c r="AS104" s="167">
        <f>IF(B104="","",COUNTIF('Dominis de dades'!$B:$B,$D104))</f>
        <v>1</v>
      </c>
    </row>
    <row r="105" spans="1:45" s="19" customFormat="1" ht="30" x14ac:dyDescent="0.3">
      <c r="A105" s="132"/>
      <c r="B105" s="160" t="s">
        <v>933</v>
      </c>
      <c r="C105" s="161" t="s">
        <v>794</v>
      </c>
      <c r="D105" s="161" t="s">
        <v>400</v>
      </c>
      <c r="E105" s="171" t="str">
        <f t="shared" ref="E105:E136" si="6">IF(D105="","-",IF(ISERROR(VLOOKUP(D105,DominisDades,3,0)),"&lt;&lt;Domini erroni&gt;&gt;",VLOOKUP(D105,DominisDades,3,0)))</f>
        <v>&lt;&lt;Domini erroni&gt;&gt;</v>
      </c>
      <c r="F105" s="162"/>
      <c r="G105" s="162"/>
      <c r="H105" s="163"/>
      <c r="I105" s="164"/>
      <c r="J105" s="163"/>
      <c r="K105" s="163"/>
      <c r="L105" s="163"/>
      <c r="M105" s="163"/>
      <c r="N105" s="163"/>
      <c r="O105" s="164"/>
      <c r="P105" s="164"/>
      <c r="Q105" s="164"/>
      <c r="R105" s="164"/>
      <c r="S105" s="164"/>
      <c r="T105" s="164"/>
      <c r="U105" s="164"/>
      <c r="V105" s="164"/>
      <c r="W105" s="164"/>
      <c r="X105" s="164"/>
      <c r="Y105" s="164"/>
      <c r="Z105" s="164"/>
      <c r="AA105" s="164"/>
      <c r="AB105" s="164"/>
      <c r="AC105" s="165"/>
      <c r="AD105" s="165"/>
      <c r="AE105" s="165"/>
      <c r="AF105" s="165"/>
      <c r="AG105" s="165"/>
      <c r="AH105" s="165"/>
      <c r="AI105" s="165"/>
      <c r="AJ105" s="165"/>
      <c r="AK105" s="165"/>
      <c r="AL105" s="165"/>
      <c r="AM105" s="165"/>
      <c r="AN105" s="165"/>
      <c r="AO105" s="165"/>
      <c r="AP105" s="166">
        <f t="shared" si="5"/>
        <v>0</v>
      </c>
      <c r="AQ105" s="164"/>
      <c r="AR105" s="167">
        <f>IF(B105="","",COUNTIF('Rel.Conjunts-Sistemes'!$B:$B,$B105))</f>
        <v>0</v>
      </c>
      <c r="AS105" s="167">
        <f>IF(B105="","",COUNTIF('Dominis de dades'!$B:$B,$D105))</f>
        <v>1</v>
      </c>
    </row>
    <row r="106" spans="1:45" s="19" customFormat="1" ht="30" x14ac:dyDescent="0.3">
      <c r="A106" s="132"/>
      <c r="B106" s="160" t="s">
        <v>932</v>
      </c>
      <c r="C106" s="161" t="s">
        <v>763</v>
      </c>
      <c r="D106" s="161" t="s">
        <v>87</v>
      </c>
      <c r="E106" s="171" t="str">
        <f t="shared" si="6"/>
        <v>Serveis a les persones</v>
      </c>
      <c r="F106" s="162"/>
      <c r="G106" s="162"/>
      <c r="H106" s="163"/>
      <c r="I106" s="164"/>
      <c r="J106" s="163"/>
      <c r="K106" s="163"/>
      <c r="L106" s="163"/>
      <c r="M106" s="163"/>
      <c r="N106" s="163"/>
      <c r="O106" s="164"/>
      <c r="P106" s="164"/>
      <c r="Q106" s="164"/>
      <c r="R106" s="164"/>
      <c r="S106" s="164"/>
      <c r="T106" s="164"/>
      <c r="U106" s="164"/>
      <c r="V106" s="164"/>
      <c r="W106" s="164"/>
      <c r="X106" s="164"/>
      <c r="Y106" s="164"/>
      <c r="Z106" s="164"/>
      <c r="AA106" s="164"/>
      <c r="AB106" s="164"/>
      <c r="AC106" s="165"/>
      <c r="AD106" s="165"/>
      <c r="AE106" s="165"/>
      <c r="AF106" s="165"/>
      <c r="AG106" s="165"/>
      <c r="AH106" s="165"/>
      <c r="AI106" s="165"/>
      <c r="AJ106" s="165"/>
      <c r="AK106" s="165"/>
      <c r="AL106" s="165"/>
      <c r="AM106" s="165"/>
      <c r="AN106" s="165"/>
      <c r="AO106" s="165"/>
      <c r="AP106" s="166">
        <f t="shared" si="5"/>
        <v>0</v>
      </c>
      <c r="AQ106" s="164"/>
      <c r="AR106" s="167">
        <f>IF(B106="","",COUNTIF('Rel.Conjunts-Sistemes'!$B:$B,$B106))</f>
        <v>1</v>
      </c>
      <c r="AS106" s="167">
        <f>IF(B106="","",COUNTIF('Dominis de dades'!$B:$B,$D106))</f>
        <v>1</v>
      </c>
    </row>
    <row r="107" spans="1:45" s="19" customFormat="1" ht="30" x14ac:dyDescent="0.3">
      <c r="A107" s="132"/>
      <c r="B107" s="160" t="s">
        <v>931</v>
      </c>
      <c r="C107" s="161" t="s">
        <v>765</v>
      </c>
      <c r="D107" s="161" t="s">
        <v>87</v>
      </c>
      <c r="E107" s="171" t="str">
        <f t="shared" si="6"/>
        <v>Serveis a les persones</v>
      </c>
      <c r="F107" s="162"/>
      <c r="G107" s="162"/>
      <c r="H107" s="163"/>
      <c r="I107" s="164"/>
      <c r="J107" s="163"/>
      <c r="K107" s="163"/>
      <c r="L107" s="163"/>
      <c r="M107" s="163"/>
      <c r="N107" s="163"/>
      <c r="O107" s="164"/>
      <c r="P107" s="164"/>
      <c r="Q107" s="164"/>
      <c r="R107" s="164"/>
      <c r="S107" s="164"/>
      <c r="T107" s="164"/>
      <c r="U107" s="164"/>
      <c r="V107" s="164"/>
      <c r="W107" s="164"/>
      <c r="X107" s="164"/>
      <c r="Y107" s="164"/>
      <c r="Z107" s="164"/>
      <c r="AA107" s="164"/>
      <c r="AB107" s="164"/>
      <c r="AC107" s="165"/>
      <c r="AD107" s="165"/>
      <c r="AE107" s="165"/>
      <c r="AF107" s="165"/>
      <c r="AG107" s="165"/>
      <c r="AH107" s="165"/>
      <c r="AI107" s="165"/>
      <c r="AJ107" s="165"/>
      <c r="AK107" s="165"/>
      <c r="AL107" s="165"/>
      <c r="AM107" s="165"/>
      <c r="AN107" s="165"/>
      <c r="AO107" s="165"/>
      <c r="AP107" s="166">
        <f t="shared" si="5"/>
        <v>0</v>
      </c>
      <c r="AQ107" s="164"/>
      <c r="AR107" s="167">
        <f>IF(B107="","",COUNTIF('Rel.Conjunts-Sistemes'!$B:$B,$B107))</f>
        <v>1</v>
      </c>
      <c r="AS107" s="167">
        <f>IF(B107="","",COUNTIF('Dominis de dades'!$B:$B,$D107))</f>
        <v>1</v>
      </c>
    </row>
    <row r="108" spans="1:45" s="19" customFormat="1" ht="30" x14ac:dyDescent="0.3">
      <c r="A108" s="132"/>
      <c r="B108" s="160" t="s">
        <v>930</v>
      </c>
      <c r="C108" s="161" t="s">
        <v>796</v>
      </c>
      <c r="D108" s="161" t="s">
        <v>87</v>
      </c>
      <c r="E108" s="171" t="str">
        <f t="shared" si="6"/>
        <v>Serveis a les persones</v>
      </c>
      <c r="F108" s="162"/>
      <c r="G108" s="162"/>
      <c r="H108" s="163"/>
      <c r="I108" s="164"/>
      <c r="J108" s="163"/>
      <c r="K108" s="163"/>
      <c r="L108" s="163"/>
      <c r="M108" s="163"/>
      <c r="N108" s="163"/>
      <c r="O108" s="164"/>
      <c r="P108" s="164"/>
      <c r="Q108" s="164"/>
      <c r="R108" s="164"/>
      <c r="S108" s="164"/>
      <c r="T108" s="164"/>
      <c r="U108" s="164"/>
      <c r="V108" s="164"/>
      <c r="W108" s="164"/>
      <c r="X108" s="164"/>
      <c r="Y108" s="164"/>
      <c r="Z108" s="164"/>
      <c r="AA108" s="164"/>
      <c r="AB108" s="164"/>
      <c r="AC108" s="165"/>
      <c r="AD108" s="165"/>
      <c r="AE108" s="165"/>
      <c r="AF108" s="165"/>
      <c r="AG108" s="165"/>
      <c r="AH108" s="165"/>
      <c r="AI108" s="165"/>
      <c r="AJ108" s="165"/>
      <c r="AK108" s="165"/>
      <c r="AL108" s="165"/>
      <c r="AM108" s="165"/>
      <c r="AN108" s="165"/>
      <c r="AO108" s="165"/>
      <c r="AP108" s="166">
        <f t="shared" si="5"/>
        <v>0</v>
      </c>
      <c r="AQ108" s="164"/>
      <c r="AR108" s="167">
        <f>IF(B108="","",COUNTIF('Rel.Conjunts-Sistemes'!$B:$B,$B108))</f>
        <v>0</v>
      </c>
      <c r="AS108" s="167">
        <f>IF(B108="","",COUNTIF('Dominis de dades'!$B:$B,$D108))</f>
        <v>1</v>
      </c>
    </row>
    <row r="109" spans="1:45" s="19" customFormat="1" ht="30" x14ac:dyDescent="0.3">
      <c r="A109" s="132"/>
      <c r="B109" s="160" t="s">
        <v>929</v>
      </c>
      <c r="C109" s="161" t="s">
        <v>779</v>
      </c>
      <c r="D109" s="161" t="s">
        <v>129</v>
      </c>
      <c r="E109" s="171" t="str">
        <f t="shared" si="6"/>
        <v>Serveis a les persones</v>
      </c>
      <c r="F109" s="162"/>
      <c r="G109" s="162"/>
      <c r="H109" s="163"/>
      <c r="I109" s="164"/>
      <c r="J109" s="163"/>
      <c r="K109" s="163"/>
      <c r="L109" s="163"/>
      <c r="M109" s="163"/>
      <c r="N109" s="163"/>
      <c r="O109" s="164"/>
      <c r="P109" s="164"/>
      <c r="Q109" s="164"/>
      <c r="R109" s="164"/>
      <c r="S109" s="164"/>
      <c r="T109" s="164"/>
      <c r="U109" s="164"/>
      <c r="V109" s="164"/>
      <c r="W109" s="164"/>
      <c r="X109" s="164"/>
      <c r="Y109" s="164"/>
      <c r="Z109" s="164"/>
      <c r="AA109" s="164"/>
      <c r="AB109" s="164"/>
      <c r="AC109" s="165"/>
      <c r="AD109" s="165"/>
      <c r="AE109" s="165"/>
      <c r="AF109" s="165"/>
      <c r="AG109" s="165"/>
      <c r="AH109" s="165"/>
      <c r="AI109" s="165"/>
      <c r="AJ109" s="165"/>
      <c r="AK109" s="165"/>
      <c r="AL109" s="165"/>
      <c r="AM109" s="165"/>
      <c r="AN109" s="165"/>
      <c r="AO109" s="165"/>
      <c r="AP109" s="166">
        <f t="shared" si="5"/>
        <v>0</v>
      </c>
      <c r="AQ109" s="164"/>
      <c r="AR109" s="167">
        <f>IF(B109="","",COUNTIF('Rel.Conjunts-Sistemes'!$B:$B,$B109))</f>
        <v>1</v>
      </c>
      <c r="AS109" s="167">
        <f>IF(B109="","",COUNTIF('Dominis de dades'!$B:$B,$D109))</f>
        <v>1</v>
      </c>
    </row>
    <row r="110" spans="1:45" s="19" customFormat="1" ht="30" x14ac:dyDescent="0.3">
      <c r="A110" s="132"/>
      <c r="B110" s="160" t="s">
        <v>928</v>
      </c>
      <c r="C110" s="161" t="s">
        <v>798</v>
      </c>
      <c r="D110" s="161" t="s">
        <v>129</v>
      </c>
      <c r="E110" s="171" t="str">
        <f t="shared" si="6"/>
        <v>Serveis a les persones</v>
      </c>
      <c r="F110" s="162"/>
      <c r="G110" s="162"/>
      <c r="H110" s="163"/>
      <c r="I110" s="164"/>
      <c r="J110" s="163"/>
      <c r="K110" s="163"/>
      <c r="L110" s="163"/>
      <c r="M110" s="163"/>
      <c r="N110" s="163"/>
      <c r="O110" s="164"/>
      <c r="P110" s="164"/>
      <c r="Q110" s="164"/>
      <c r="R110" s="164"/>
      <c r="S110" s="164"/>
      <c r="T110" s="164"/>
      <c r="U110" s="164"/>
      <c r="V110" s="164"/>
      <c r="W110" s="164"/>
      <c r="X110" s="164"/>
      <c r="Y110" s="164"/>
      <c r="Z110" s="164"/>
      <c r="AA110" s="164"/>
      <c r="AB110" s="164"/>
      <c r="AC110" s="165"/>
      <c r="AD110" s="165"/>
      <c r="AE110" s="165"/>
      <c r="AF110" s="165"/>
      <c r="AG110" s="165"/>
      <c r="AH110" s="165"/>
      <c r="AI110" s="165"/>
      <c r="AJ110" s="165"/>
      <c r="AK110" s="165"/>
      <c r="AL110" s="165"/>
      <c r="AM110" s="165"/>
      <c r="AN110" s="165"/>
      <c r="AO110" s="165"/>
      <c r="AP110" s="166">
        <f t="shared" si="5"/>
        <v>0</v>
      </c>
      <c r="AQ110" s="164"/>
      <c r="AR110" s="167">
        <f>IF(B110="","",COUNTIF('Rel.Conjunts-Sistemes'!$B:$B,$B110))</f>
        <v>1</v>
      </c>
      <c r="AS110" s="167">
        <f>IF(B110="","",COUNTIF('Dominis de dades'!$B:$B,$D110))</f>
        <v>1</v>
      </c>
    </row>
    <row r="111" spans="1:45" s="19" customFormat="1" ht="45" x14ac:dyDescent="0.3">
      <c r="A111" s="132"/>
      <c r="B111" s="160" t="s">
        <v>927</v>
      </c>
      <c r="C111" s="161" t="s">
        <v>800</v>
      </c>
      <c r="D111" s="161" t="s">
        <v>129</v>
      </c>
      <c r="E111" s="171" t="str">
        <f t="shared" si="6"/>
        <v>Serveis a les persones</v>
      </c>
      <c r="F111" s="162"/>
      <c r="G111" s="162"/>
      <c r="H111" s="163"/>
      <c r="I111" s="164"/>
      <c r="J111" s="163"/>
      <c r="K111" s="163"/>
      <c r="L111" s="163"/>
      <c r="M111" s="163"/>
      <c r="N111" s="163"/>
      <c r="O111" s="164"/>
      <c r="P111" s="164"/>
      <c r="Q111" s="164"/>
      <c r="R111" s="164"/>
      <c r="S111" s="164"/>
      <c r="T111" s="164"/>
      <c r="U111" s="164"/>
      <c r="V111" s="164"/>
      <c r="W111" s="164"/>
      <c r="X111" s="164"/>
      <c r="Y111" s="164"/>
      <c r="Z111" s="164"/>
      <c r="AA111" s="164"/>
      <c r="AB111" s="164"/>
      <c r="AC111" s="165"/>
      <c r="AD111" s="165"/>
      <c r="AE111" s="165"/>
      <c r="AF111" s="165"/>
      <c r="AG111" s="165"/>
      <c r="AH111" s="165"/>
      <c r="AI111" s="165"/>
      <c r="AJ111" s="165"/>
      <c r="AK111" s="165"/>
      <c r="AL111" s="165"/>
      <c r="AM111" s="165"/>
      <c r="AN111" s="165"/>
      <c r="AO111" s="165"/>
      <c r="AP111" s="166">
        <f t="shared" si="5"/>
        <v>0</v>
      </c>
      <c r="AQ111" s="164"/>
      <c r="AR111" s="167">
        <f>IF(B111="","",COUNTIF('Rel.Conjunts-Sistemes'!$B:$B,$B111))</f>
        <v>0</v>
      </c>
      <c r="AS111" s="167">
        <f>IF(B111="","",COUNTIF('Dominis de dades'!$B:$B,$D111))</f>
        <v>1</v>
      </c>
    </row>
    <row r="112" spans="1:45" s="19" customFormat="1" ht="45" x14ac:dyDescent="0.3">
      <c r="A112" s="132"/>
      <c r="B112" s="160" t="s">
        <v>844</v>
      </c>
      <c r="C112" s="161" t="s">
        <v>845</v>
      </c>
      <c r="D112" s="161" t="s">
        <v>71</v>
      </c>
      <c r="E112" s="171" t="str">
        <f t="shared" si="6"/>
        <v>Serveis a les persones</v>
      </c>
      <c r="F112" s="162"/>
      <c r="G112" s="162"/>
      <c r="H112" s="163"/>
      <c r="I112" s="164"/>
      <c r="J112" s="163"/>
      <c r="K112" s="163"/>
      <c r="L112" s="163"/>
      <c r="M112" s="163"/>
      <c r="N112" s="163"/>
      <c r="O112" s="164"/>
      <c r="P112" s="164"/>
      <c r="Q112" s="164"/>
      <c r="R112" s="164"/>
      <c r="S112" s="164"/>
      <c r="T112" s="164"/>
      <c r="U112" s="164"/>
      <c r="V112" s="164"/>
      <c r="W112" s="164"/>
      <c r="X112" s="164"/>
      <c r="Y112" s="164"/>
      <c r="Z112" s="164"/>
      <c r="AA112" s="164"/>
      <c r="AB112" s="164"/>
      <c r="AC112" s="165"/>
      <c r="AD112" s="165"/>
      <c r="AE112" s="165"/>
      <c r="AF112" s="165"/>
      <c r="AG112" s="165"/>
      <c r="AH112" s="165"/>
      <c r="AI112" s="165"/>
      <c r="AJ112" s="165"/>
      <c r="AK112" s="165"/>
      <c r="AL112" s="165"/>
      <c r="AM112" s="165"/>
      <c r="AN112" s="165"/>
      <c r="AO112" s="165"/>
      <c r="AP112" s="166">
        <f t="shared" si="5"/>
        <v>0</v>
      </c>
      <c r="AQ112" s="164"/>
      <c r="AR112" s="167">
        <f>IF(B112="","",COUNTIF('Rel.Conjunts-Sistemes'!$B:$B,$B112))</f>
        <v>0</v>
      </c>
      <c r="AS112" s="167">
        <f>IF(B112="","",COUNTIF('Dominis de dades'!$B:$B,$D112))</f>
        <v>1</v>
      </c>
    </row>
    <row r="113" spans="2:45" ht="30" x14ac:dyDescent="0.3">
      <c r="B113" s="168" t="s">
        <v>846</v>
      </c>
      <c r="C113" s="169" t="s">
        <v>847</v>
      </c>
      <c r="D113" s="169" t="s">
        <v>71</v>
      </c>
      <c r="E113" s="171" t="str">
        <f t="shared" si="6"/>
        <v>Serveis a les persones</v>
      </c>
      <c r="F113" s="162"/>
      <c r="G113" s="162"/>
      <c r="H113" s="163"/>
      <c r="I113" s="164"/>
      <c r="J113" s="163"/>
      <c r="K113" s="163"/>
      <c r="L113" s="163"/>
      <c r="M113" s="163"/>
      <c r="N113" s="163"/>
      <c r="O113" s="164"/>
      <c r="P113" s="164"/>
      <c r="Q113" s="164"/>
      <c r="R113" s="164"/>
      <c r="S113" s="164"/>
      <c r="T113" s="164"/>
      <c r="U113" s="164"/>
      <c r="V113" s="164"/>
      <c r="W113" s="164"/>
      <c r="X113" s="164"/>
      <c r="Y113" s="164"/>
      <c r="Z113" s="164"/>
      <c r="AA113" s="164"/>
      <c r="AB113" s="164"/>
      <c r="AC113" s="165"/>
      <c r="AD113" s="165"/>
      <c r="AE113" s="165"/>
      <c r="AF113" s="165"/>
      <c r="AG113" s="165"/>
      <c r="AH113" s="165"/>
      <c r="AI113" s="165"/>
      <c r="AJ113" s="165"/>
      <c r="AK113" s="165"/>
      <c r="AL113" s="165"/>
      <c r="AM113" s="165"/>
      <c r="AN113" s="165"/>
      <c r="AO113" s="165"/>
      <c r="AP113" s="166">
        <f t="shared" si="5"/>
        <v>0</v>
      </c>
      <c r="AQ113" s="164"/>
      <c r="AR113" s="167">
        <f>IF(B113="","",COUNTIF('Rel.Conjunts-Sistemes'!$B:$B,$B113))</f>
        <v>0</v>
      </c>
      <c r="AS113" s="167">
        <f>IF(B113="","",COUNTIF('Dominis de dades'!$B:$B,$D113))</f>
        <v>1</v>
      </c>
    </row>
    <row r="114" spans="2:45" ht="45" x14ac:dyDescent="0.3">
      <c r="B114" s="168" t="s">
        <v>848</v>
      </c>
      <c r="C114" s="169" t="s">
        <v>849</v>
      </c>
      <c r="D114" s="169" t="s">
        <v>71</v>
      </c>
      <c r="E114" s="171" t="str">
        <f t="shared" si="6"/>
        <v>Serveis a les persones</v>
      </c>
      <c r="F114" s="162"/>
      <c r="G114" s="162"/>
      <c r="H114" s="163"/>
      <c r="I114" s="164"/>
      <c r="J114" s="163"/>
      <c r="K114" s="163"/>
      <c r="L114" s="163"/>
      <c r="M114" s="163"/>
      <c r="N114" s="163"/>
      <c r="O114" s="164"/>
      <c r="P114" s="164"/>
      <c r="Q114" s="164"/>
      <c r="R114" s="164"/>
      <c r="S114" s="164"/>
      <c r="T114" s="164"/>
      <c r="U114" s="164"/>
      <c r="V114" s="164"/>
      <c r="W114" s="164"/>
      <c r="X114" s="164"/>
      <c r="Y114" s="164"/>
      <c r="Z114" s="164"/>
      <c r="AA114" s="164"/>
      <c r="AB114" s="164"/>
      <c r="AC114" s="165"/>
      <c r="AD114" s="165"/>
      <c r="AE114" s="165"/>
      <c r="AF114" s="165"/>
      <c r="AG114" s="165"/>
      <c r="AH114" s="165"/>
      <c r="AI114" s="165"/>
      <c r="AJ114" s="165"/>
      <c r="AK114" s="165"/>
      <c r="AL114" s="165"/>
      <c r="AM114" s="165"/>
      <c r="AN114" s="165"/>
      <c r="AO114" s="165"/>
      <c r="AP114" s="166">
        <f t="shared" si="5"/>
        <v>0</v>
      </c>
      <c r="AQ114" s="164"/>
      <c r="AR114" s="167">
        <f>IF(B114="","",COUNTIF('Rel.Conjunts-Sistemes'!$B:$B,$B114))</f>
        <v>0</v>
      </c>
      <c r="AS114" s="167">
        <f>IF(B114="","",COUNTIF('Dominis de dades'!$B:$B,$D114))</f>
        <v>1</v>
      </c>
    </row>
    <row r="115" spans="2:45" ht="75" x14ac:dyDescent="0.3">
      <c r="B115" s="168" t="s">
        <v>850</v>
      </c>
      <c r="C115" s="169" t="s">
        <v>853</v>
      </c>
      <c r="D115" s="169" t="s">
        <v>516</v>
      </c>
      <c r="E115" s="171" t="str">
        <f t="shared" si="6"/>
        <v>Gestió de l'espai públic i serveis al territori</v>
      </c>
      <c r="F115" s="162"/>
      <c r="G115" s="162"/>
      <c r="H115" s="163"/>
      <c r="I115" s="164"/>
      <c r="J115" s="163"/>
      <c r="K115" s="163"/>
      <c r="L115" s="163"/>
      <c r="M115" s="163"/>
      <c r="N115" s="163"/>
      <c r="O115" s="164"/>
      <c r="P115" s="164"/>
      <c r="Q115" s="164"/>
      <c r="R115" s="164"/>
      <c r="S115" s="164"/>
      <c r="T115" s="164"/>
      <c r="U115" s="164"/>
      <c r="V115" s="164"/>
      <c r="W115" s="164"/>
      <c r="X115" s="164"/>
      <c r="Y115" s="164"/>
      <c r="Z115" s="164"/>
      <c r="AA115" s="164"/>
      <c r="AB115" s="164"/>
      <c r="AC115" s="165"/>
      <c r="AD115" s="165"/>
      <c r="AE115" s="165"/>
      <c r="AF115" s="165"/>
      <c r="AG115" s="165"/>
      <c r="AH115" s="165"/>
      <c r="AI115" s="165"/>
      <c r="AJ115" s="165"/>
      <c r="AK115" s="165"/>
      <c r="AL115" s="165"/>
      <c r="AM115" s="165"/>
      <c r="AN115" s="165"/>
      <c r="AO115" s="165"/>
      <c r="AP115" s="166">
        <f t="shared" si="5"/>
        <v>0</v>
      </c>
      <c r="AQ115" s="164"/>
      <c r="AR115" s="167">
        <f>IF(B115="","",COUNTIF('Rel.Conjunts-Sistemes'!$B:$B,$B115))</f>
        <v>0</v>
      </c>
      <c r="AS115" s="167">
        <f>IF(B115="","",COUNTIF('Dominis de dades'!$B:$B,$D115))</f>
        <v>1</v>
      </c>
    </row>
    <row r="116" spans="2:45" ht="60" x14ac:dyDescent="0.3">
      <c r="B116" s="168" t="s">
        <v>851</v>
      </c>
      <c r="C116" s="169" t="s">
        <v>854</v>
      </c>
      <c r="D116" s="169" t="s">
        <v>59</v>
      </c>
      <c r="E116" s="171" t="str">
        <f t="shared" si="6"/>
        <v>Gestió de l'espai públic i serveis al territori</v>
      </c>
      <c r="F116" s="162"/>
      <c r="G116" s="162"/>
      <c r="H116" s="163"/>
      <c r="I116" s="164"/>
      <c r="J116" s="163"/>
      <c r="K116" s="163"/>
      <c r="L116" s="163"/>
      <c r="M116" s="163"/>
      <c r="N116" s="163"/>
      <c r="O116" s="164"/>
      <c r="P116" s="164"/>
      <c r="Q116" s="164"/>
      <c r="R116" s="164"/>
      <c r="S116" s="164"/>
      <c r="T116" s="164"/>
      <c r="U116" s="164"/>
      <c r="V116" s="164"/>
      <c r="W116" s="164"/>
      <c r="X116" s="164"/>
      <c r="Y116" s="164"/>
      <c r="Z116" s="164"/>
      <c r="AA116" s="164"/>
      <c r="AB116" s="164"/>
      <c r="AC116" s="165"/>
      <c r="AD116" s="165"/>
      <c r="AE116" s="165"/>
      <c r="AF116" s="165"/>
      <c r="AG116" s="165"/>
      <c r="AH116" s="165"/>
      <c r="AI116" s="165"/>
      <c r="AJ116" s="165"/>
      <c r="AK116" s="165"/>
      <c r="AL116" s="165"/>
      <c r="AM116" s="165"/>
      <c r="AN116" s="165"/>
      <c r="AO116" s="165"/>
      <c r="AP116" s="166">
        <f t="shared" si="5"/>
        <v>0</v>
      </c>
      <c r="AQ116" s="164"/>
      <c r="AR116" s="167">
        <f>IF(B116="","",COUNTIF('Rel.Conjunts-Sistemes'!$B:$B,$B116))</f>
        <v>0</v>
      </c>
      <c r="AS116" s="167">
        <f>IF(B116="","",COUNTIF('Dominis de dades'!$B:$B,$D116))</f>
        <v>1</v>
      </c>
    </row>
    <row r="117" spans="2:45" ht="60" x14ac:dyDescent="0.3">
      <c r="B117" s="168" t="s">
        <v>856</v>
      </c>
      <c r="C117" s="169" t="s">
        <v>857</v>
      </c>
      <c r="D117" s="169" t="s">
        <v>115</v>
      </c>
      <c r="E117" s="171" t="str">
        <f t="shared" si="6"/>
        <v>Gestió de l'espai públic i serveis al territori</v>
      </c>
      <c r="F117" s="162"/>
      <c r="G117" s="162"/>
      <c r="H117" s="163"/>
      <c r="I117" s="164"/>
      <c r="J117" s="163"/>
      <c r="K117" s="163"/>
      <c r="L117" s="163"/>
      <c r="M117" s="163"/>
      <c r="N117" s="163"/>
      <c r="O117" s="164"/>
      <c r="P117" s="164"/>
      <c r="Q117" s="164"/>
      <c r="R117" s="164"/>
      <c r="S117" s="164"/>
      <c r="T117" s="164"/>
      <c r="U117" s="164"/>
      <c r="V117" s="164"/>
      <c r="W117" s="164"/>
      <c r="X117" s="164"/>
      <c r="Y117" s="164"/>
      <c r="Z117" s="164"/>
      <c r="AA117" s="164"/>
      <c r="AB117" s="164"/>
      <c r="AC117" s="165"/>
      <c r="AD117" s="165"/>
      <c r="AE117" s="165"/>
      <c r="AF117" s="165"/>
      <c r="AG117" s="165"/>
      <c r="AH117" s="165"/>
      <c r="AI117" s="165"/>
      <c r="AJ117" s="165"/>
      <c r="AK117" s="165"/>
      <c r="AL117" s="165"/>
      <c r="AM117" s="165"/>
      <c r="AN117" s="165"/>
      <c r="AO117" s="165"/>
      <c r="AP117" s="166">
        <f t="shared" si="5"/>
        <v>0</v>
      </c>
      <c r="AQ117" s="164"/>
      <c r="AR117" s="167">
        <f>IF(B117="","",COUNTIF('Rel.Conjunts-Sistemes'!$B:$B,$B117))</f>
        <v>0</v>
      </c>
      <c r="AS117" s="167">
        <f>IF(B117="","",COUNTIF('Dominis de dades'!$B:$B,$D117))</f>
        <v>1</v>
      </c>
    </row>
    <row r="118" spans="2:45" ht="60" x14ac:dyDescent="0.3">
      <c r="B118" s="168" t="s">
        <v>859</v>
      </c>
      <c r="C118" s="169" t="s">
        <v>858</v>
      </c>
      <c r="D118" s="169" t="s">
        <v>117</v>
      </c>
      <c r="E118" s="171" t="str">
        <f t="shared" si="6"/>
        <v>Gestió de l'espai públic i serveis al territori</v>
      </c>
      <c r="F118" s="162"/>
      <c r="G118" s="162"/>
      <c r="H118" s="163"/>
      <c r="I118" s="164"/>
      <c r="J118" s="163"/>
      <c r="K118" s="163"/>
      <c r="L118" s="163"/>
      <c r="M118" s="163"/>
      <c r="N118" s="163"/>
      <c r="O118" s="164"/>
      <c r="P118" s="164"/>
      <c r="Q118" s="164"/>
      <c r="R118" s="164"/>
      <c r="S118" s="164"/>
      <c r="T118" s="164"/>
      <c r="U118" s="164"/>
      <c r="V118" s="164"/>
      <c r="W118" s="164"/>
      <c r="X118" s="164"/>
      <c r="Y118" s="164"/>
      <c r="Z118" s="164"/>
      <c r="AA118" s="164"/>
      <c r="AB118" s="164"/>
      <c r="AC118" s="165"/>
      <c r="AD118" s="165"/>
      <c r="AE118" s="165"/>
      <c r="AF118" s="165"/>
      <c r="AG118" s="165"/>
      <c r="AH118" s="165"/>
      <c r="AI118" s="165"/>
      <c r="AJ118" s="165"/>
      <c r="AK118" s="165"/>
      <c r="AL118" s="165"/>
      <c r="AM118" s="165"/>
      <c r="AN118" s="165"/>
      <c r="AO118" s="165"/>
      <c r="AP118" s="166">
        <f t="shared" si="5"/>
        <v>0</v>
      </c>
      <c r="AQ118" s="164"/>
      <c r="AR118" s="167">
        <f>IF(B118="","",COUNTIF('Rel.Conjunts-Sistemes'!$B:$B,$B118))</f>
        <v>0</v>
      </c>
      <c r="AS118" s="167">
        <f>IF(B118="","",COUNTIF('Dominis de dades'!$B:$B,$D118))</f>
        <v>1</v>
      </c>
    </row>
    <row r="119" spans="2:45" ht="45" x14ac:dyDescent="0.3">
      <c r="B119" s="168" t="s">
        <v>522</v>
      </c>
      <c r="C119" s="169" t="s">
        <v>523</v>
      </c>
      <c r="D119" s="169" t="s">
        <v>55</v>
      </c>
      <c r="E119" s="171" t="str">
        <f t="shared" si="6"/>
        <v>Govern i administració</v>
      </c>
      <c r="F119" s="162"/>
      <c r="G119" s="162"/>
      <c r="H119" s="163"/>
      <c r="I119" s="164"/>
      <c r="J119" s="163"/>
      <c r="K119" s="163"/>
      <c r="L119" s="163"/>
      <c r="M119" s="163"/>
      <c r="N119" s="163"/>
      <c r="O119" s="164"/>
      <c r="P119" s="164"/>
      <c r="Q119" s="164"/>
      <c r="R119" s="164"/>
      <c r="S119" s="164"/>
      <c r="T119" s="164"/>
      <c r="U119" s="164"/>
      <c r="V119" s="164"/>
      <c r="W119" s="164"/>
      <c r="X119" s="164"/>
      <c r="Y119" s="164"/>
      <c r="Z119" s="164"/>
      <c r="AA119" s="164"/>
      <c r="AB119" s="164"/>
      <c r="AC119" s="165"/>
      <c r="AD119" s="165"/>
      <c r="AE119" s="165"/>
      <c r="AF119" s="165"/>
      <c r="AG119" s="165"/>
      <c r="AH119" s="165"/>
      <c r="AI119" s="165"/>
      <c r="AJ119" s="165"/>
      <c r="AK119" s="165"/>
      <c r="AL119" s="165"/>
      <c r="AM119" s="165"/>
      <c r="AN119" s="165"/>
      <c r="AO119" s="165"/>
      <c r="AP119" s="166">
        <f t="shared" si="5"/>
        <v>0</v>
      </c>
      <c r="AQ119" s="164"/>
      <c r="AR119" s="167">
        <f>IF(B119="","",COUNTIF('Rel.Conjunts-Sistemes'!$B:$B,$B119))</f>
        <v>0</v>
      </c>
      <c r="AS119" s="167">
        <f>IF(B119="","",COUNTIF('Dominis de dades'!$B:$B,$D119))</f>
        <v>1</v>
      </c>
    </row>
    <row r="120" spans="2:45" ht="15" x14ac:dyDescent="0.3">
      <c r="B120" s="168"/>
      <c r="C120" s="169"/>
      <c r="D120" s="170"/>
      <c r="E120" s="171" t="str">
        <f t="shared" si="6"/>
        <v>-</v>
      </c>
      <c r="F120" s="162"/>
      <c r="G120" s="162"/>
      <c r="H120" s="163"/>
      <c r="I120" s="164"/>
      <c r="J120" s="163"/>
      <c r="K120" s="163"/>
      <c r="L120" s="163"/>
      <c r="M120" s="163"/>
      <c r="N120" s="163"/>
      <c r="O120" s="164"/>
      <c r="P120" s="164"/>
      <c r="Q120" s="164"/>
      <c r="R120" s="164"/>
      <c r="S120" s="164"/>
      <c r="T120" s="164"/>
      <c r="U120" s="164"/>
      <c r="V120" s="164"/>
      <c r="W120" s="164"/>
      <c r="X120" s="164"/>
      <c r="Y120" s="164"/>
      <c r="Z120" s="164"/>
      <c r="AA120" s="164"/>
      <c r="AB120" s="164"/>
      <c r="AC120" s="165"/>
      <c r="AD120" s="165"/>
      <c r="AE120" s="165"/>
      <c r="AF120" s="165"/>
      <c r="AG120" s="165"/>
      <c r="AH120" s="165"/>
      <c r="AI120" s="165"/>
      <c r="AJ120" s="165"/>
      <c r="AK120" s="165"/>
      <c r="AL120" s="165"/>
      <c r="AM120" s="165"/>
      <c r="AN120" s="165"/>
      <c r="AO120" s="165"/>
      <c r="AP120" s="166">
        <f t="shared" si="5"/>
        <v>0</v>
      </c>
      <c r="AQ120" s="164"/>
      <c r="AR120" s="167" t="str">
        <f>IF(B120="","",COUNTIF('Rel.Conjunts-Sistemes'!$B:$B,$B120))</f>
        <v/>
      </c>
      <c r="AS120" s="167" t="str">
        <f>IF(B120="","",COUNTIF('Dominis de dades'!$B:$B,$D120))</f>
        <v/>
      </c>
    </row>
    <row r="121" spans="2:45" ht="15" x14ac:dyDescent="0.3">
      <c r="B121" s="168"/>
      <c r="C121" s="169"/>
      <c r="D121" s="170"/>
      <c r="E121" s="171" t="str">
        <f t="shared" si="6"/>
        <v>-</v>
      </c>
      <c r="F121" s="162"/>
      <c r="G121" s="162"/>
      <c r="H121" s="163"/>
      <c r="I121" s="164"/>
      <c r="J121" s="163"/>
      <c r="K121" s="163"/>
      <c r="L121" s="163"/>
      <c r="M121" s="163"/>
      <c r="N121" s="163"/>
      <c r="O121" s="164"/>
      <c r="P121" s="164"/>
      <c r="Q121" s="164"/>
      <c r="R121" s="164"/>
      <c r="S121" s="164"/>
      <c r="T121" s="164"/>
      <c r="U121" s="164"/>
      <c r="V121" s="164"/>
      <c r="W121" s="164"/>
      <c r="X121" s="164"/>
      <c r="Y121" s="164"/>
      <c r="Z121" s="164"/>
      <c r="AA121" s="164"/>
      <c r="AB121" s="164"/>
      <c r="AC121" s="165"/>
      <c r="AD121" s="165"/>
      <c r="AE121" s="165"/>
      <c r="AF121" s="165"/>
      <c r="AG121" s="165"/>
      <c r="AH121" s="165"/>
      <c r="AI121" s="165"/>
      <c r="AJ121" s="165"/>
      <c r="AK121" s="165"/>
      <c r="AL121" s="165"/>
      <c r="AM121" s="165"/>
      <c r="AN121" s="165"/>
      <c r="AO121" s="165"/>
      <c r="AP121" s="166">
        <f t="shared" ref="AP121:AP184" si="7">AVERAGE(SUMIF(AnàlisiRiscos,AC121,AnàlisiRiscosGrau),SUMIF(AnàlisiRiscos,AD121,AnàlisiRiscosGrau),SUMIF(AnàlisiRiscos,AE121,AnàlisiRiscosGrau),SUMIF(AnàlisiRiscos,AF121,AnàlisiRiscosGrau),SUMIF(AnàlisiRiscos,AG121,AnàlisiRiscosGrau),SUMIF(AnàlisiRiscos,AH121,AnàlisiRiscosGrau),SUMIF(AnàlisiRiscos,AI121,AnàlisiRiscosGrau),SUMIF(AnàlisiRiscos,AJ121,AnàlisiRiscosGrau),SUMIF(AnàlisiRiscos,AK121,AnàlisiRiscosGrau),SUMIF(AnàlisiRiscos,AL121,AnàlisiRiscosGrau),SUMIF(AnàlisiRiscos,AM121,AnàlisiRiscosGrau),SUMIF(AnàlisiRiscos,AN121,AnàlisiRiscosGrau),SUMIF(AnàlisiRiscos,AO121,AnàlisiRiscosGrau))</f>
        <v>0</v>
      </c>
      <c r="AQ121" s="164"/>
      <c r="AR121" s="167" t="str">
        <f>IF(B121="","",COUNTIF('Rel.Conjunts-Sistemes'!$B:$B,$B121))</f>
        <v/>
      </c>
      <c r="AS121" s="167" t="str">
        <f>IF(B121="","",COUNTIF('Dominis de dades'!$B:$B,$D121))</f>
        <v/>
      </c>
    </row>
    <row r="122" spans="2:45" ht="15" x14ac:dyDescent="0.3">
      <c r="B122" s="168"/>
      <c r="C122" s="169"/>
      <c r="D122" s="170"/>
      <c r="E122" s="171" t="str">
        <f t="shared" si="6"/>
        <v>-</v>
      </c>
      <c r="F122" s="162"/>
      <c r="G122" s="162"/>
      <c r="H122" s="163"/>
      <c r="I122" s="164"/>
      <c r="J122" s="163"/>
      <c r="K122" s="163"/>
      <c r="L122" s="163"/>
      <c r="M122" s="163"/>
      <c r="N122" s="163"/>
      <c r="O122" s="164"/>
      <c r="P122" s="164"/>
      <c r="Q122" s="164"/>
      <c r="R122" s="164"/>
      <c r="S122" s="164"/>
      <c r="T122" s="164"/>
      <c r="U122" s="164"/>
      <c r="V122" s="164"/>
      <c r="W122" s="164"/>
      <c r="X122" s="164"/>
      <c r="Y122" s="164"/>
      <c r="Z122" s="164"/>
      <c r="AA122" s="164"/>
      <c r="AB122" s="164"/>
      <c r="AC122" s="165"/>
      <c r="AD122" s="165"/>
      <c r="AE122" s="165"/>
      <c r="AF122" s="165"/>
      <c r="AG122" s="165"/>
      <c r="AH122" s="165"/>
      <c r="AI122" s="165"/>
      <c r="AJ122" s="165"/>
      <c r="AK122" s="165"/>
      <c r="AL122" s="165"/>
      <c r="AM122" s="165"/>
      <c r="AN122" s="165"/>
      <c r="AO122" s="165"/>
      <c r="AP122" s="166">
        <f t="shared" si="7"/>
        <v>0</v>
      </c>
      <c r="AQ122" s="164"/>
      <c r="AR122" s="167" t="str">
        <f>IF(B122="","",COUNTIF('Rel.Conjunts-Sistemes'!$B:$B,$B122))</f>
        <v/>
      </c>
      <c r="AS122" s="167" t="str">
        <f>IF(B122="","",COUNTIF('Dominis de dades'!$B:$B,$D122))</f>
        <v/>
      </c>
    </row>
    <row r="123" spans="2:45" ht="15" x14ac:dyDescent="0.3">
      <c r="B123" s="168"/>
      <c r="C123" s="169"/>
      <c r="D123" s="170"/>
      <c r="E123" s="171" t="str">
        <f t="shared" si="6"/>
        <v>-</v>
      </c>
      <c r="F123" s="162"/>
      <c r="G123" s="162"/>
      <c r="H123" s="163"/>
      <c r="I123" s="164"/>
      <c r="J123" s="163"/>
      <c r="K123" s="163"/>
      <c r="L123" s="163"/>
      <c r="M123" s="163"/>
      <c r="N123" s="163"/>
      <c r="O123" s="164"/>
      <c r="P123" s="164"/>
      <c r="Q123" s="164"/>
      <c r="R123" s="164"/>
      <c r="S123" s="164"/>
      <c r="T123" s="164"/>
      <c r="U123" s="164"/>
      <c r="V123" s="164"/>
      <c r="W123" s="164"/>
      <c r="X123" s="164"/>
      <c r="Y123" s="164"/>
      <c r="Z123" s="164"/>
      <c r="AA123" s="164"/>
      <c r="AB123" s="164"/>
      <c r="AC123" s="165"/>
      <c r="AD123" s="165"/>
      <c r="AE123" s="165"/>
      <c r="AF123" s="165"/>
      <c r="AG123" s="165"/>
      <c r="AH123" s="165"/>
      <c r="AI123" s="165"/>
      <c r="AJ123" s="165"/>
      <c r="AK123" s="165"/>
      <c r="AL123" s="165"/>
      <c r="AM123" s="165"/>
      <c r="AN123" s="165"/>
      <c r="AO123" s="165"/>
      <c r="AP123" s="166">
        <f t="shared" si="7"/>
        <v>0</v>
      </c>
      <c r="AQ123" s="164"/>
      <c r="AR123" s="167" t="str">
        <f>IF(B123="","",COUNTIF('Rel.Conjunts-Sistemes'!$B:$B,$B123))</f>
        <v/>
      </c>
      <c r="AS123" s="167" t="str">
        <f>IF(B123="","",COUNTIF('Dominis de dades'!$B:$B,$D123))</f>
        <v/>
      </c>
    </row>
    <row r="124" spans="2:45" ht="15" x14ac:dyDescent="0.3">
      <c r="B124" s="168"/>
      <c r="C124" s="169"/>
      <c r="D124" s="170"/>
      <c r="E124" s="171" t="str">
        <f t="shared" si="6"/>
        <v>-</v>
      </c>
      <c r="F124" s="162"/>
      <c r="G124" s="162"/>
      <c r="H124" s="163"/>
      <c r="I124" s="164"/>
      <c r="J124" s="163"/>
      <c r="K124" s="163"/>
      <c r="L124" s="163"/>
      <c r="M124" s="163"/>
      <c r="N124" s="163"/>
      <c r="O124" s="164"/>
      <c r="P124" s="164"/>
      <c r="Q124" s="164"/>
      <c r="R124" s="164"/>
      <c r="S124" s="164"/>
      <c r="T124" s="164"/>
      <c r="U124" s="164"/>
      <c r="V124" s="164"/>
      <c r="W124" s="164"/>
      <c r="X124" s="164"/>
      <c r="Y124" s="164"/>
      <c r="Z124" s="164"/>
      <c r="AA124" s="164"/>
      <c r="AB124" s="164"/>
      <c r="AC124" s="165"/>
      <c r="AD124" s="165"/>
      <c r="AE124" s="165"/>
      <c r="AF124" s="165"/>
      <c r="AG124" s="165"/>
      <c r="AH124" s="165"/>
      <c r="AI124" s="165"/>
      <c r="AJ124" s="165"/>
      <c r="AK124" s="165"/>
      <c r="AL124" s="165"/>
      <c r="AM124" s="165"/>
      <c r="AN124" s="165"/>
      <c r="AO124" s="165"/>
      <c r="AP124" s="166">
        <f t="shared" si="7"/>
        <v>0</v>
      </c>
      <c r="AQ124" s="164"/>
      <c r="AR124" s="167" t="str">
        <f>IF(B124="","",COUNTIF('Rel.Conjunts-Sistemes'!$B:$B,$B124))</f>
        <v/>
      </c>
      <c r="AS124" s="167" t="str">
        <f>IF(B124="","",COUNTIF('Dominis de dades'!$B:$B,$D124))</f>
        <v/>
      </c>
    </row>
    <row r="125" spans="2:45" ht="15" x14ac:dyDescent="0.3">
      <c r="B125" s="168"/>
      <c r="C125" s="169"/>
      <c r="D125" s="170"/>
      <c r="E125" s="171" t="str">
        <f t="shared" si="6"/>
        <v>-</v>
      </c>
      <c r="F125" s="162"/>
      <c r="G125" s="162"/>
      <c r="H125" s="163"/>
      <c r="I125" s="164"/>
      <c r="J125" s="163"/>
      <c r="K125" s="163"/>
      <c r="L125" s="163"/>
      <c r="M125" s="163"/>
      <c r="N125" s="163"/>
      <c r="O125" s="164"/>
      <c r="P125" s="164"/>
      <c r="Q125" s="164"/>
      <c r="R125" s="164"/>
      <c r="S125" s="164"/>
      <c r="T125" s="164"/>
      <c r="U125" s="164"/>
      <c r="V125" s="164"/>
      <c r="W125" s="164"/>
      <c r="X125" s="164"/>
      <c r="Y125" s="164"/>
      <c r="Z125" s="164"/>
      <c r="AA125" s="164"/>
      <c r="AB125" s="164"/>
      <c r="AC125" s="165"/>
      <c r="AD125" s="165"/>
      <c r="AE125" s="165"/>
      <c r="AF125" s="165"/>
      <c r="AG125" s="165"/>
      <c r="AH125" s="165"/>
      <c r="AI125" s="165"/>
      <c r="AJ125" s="165"/>
      <c r="AK125" s="165"/>
      <c r="AL125" s="165"/>
      <c r="AM125" s="165"/>
      <c r="AN125" s="165"/>
      <c r="AO125" s="165"/>
      <c r="AP125" s="166">
        <f t="shared" si="7"/>
        <v>0</v>
      </c>
      <c r="AQ125" s="164"/>
      <c r="AR125" s="167" t="str">
        <f>IF(B125="","",COUNTIF('Rel.Conjunts-Sistemes'!$B:$B,$B125))</f>
        <v/>
      </c>
      <c r="AS125" s="167" t="str">
        <f>IF(B125="","",COUNTIF('Dominis de dades'!$B:$B,$D125))</f>
        <v/>
      </c>
    </row>
    <row r="126" spans="2:45" ht="15" x14ac:dyDescent="0.3">
      <c r="B126" s="168"/>
      <c r="C126" s="169"/>
      <c r="D126" s="170"/>
      <c r="E126" s="171" t="str">
        <f t="shared" si="6"/>
        <v>-</v>
      </c>
      <c r="F126" s="162"/>
      <c r="G126" s="162"/>
      <c r="H126" s="163"/>
      <c r="I126" s="164"/>
      <c r="J126" s="163"/>
      <c r="K126" s="163"/>
      <c r="L126" s="163"/>
      <c r="M126" s="163"/>
      <c r="N126" s="163"/>
      <c r="O126" s="164"/>
      <c r="P126" s="164"/>
      <c r="Q126" s="164"/>
      <c r="R126" s="164"/>
      <c r="S126" s="164"/>
      <c r="T126" s="164"/>
      <c r="U126" s="164"/>
      <c r="V126" s="164"/>
      <c r="W126" s="164"/>
      <c r="X126" s="164"/>
      <c r="Y126" s="164"/>
      <c r="Z126" s="164"/>
      <c r="AA126" s="164"/>
      <c r="AB126" s="164"/>
      <c r="AC126" s="165"/>
      <c r="AD126" s="165"/>
      <c r="AE126" s="165"/>
      <c r="AF126" s="165"/>
      <c r="AG126" s="165"/>
      <c r="AH126" s="165"/>
      <c r="AI126" s="165"/>
      <c r="AJ126" s="165"/>
      <c r="AK126" s="165"/>
      <c r="AL126" s="165"/>
      <c r="AM126" s="165"/>
      <c r="AN126" s="165"/>
      <c r="AO126" s="165"/>
      <c r="AP126" s="166">
        <f t="shared" si="7"/>
        <v>0</v>
      </c>
      <c r="AQ126" s="164"/>
      <c r="AR126" s="167" t="str">
        <f>IF(B126="","",COUNTIF('Rel.Conjunts-Sistemes'!$B:$B,$B126))</f>
        <v/>
      </c>
      <c r="AS126" s="167" t="str">
        <f>IF(B126="","",COUNTIF('Dominis de dades'!$B:$B,$D126))</f>
        <v/>
      </c>
    </row>
    <row r="127" spans="2:45" ht="15" x14ac:dyDescent="0.3">
      <c r="B127" s="168"/>
      <c r="C127" s="169"/>
      <c r="D127" s="170"/>
      <c r="E127" s="171" t="str">
        <f t="shared" si="6"/>
        <v>-</v>
      </c>
      <c r="F127" s="162"/>
      <c r="G127" s="162"/>
      <c r="H127" s="163"/>
      <c r="I127" s="164"/>
      <c r="J127" s="163"/>
      <c r="K127" s="163"/>
      <c r="L127" s="163"/>
      <c r="M127" s="163"/>
      <c r="N127" s="163"/>
      <c r="O127" s="164"/>
      <c r="P127" s="164"/>
      <c r="Q127" s="164"/>
      <c r="R127" s="164"/>
      <c r="S127" s="164"/>
      <c r="T127" s="164"/>
      <c r="U127" s="164"/>
      <c r="V127" s="164"/>
      <c r="W127" s="164"/>
      <c r="X127" s="164"/>
      <c r="Y127" s="164"/>
      <c r="Z127" s="164"/>
      <c r="AA127" s="164"/>
      <c r="AB127" s="164"/>
      <c r="AC127" s="165"/>
      <c r="AD127" s="165"/>
      <c r="AE127" s="165"/>
      <c r="AF127" s="165"/>
      <c r="AG127" s="165"/>
      <c r="AH127" s="165"/>
      <c r="AI127" s="165"/>
      <c r="AJ127" s="165"/>
      <c r="AK127" s="165"/>
      <c r="AL127" s="165"/>
      <c r="AM127" s="165"/>
      <c r="AN127" s="165"/>
      <c r="AO127" s="165"/>
      <c r="AP127" s="166">
        <f t="shared" si="7"/>
        <v>0</v>
      </c>
      <c r="AQ127" s="164"/>
      <c r="AR127" s="167" t="str">
        <f>IF(B127="","",COUNTIF('Rel.Conjunts-Sistemes'!$B:$B,$B127))</f>
        <v/>
      </c>
      <c r="AS127" s="167" t="str">
        <f>IF(B127="","",COUNTIF('Dominis de dades'!$B:$B,$D127))</f>
        <v/>
      </c>
    </row>
    <row r="128" spans="2:45" ht="15" x14ac:dyDescent="0.3">
      <c r="B128" s="168"/>
      <c r="C128" s="169"/>
      <c r="D128" s="170"/>
      <c r="E128" s="171" t="str">
        <f t="shared" si="6"/>
        <v>-</v>
      </c>
      <c r="F128" s="162"/>
      <c r="G128" s="162"/>
      <c r="H128" s="163"/>
      <c r="I128" s="164"/>
      <c r="J128" s="163"/>
      <c r="K128" s="163"/>
      <c r="L128" s="163"/>
      <c r="M128" s="163"/>
      <c r="N128" s="163"/>
      <c r="O128" s="164"/>
      <c r="P128" s="164"/>
      <c r="Q128" s="164"/>
      <c r="R128" s="164"/>
      <c r="S128" s="164"/>
      <c r="T128" s="164"/>
      <c r="U128" s="164"/>
      <c r="V128" s="164"/>
      <c r="W128" s="164"/>
      <c r="X128" s="164"/>
      <c r="Y128" s="164"/>
      <c r="Z128" s="164"/>
      <c r="AA128" s="164"/>
      <c r="AB128" s="164"/>
      <c r="AC128" s="165"/>
      <c r="AD128" s="165"/>
      <c r="AE128" s="165"/>
      <c r="AF128" s="165"/>
      <c r="AG128" s="165"/>
      <c r="AH128" s="165"/>
      <c r="AI128" s="165"/>
      <c r="AJ128" s="165"/>
      <c r="AK128" s="165"/>
      <c r="AL128" s="165"/>
      <c r="AM128" s="165"/>
      <c r="AN128" s="165"/>
      <c r="AO128" s="165"/>
      <c r="AP128" s="166">
        <f t="shared" si="7"/>
        <v>0</v>
      </c>
      <c r="AQ128" s="164"/>
      <c r="AR128" s="167" t="str">
        <f>IF(B128="","",COUNTIF('Rel.Conjunts-Sistemes'!$B:$B,$B128))</f>
        <v/>
      </c>
      <c r="AS128" s="167" t="str">
        <f>IF(B128="","",COUNTIF('Dominis de dades'!$B:$B,$D128))</f>
        <v/>
      </c>
    </row>
    <row r="129" spans="2:45" ht="15" x14ac:dyDescent="0.3">
      <c r="B129" s="168"/>
      <c r="C129" s="169"/>
      <c r="D129" s="170"/>
      <c r="E129" s="171" t="str">
        <f t="shared" si="6"/>
        <v>-</v>
      </c>
      <c r="F129" s="162"/>
      <c r="G129" s="162"/>
      <c r="H129" s="163"/>
      <c r="I129" s="164"/>
      <c r="J129" s="163"/>
      <c r="K129" s="163"/>
      <c r="L129" s="163"/>
      <c r="M129" s="163"/>
      <c r="N129" s="163"/>
      <c r="O129" s="164"/>
      <c r="P129" s="164"/>
      <c r="Q129" s="164"/>
      <c r="R129" s="164"/>
      <c r="S129" s="164"/>
      <c r="T129" s="164"/>
      <c r="U129" s="164"/>
      <c r="V129" s="164"/>
      <c r="W129" s="164"/>
      <c r="X129" s="164"/>
      <c r="Y129" s="164"/>
      <c r="Z129" s="164"/>
      <c r="AA129" s="164"/>
      <c r="AB129" s="164"/>
      <c r="AC129" s="165"/>
      <c r="AD129" s="165"/>
      <c r="AE129" s="165"/>
      <c r="AF129" s="165"/>
      <c r="AG129" s="165"/>
      <c r="AH129" s="165"/>
      <c r="AI129" s="165"/>
      <c r="AJ129" s="165"/>
      <c r="AK129" s="165"/>
      <c r="AL129" s="165"/>
      <c r="AM129" s="165"/>
      <c r="AN129" s="165"/>
      <c r="AO129" s="165"/>
      <c r="AP129" s="166">
        <f t="shared" si="7"/>
        <v>0</v>
      </c>
      <c r="AQ129" s="164"/>
      <c r="AR129" s="167" t="str">
        <f>IF(B129="","",COUNTIF('Rel.Conjunts-Sistemes'!$B:$B,$B129))</f>
        <v/>
      </c>
      <c r="AS129" s="167" t="str">
        <f>IF(B129="","",COUNTIF('Dominis de dades'!$B:$B,$D129))</f>
        <v/>
      </c>
    </row>
    <row r="130" spans="2:45" ht="15" x14ac:dyDescent="0.3">
      <c r="B130" s="168"/>
      <c r="C130" s="169"/>
      <c r="D130" s="170"/>
      <c r="E130" s="171" t="str">
        <f t="shared" si="6"/>
        <v>-</v>
      </c>
      <c r="F130" s="162"/>
      <c r="G130" s="162"/>
      <c r="H130" s="163"/>
      <c r="I130" s="164"/>
      <c r="J130" s="163"/>
      <c r="K130" s="163"/>
      <c r="L130" s="163"/>
      <c r="M130" s="163"/>
      <c r="N130" s="163"/>
      <c r="O130" s="164"/>
      <c r="P130" s="164"/>
      <c r="Q130" s="164"/>
      <c r="R130" s="164"/>
      <c r="S130" s="164"/>
      <c r="T130" s="164"/>
      <c r="U130" s="164"/>
      <c r="V130" s="164"/>
      <c r="W130" s="164"/>
      <c r="X130" s="164"/>
      <c r="Y130" s="164"/>
      <c r="Z130" s="164"/>
      <c r="AA130" s="164"/>
      <c r="AB130" s="164"/>
      <c r="AC130" s="165"/>
      <c r="AD130" s="165"/>
      <c r="AE130" s="165"/>
      <c r="AF130" s="165"/>
      <c r="AG130" s="165"/>
      <c r="AH130" s="165"/>
      <c r="AI130" s="165"/>
      <c r="AJ130" s="165"/>
      <c r="AK130" s="165"/>
      <c r="AL130" s="165"/>
      <c r="AM130" s="165"/>
      <c r="AN130" s="165"/>
      <c r="AO130" s="165"/>
      <c r="AP130" s="166">
        <f t="shared" si="7"/>
        <v>0</v>
      </c>
      <c r="AQ130" s="164"/>
      <c r="AR130" s="167" t="str">
        <f>IF(B130="","",COUNTIF('Rel.Conjunts-Sistemes'!$B:$B,$B130))</f>
        <v/>
      </c>
      <c r="AS130" s="167" t="str">
        <f>IF(B130="","",COUNTIF('Dominis de dades'!$B:$B,$D130))</f>
        <v/>
      </c>
    </row>
    <row r="131" spans="2:45" ht="15" x14ac:dyDescent="0.3">
      <c r="B131" s="168"/>
      <c r="C131" s="169"/>
      <c r="D131" s="170"/>
      <c r="E131" s="171" t="str">
        <f t="shared" si="6"/>
        <v>-</v>
      </c>
      <c r="F131" s="162"/>
      <c r="G131" s="162"/>
      <c r="H131" s="163"/>
      <c r="I131" s="164"/>
      <c r="J131" s="163"/>
      <c r="K131" s="163"/>
      <c r="L131" s="163"/>
      <c r="M131" s="163"/>
      <c r="N131" s="163"/>
      <c r="O131" s="164"/>
      <c r="P131" s="164"/>
      <c r="Q131" s="164"/>
      <c r="R131" s="164"/>
      <c r="S131" s="164"/>
      <c r="T131" s="164"/>
      <c r="U131" s="164"/>
      <c r="V131" s="164"/>
      <c r="W131" s="164"/>
      <c r="X131" s="164"/>
      <c r="Y131" s="164"/>
      <c r="Z131" s="164"/>
      <c r="AA131" s="164"/>
      <c r="AB131" s="164"/>
      <c r="AC131" s="165"/>
      <c r="AD131" s="165"/>
      <c r="AE131" s="165"/>
      <c r="AF131" s="165"/>
      <c r="AG131" s="165"/>
      <c r="AH131" s="165"/>
      <c r="AI131" s="165"/>
      <c r="AJ131" s="165"/>
      <c r="AK131" s="165"/>
      <c r="AL131" s="165"/>
      <c r="AM131" s="165"/>
      <c r="AN131" s="165"/>
      <c r="AO131" s="165"/>
      <c r="AP131" s="166">
        <f t="shared" si="7"/>
        <v>0</v>
      </c>
      <c r="AQ131" s="164"/>
      <c r="AR131" s="167" t="str">
        <f>IF(B131="","",COUNTIF('Rel.Conjunts-Sistemes'!$B:$B,$B131))</f>
        <v/>
      </c>
      <c r="AS131" s="167" t="str">
        <f>IF(B131="","",COUNTIF('Dominis de dades'!$B:$B,$D131))</f>
        <v/>
      </c>
    </row>
    <row r="132" spans="2:45" ht="15" x14ac:dyDescent="0.3">
      <c r="B132" s="168"/>
      <c r="C132" s="169"/>
      <c r="D132" s="170"/>
      <c r="E132" s="171" t="str">
        <f t="shared" si="6"/>
        <v>-</v>
      </c>
      <c r="F132" s="162"/>
      <c r="G132" s="162"/>
      <c r="H132" s="163"/>
      <c r="I132" s="164"/>
      <c r="J132" s="163"/>
      <c r="K132" s="163"/>
      <c r="L132" s="163"/>
      <c r="M132" s="163"/>
      <c r="N132" s="163"/>
      <c r="O132" s="164"/>
      <c r="P132" s="164"/>
      <c r="Q132" s="164"/>
      <c r="R132" s="164"/>
      <c r="S132" s="164"/>
      <c r="T132" s="164"/>
      <c r="U132" s="164"/>
      <c r="V132" s="164"/>
      <c r="W132" s="164"/>
      <c r="X132" s="164"/>
      <c r="Y132" s="164"/>
      <c r="Z132" s="164"/>
      <c r="AA132" s="164"/>
      <c r="AB132" s="164"/>
      <c r="AC132" s="165"/>
      <c r="AD132" s="165"/>
      <c r="AE132" s="165"/>
      <c r="AF132" s="165"/>
      <c r="AG132" s="165"/>
      <c r="AH132" s="165"/>
      <c r="AI132" s="165"/>
      <c r="AJ132" s="165"/>
      <c r="AK132" s="165"/>
      <c r="AL132" s="165"/>
      <c r="AM132" s="165"/>
      <c r="AN132" s="165"/>
      <c r="AO132" s="165"/>
      <c r="AP132" s="166">
        <f t="shared" si="7"/>
        <v>0</v>
      </c>
      <c r="AQ132" s="164"/>
      <c r="AR132" s="167" t="str">
        <f>IF(B132="","",COUNTIF('Rel.Conjunts-Sistemes'!$B:$B,$B132))</f>
        <v/>
      </c>
      <c r="AS132" s="167" t="str">
        <f>IF(B132="","",COUNTIF('Dominis de dades'!$B:$B,$D132))</f>
        <v/>
      </c>
    </row>
    <row r="133" spans="2:45" ht="15" x14ac:dyDescent="0.3">
      <c r="B133" s="168"/>
      <c r="C133" s="169"/>
      <c r="D133" s="170"/>
      <c r="E133" s="171" t="str">
        <f t="shared" si="6"/>
        <v>-</v>
      </c>
      <c r="F133" s="162"/>
      <c r="G133" s="162"/>
      <c r="H133" s="163"/>
      <c r="I133" s="164"/>
      <c r="J133" s="163"/>
      <c r="K133" s="163"/>
      <c r="L133" s="163"/>
      <c r="M133" s="163"/>
      <c r="N133" s="163"/>
      <c r="O133" s="164"/>
      <c r="P133" s="164"/>
      <c r="Q133" s="164"/>
      <c r="R133" s="164"/>
      <c r="S133" s="164"/>
      <c r="T133" s="164"/>
      <c r="U133" s="164"/>
      <c r="V133" s="164"/>
      <c r="W133" s="164"/>
      <c r="X133" s="164"/>
      <c r="Y133" s="164"/>
      <c r="Z133" s="164"/>
      <c r="AA133" s="164"/>
      <c r="AB133" s="164"/>
      <c r="AC133" s="165"/>
      <c r="AD133" s="165"/>
      <c r="AE133" s="165"/>
      <c r="AF133" s="165"/>
      <c r="AG133" s="165"/>
      <c r="AH133" s="165"/>
      <c r="AI133" s="165"/>
      <c r="AJ133" s="165"/>
      <c r="AK133" s="165"/>
      <c r="AL133" s="165"/>
      <c r="AM133" s="165"/>
      <c r="AN133" s="165"/>
      <c r="AO133" s="165"/>
      <c r="AP133" s="166">
        <f t="shared" si="7"/>
        <v>0</v>
      </c>
      <c r="AQ133" s="164"/>
      <c r="AR133" s="167" t="str">
        <f>IF(B133="","",COUNTIF('Rel.Conjunts-Sistemes'!$B:$B,$B133))</f>
        <v/>
      </c>
      <c r="AS133" s="167" t="str">
        <f>IF(B133="","",COUNTIF('Dominis de dades'!$B:$B,$D133))</f>
        <v/>
      </c>
    </row>
    <row r="134" spans="2:45" ht="15" x14ac:dyDescent="0.3">
      <c r="B134" s="168"/>
      <c r="C134" s="169"/>
      <c r="D134" s="170"/>
      <c r="E134" s="171" t="str">
        <f t="shared" si="6"/>
        <v>-</v>
      </c>
      <c r="F134" s="162"/>
      <c r="G134" s="162"/>
      <c r="H134" s="163"/>
      <c r="I134" s="164"/>
      <c r="J134" s="163"/>
      <c r="K134" s="163"/>
      <c r="L134" s="163"/>
      <c r="M134" s="163"/>
      <c r="N134" s="163"/>
      <c r="O134" s="164"/>
      <c r="P134" s="164"/>
      <c r="Q134" s="164"/>
      <c r="R134" s="164"/>
      <c r="S134" s="164"/>
      <c r="T134" s="164"/>
      <c r="U134" s="164"/>
      <c r="V134" s="164"/>
      <c r="W134" s="164"/>
      <c r="X134" s="164"/>
      <c r="Y134" s="164"/>
      <c r="Z134" s="164"/>
      <c r="AA134" s="164"/>
      <c r="AB134" s="164"/>
      <c r="AC134" s="165"/>
      <c r="AD134" s="165"/>
      <c r="AE134" s="165"/>
      <c r="AF134" s="165"/>
      <c r="AG134" s="165"/>
      <c r="AH134" s="165"/>
      <c r="AI134" s="165"/>
      <c r="AJ134" s="165"/>
      <c r="AK134" s="165"/>
      <c r="AL134" s="165"/>
      <c r="AM134" s="165"/>
      <c r="AN134" s="165"/>
      <c r="AO134" s="165"/>
      <c r="AP134" s="166">
        <f t="shared" si="7"/>
        <v>0</v>
      </c>
      <c r="AQ134" s="164"/>
      <c r="AR134" s="167" t="str">
        <f>IF(B134="","",COUNTIF('Rel.Conjunts-Sistemes'!$B:$B,$B134))</f>
        <v/>
      </c>
      <c r="AS134" s="167" t="str">
        <f>IF(B134="","",COUNTIF('Dominis de dades'!$B:$B,$D134))</f>
        <v/>
      </c>
    </row>
    <row r="135" spans="2:45" ht="15" x14ac:dyDescent="0.3">
      <c r="B135" s="168"/>
      <c r="C135" s="169"/>
      <c r="D135" s="170"/>
      <c r="E135" s="171" t="str">
        <f t="shared" si="6"/>
        <v>-</v>
      </c>
      <c r="F135" s="162"/>
      <c r="G135" s="162"/>
      <c r="H135" s="163"/>
      <c r="I135" s="164"/>
      <c r="J135" s="163"/>
      <c r="K135" s="163"/>
      <c r="L135" s="163"/>
      <c r="M135" s="163"/>
      <c r="N135" s="163"/>
      <c r="O135" s="164"/>
      <c r="P135" s="164"/>
      <c r="Q135" s="164"/>
      <c r="R135" s="164"/>
      <c r="S135" s="164"/>
      <c r="T135" s="164"/>
      <c r="U135" s="164"/>
      <c r="V135" s="164"/>
      <c r="W135" s="164"/>
      <c r="X135" s="164"/>
      <c r="Y135" s="164"/>
      <c r="Z135" s="164"/>
      <c r="AA135" s="164"/>
      <c r="AB135" s="164"/>
      <c r="AC135" s="165"/>
      <c r="AD135" s="165"/>
      <c r="AE135" s="165"/>
      <c r="AF135" s="165"/>
      <c r="AG135" s="165"/>
      <c r="AH135" s="165"/>
      <c r="AI135" s="165"/>
      <c r="AJ135" s="165"/>
      <c r="AK135" s="165"/>
      <c r="AL135" s="165"/>
      <c r="AM135" s="165"/>
      <c r="AN135" s="165"/>
      <c r="AO135" s="165"/>
      <c r="AP135" s="166">
        <f t="shared" si="7"/>
        <v>0</v>
      </c>
      <c r="AQ135" s="164"/>
      <c r="AR135" s="167" t="str">
        <f>IF(B135="","",COUNTIF('Rel.Conjunts-Sistemes'!$B:$B,$B135))</f>
        <v/>
      </c>
      <c r="AS135" s="167" t="str">
        <f>IF(B135="","",COUNTIF('Dominis de dades'!$B:$B,$D135))</f>
        <v/>
      </c>
    </row>
    <row r="136" spans="2:45" ht="15" x14ac:dyDescent="0.3">
      <c r="B136" s="168"/>
      <c r="C136" s="169"/>
      <c r="D136" s="170"/>
      <c r="E136" s="171" t="str">
        <f t="shared" si="6"/>
        <v>-</v>
      </c>
      <c r="F136" s="162"/>
      <c r="G136" s="162"/>
      <c r="H136" s="163"/>
      <c r="I136" s="164"/>
      <c r="J136" s="163"/>
      <c r="K136" s="163"/>
      <c r="L136" s="163"/>
      <c r="M136" s="163"/>
      <c r="N136" s="163"/>
      <c r="O136" s="164"/>
      <c r="P136" s="164"/>
      <c r="Q136" s="164"/>
      <c r="R136" s="164"/>
      <c r="S136" s="164"/>
      <c r="T136" s="164"/>
      <c r="U136" s="164"/>
      <c r="V136" s="164"/>
      <c r="W136" s="164"/>
      <c r="X136" s="164"/>
      <c r="Y136" s="164"/>
      <c r="Z136" s="164"/>
      <c r="AA136" s="164"/>
      <c r="AB136" s="164"/>
      <c r="AC136" s="165"/>
      <c r="AD136" s="165"/>
      <c r="AE136" s="165"/>
      <c r="AF136" s="165"/>
      <c r="AG136" s="165"/>
      <c r="AH136" s="165"/>
      <c r="AI136" s="165"/>
      <c r="AJ136" s="165"/>
      <c r="AK136" s="165"/>
      <c r="AL136" s="165"/>
      <c r="AM136" s="165"/>
      <c r="AN136" s="165"/>
      <c r="AO136" s="165"/>
      <c r="AP136" s="166">
        <f t="shared" si="7"/>
        <v>0</v>
      </c>
      <c r="AQ136" s="164"/>
      <c r="AR136" s="167" t="str">
        <f>IF(B136="","",COUNTIF('Rel.Conjunts-Sistemes'!$B:$B,$B136))</f>
        <v/>
      </c>
      <c r="AS136" s="167" t="str">
        <f>IF(B136="","",COUNTIF('Dominis de dades'!$B:$B,$D136))</f>
        <v/>
      </c>
    </row>
    <row r="137" spans="2:45" ht="15" x14ac:dyDescent="0.3">
      <c r="B137" s="168"/>
      <c r="C137" s="169"/>
      <c r="D137" s="170"/>
      <c r="E137" s="171" t="str">
        <f t="shared" ref="E137:E168" si="8">IF(D137="","-",IF(ISERROR(VLOOKUP(D137,DominisDades,3,0)),"&lt;&lt;Domini erroni&gt;&gt;",VLOOKUP(D137,DominisDades,3,0)))</f>
        <v>-</v>
      </c>
      <c r="F137" s="162"/>
      <c r="G137" s="162"/>
      <c r="H137" s="163"/>
      <c r="I137" s="164"/>
      <c r="J137" s="163"/>
      <c r="K137" s="163"/>
      <c r="L137" s="163"/>
      <c r="M137" s="163"/>
      <c r="N137" s="163"/>
      <c r="O137" s="164"/>
      <c r="P137" s="164"/>
      <c r="Q137" s="164"/>
      <c r="R137" s="164"/>
      <c r="S137" s="164"/>
      <c r="T137" s="164"/>
      <c r="U137" s="164"/>
      <c r="V137" s="164"/>
      <c r="W137" s="164"/>
      <c r="X137" s="164"/>
      <c r="Y137" s="164"/>
      <c r="Z137" s="164"/>
      <c r="AA137" s="164"/>
      <c r="AB137" s="164"/>
      <c r="AC137" s="165"/>
      <c r="AD137" s="165"/>
      <c r="AE137" s="165"/>
      <c r="AF137" s="165"/>
      <c r="AG137" s="165"/>
      <c r="AH137" s="165"/>
      <c r="AI137" s="165"/>
      <c r="AJ137" s="165"/>
      <c r="AK137" s="165"/>
      <c r="AL137" s="165"/>
      <c r="AM137" s="165"/>
      <c r="AN137" s="165"/>
      <c r="AO137" s="165"/>
      <c r="AP137" s="166">
        <f t="shared" si="7"/>
        <v>0</v>
      </c>
      <c r="AQ137" s="164"/>
      <c r="AR137" s="167" t="str">
        <f>IF(B137="","",COUNTIF('Rel.Conjunts-Sistemes'!$B:$B,$B137))</f>
        <v/>
      </c>
      <c r="AS137" s="167" t="str">
        <f>IF(B137="","",COUNTIF('Dominis de dades'!$B:$B,$D137))</f>
        <v/>
      </c>
    </row>
    <row r="138" spans="2:45" ht="15" x14ac:dyDescent="0.3">
      <c r="B138" s="168"/>
      <c r="C138" s="169"/>
      <c r="D138" s="170"/>
      <c r="E138" s="171" t="str">
        <f t="shared" si="8"/>
        <v>-</v>
      </c>
      <c r="F138" s="162"/>
      <c r="G138" s="162"/>
      <c r="H138" s="163"/>
      <c r="I138" s="164"/>
      <c r="J138" s="163"/>
      <c r="K138" s="163"/>
      <c r="L138" s="163"/>
      <c r="M138" s="163"/>
      <c r="N138" s="163"/>
      <c r="O138" s="164"/>
      <c r="P138" s="164"/>
      <c r="Q138" s="164"/>
      <c r="R138" s="164"/>
      <c r="S138" s="164"/>
      <c r="T138" s="164"/>
      <c r="U138" s="164"/>
      <c r="V138" s="164"/>
      <c r="W138" s="164"/>
      <c r="X138" s="164"/>
      <c r="Y138" s="164"/>
      <c r="Z138" s="164"/>
      <c r="AA138" s="164"/>
      <c r="AB138" s="164"/>
      <c r="AC138" s="165"/>
      <c r="AD138" s="165"/>
      <c r="AE138" s="165"/>
      <c r="AF138" s="165"/>
      <c r="AG138" s="165"/>
      <c r="AH138" s="165"/>
      <c r="AI138" s="165"/>
      <c r="AJ138" s="165"/>
      <c r="AK138" s="165"/>
      <c r="AL138" s="165"/>
      <c r="AM138" s="165"/>
      <c r="AN138" s="165"/>
      <c r="AO138" s="165"/>
      <c r="AP138" s="166">
        <f t="shared" si="7"/>
        <v>0</v>
      </c>
      <c r="AQ138" s="164"/>
      <c r="AR138" s="167" t="str">
        <f>IF(B138="","",COUNTIF('Rel.Conjunts-Sistemes'!$B:$B,$B138))</f>
        <v/>
      </c>
      <c r="AS138" s="167" t="str">
        <f>IF(B138="","",COUNTIF('Dominis de dades'!$B:$B,$D138))</f>
        <v/>
      </c>
    </row>
    <row r="139" spans="2:45" ht="15" x14ac:dyDescent="0.3">
      <c r="B139" s="168"/>
      <c r="C139" s="169"/>
      <c r="D139" s="170"/>
      <c r="E139" s="171" t="str">
        <f t="shared" si="8"/>
        <v>-</v>
      </c>
      <c r="F139" s="162"/>
      <c r="G139" s="162"/>
      <c r="H139" s="163"/>
      <c r="I139" s="164"/>
      <c r="J139" s="163"/>
      <c r="K139" s="163"/>
      <c r="L139" s="163"/>
      <c r="M139" s="163"/>
      <c r="N139" s="163"/>
      <c r="O139" s="164"/>
      <c r="P139" s="164"/>
      <c r="Q139" s="164"/>
      <c r="R139" s="164"/>
      <c r="S139" s="164"/>
      <c r="T139" s="164"/>
      <c r="U139" s="164"/>
      <c r="V139" s="164"/>
      <c r="W139" s="164"/>
      <c r="X139" s="164"/>
      <c r="Y139" s="164"/>
      <c r="Z139" s="164"/>
      <c r="AA139" s="164"/>
      <c r="AB139" s="164"/>
      <c r="AC139" s="165"/>
      <c r="AD139" s="165"/>
      <c r="AE139" s="165"/>
      <c r="AF139" s="165"/>
      <c r="AG139" s="165"/>
      <c r="AH139" s="165"/>
      <c r="AI139" s="165"/>
      <c r="AJ139" s="165"/>
      <c r="AK139" s="165"/>
      <c r="AL139" s="165"/>
      <c r="AM139" s="165"/>
      <c r="AN139" s="165"/>
      <c r="AO139" s="165"/>
      <c r="AP139" s="166">
        <f t="shared" si="7"/>
        <v>0</v>
      </c>
      <c r="AQ139" s="164"/>
      <c r="AR139" s="167" t="str">
        <f>IF(B139="","",COUNTIF('Rel.Conjunts-Sistemes'!$B:$B,$B139))</f>
        <v/>
      </c>
      <c r="AS139" s="167" t="str">
        <f>IF(B139="","",COUNTIF('Dominis de dades'!$B:$B,$D139))</f>
        <v/>
      </c>
    </row>
    <row r="140" spans="2:45" ht="15" x14ac:dyDescent="0.3">
      <c r="B140" s="168"/>
      <c r="C140" s="169"/>
      <c r="D140" s="170"/>
      <c r="E140" s="171" t="str">
        <f t="shared" si="8"/>
        <v>-</v>
      </c>
      <c r="F140" s="162"/>
      <c r="G140" s="162"/>
      <c r="H140" s="163"/>
      <c r="I140" s="164"/>
      <c r="J140" s="163"/>
      <c r="K140" s="163"/>
      <c r="L140" s="163"/>
      <c r="M140" s="163"/>
      <c r="N140" s="163"/>
      <c r="O140" s="164"/>
      <c r="P140" s="164"/>
      <c r="Q140" s="164"/>
      <c r="R140" s="164"/>
      <c r="S140" s="164"/>
      <c r="T140" s="164"/>
      <c r="U140" s="164"/>
      <c r="V140" s="164"/>
      <c r="W140" s="164"/>
      <c r="X140" s="164"/>
      <c r="Y140" s="164"/>
      <c r="Z140" s="164"/>
      <c r="AA140" s="164"/>
      <c r="AB140" s="164"/>
      <c r="AC140" s="165"/>
      <c r="AD140" s="165"/>
      <c r="AE140" s="165"/>
      <c r="AF140" s="165"/>
      <c r="AG140" s="165"/>
      <c r="AH140" s="165"/>
      <c r="AI140" s="165"/>
      <c r="AJ140" s="165"/>
      <c r="AK140" s="165"/>
      <c r="AL140" s="165"/>
      <c r="AM140" s="165"/>
      <c r="AN140" s="165"/>
      <c r="AO140" s="165"/>
      <c r="AP140" s="166">
        <f t="shared" si="7"/>
        <v>0</v>
      </c>
      <c r="AQ140" s="164"/>
      <c r="AR140" s="167" t="str">
        <f>IF(B140="","",COUNTIF('Rel.Conjunts-Sistemes'!$B:$B,$B140))</f>
        <v/>
      </c>
      <c r="AS140" s="167" t="str">
        <f>IF(B140="","",COUNTIF('Dominis de dades'!$B:$B,$D140))</f>
        <v/>
      </c>
    </row>
    <row r="141" spans="2:45" ht="15" x14ac:dyDescent="0.3">
      <c r="B141" s="168"/>
      <c r="C141" s="169"/>
      <c r="D141" s="170"/>
      <c r="E141" s="171" t="str">
        <f t="shared" si="8"/>
        <v>-</v>
      </c>
      <c r="F141" s="162"/>
      <c r="G141" s="162"/>
      <c r="H141" s="163"/>
      <c r="I141" s="164"/>
      <c r="J141" s="163"/>
      <c r="K141" s="163"/>
      <c r="L141" s="163"/>
      <c r="M141" s="163"/>
      <c r="N141" s="163"/>
      <c r="O141" s="164"/>
      <c r="P141" s="164"/>
      <c r="Q141" s="164"/>
      <c r="R141" s="164"/>
      <c r="S141" s="164"/>
      <c r="T141" s="164"/>
      <c r="U141" s="164"/>
      <c r="V141" s="164"/>
      <c r="W141" s="164"/>
      <c r="X141" s="164"/>
      <c r="Y141" s="164"/>
      <c r="Z141" s="164"/>
      <c r="AA141" s="164"/>
      <c r="AB141" s="164"/>
      <c r="AC141" s="165"/>
      <c r="AD141" s="165"/>
      <c r="AE141" s="165"/>
      <c r="AF141" s="165"/>
      <c r="AG141" s="165"/>
      <c r="AH141" s="165"/>
      <c r="AI141" s="165"/>
      <c r="AJ141" s="165"/>
      <c r="AK141" s="165"/>
      <c r="AL141" s="165"/>
      <c r="AM141" s="165"/>
      <c r="AN141" s="165"/>
      <c r="AO141" s="165"/>
      <c r="AP141" s="166">
        <f t="shared" si="7"/>
        <v>0</v>
      </c>
      <c r="AQ141" s="164"/>
      <c r="AR141" s="167" t="str">
        <f>IF(B141="","",COUNTIF('Rel.Conjunts-Sistemes'!$B:$B,$B141))</f>
        <v/>
      </c>
      <c r="AS141" s="167" t="str">
        <f>IF(B141="","",COUNTIF('Dominis de dades'!$B:$B,$D141))</f>
        <v/>
      </c>
    </row>
    <row r="142" spans="2:45" ht="15" x14ac:dyDescent="0.3">
      <c r="B142" s="168"/>
      <c r="C142" s="169"/>
      <c r="D142" s="170"/>
      <c r="E142" s="171" t="str">
        <f t="shared" si="8"/>
        <v>-</v>
      </c>
      <c r="F142" s="162"/>
      <c r="G142" s="162"/>
      <c r="H142" s="163"/>
      <c r="I142" s="164"/>
      <c r="J142" s="163"/>
      <c r="K142" s="163"/>
      <c r="L142" s="163"/>
      <c r="M142" s="163"/>
      <c r="N142" s="163"/>
      <c r="O142" s="164"/>
      <c r="P142" s="164"/>
      <c r="Q142" s="164"/>
      <c r="R142" s="164"/>
      <c r="S142" s="164"/>
      <c r="T142" s="164"/>
      <c r="U142" s="164"/>
      <c r="V142" s="164"/>
      <c r="W142" s="164"/>
      <c r="X142" s="164"/>
      <c r="Y142" s="164"/>
      <c r="Z142" s="164"/>
      <c r="AA142" s="164"/>
      <c r="AB142" s="164"/>
      <c r="AC142" s="165"/>
      <c r="AD142" s="165"/>
      <c r="AE142" s="165"/>
      <c r="AF142" s="165"/>
      <c r="AG142" s="165"/>
      <c r="AH142" s="165"/>
      <c r="AI142" s="165"/>
      <c r="AJ142" s="165"/>
      <c r="AK142" s="165"/>
      <c r="AL142" s="165"/>
      <c r="AM142" s="165"/>
      <c r="AN142" s="165"/>
      <c r="AO142" s="165"/>
      <c r="AP142" s="166">
        <f t="shared" si="7"/>
        <v>0</v>
      </c>
      <c r="AQ142" s="164"/>
      <c r="AR142" s="167" t="str">
        <f>IF(B142="","",COUNTIF('Rel.Conjunts-Sistemes'!$B:$B,$B142))</f>
        <v/>
      </c>
      <c r="AS142" s="167" t="str">
        <f>IF(B142="","",COUNTIF('Dominis de dades'!$B:$B,$D142))</f>
        <v/>
      </c>
    </row>
    <row r="143" spans="2:45" ht="15" x14ac:dyDescent="0.3">
      <c r="B143" s="168"/>
      <c r="C143" s="169"/>
      <c r="D143" s="170"/>
      <c r="E143" s="171" t="str">
        <f t="shared" si="8"/>
        <v>-</v>
      </c>
      <c r="F143" s="162"/>
      <c r="G143" s="162"/>
      <c r="H143" s="163"/>
      <c r="I143" s="164"/>
      <c r="J143" s="163"/>
      <c r="K143" s="163"/>
      <c r="L143" s="163"/>
      <c r="M143" s="163"/>
      <c r="N143" s="163"/>
      <c r="O143" s="164"/>
      <c r="P143" s="164"/>
      <c r="Q143" s="164"/>
      <c r="R143" s="164"/>
      <c r="S143" s="164"/>
      <c r="T143" s="164"/>
      <c r="U143" s="164"/>
      <c r="V143" s="164"/>
      <c r="W143" s="164"/>
      <c r="X143" s="164"/>
      <c r="Y143" s="164"/>
      <c r="Z143" s="164"/>
      <c r="AA143" s="164"/>
      <c r="AB143" s="164"/>
      <c r="AC143" s="165"/>
      <c r="AD143" s="165"/>
      <c r="AE143" s="165"/>
      <c r="AF143" s="165"/>
      <c r="AG143" s="165"/>
      <c r="AH143" s="165"/>
      <c r="AI143" s="165"/>
      <c r="AJ143" s="165"/>
      <c r="AK143" s="165"/>
      <c r="AL143" s="165"/>
      <c r="AM143" s="165"/>
      <c r="AN143" s="165"/>
      <c r="AO143" s="165"/>
      <c r="AP143" s="166">
        <f t="shared" si="7"/>
        <v>0</v>
      </c>
      <c r="AQ143" s="164"/>
      <c r="AR143" s="167" t="str">
        <f>IF(B143="","",COUNTIF('Rel.Conjunts-Sistemes'!$B:$B,$B143))</f>
        <v/>
      </c>
      <c r="AS143" s="167" t="str">
        <f>IF(B143="","",COUNTIF('Dominis de dades'!$B:$B,$D143))</f>
        <v/>
      </c>
    </row>
    <row r="144" spans="2:45" ht="15" x14ac:dyDescent="0.3">
      <c r="B144" s="168"/>
      <c r="C144" s="169"/>
      <c r="D144" s="170"/>
      <c r="E144" s="171" t="str">
        <f t="shared" si="8"/>
        <v>-</v>
      </c>
      <c r="F144" s="162"/>
      <c r="G144" s="162"/>
      <c r="H144" s="163"/>
      <c r="I144" s="164"/>
      <c r="J144" s="163"/>
      <c r="K144" s="163"/>
      <c r="L144" s="163"/>
      <c r="M144" s="163"/>
      <c r="N144" s="163"/>
      <c r="O144" s="164"/>
      <c r="P144" s="164"/>
      <c r="Q144" s="164"/>
      <c r="R144" s="164"/>
      <c r="S144" s="164"/>
      <c r="T144" s="164"/>
      <c r="U144" s="164"/>
      <c r="V144" s="164"/>
      <c r="W144" s="164"/>
      <c r="X144" s="164"/>
      <c r="Y144" s="164"/>
      <c r="Z144" s="164"/>
      <c r="AA144" s="164"/>
      <c r="AB144" s="164"/>
      <c r="AC144" s="165"/>
      <c r="AD144" s="165"/>
      <c r="AE144" s="165"/>
      <c r="AF144" s="165"/>
      <c r="AG144" s="165"/>
      <c r="AH144" s="165"/>
      <c r="AI144" s="165"/>
      <c r="AJ144" s="165"/>
      <c r="AK144" s="165"/>
      <c r="AL144" s="165"/>
      <c r="AM144" s="165"/>
      <c r="AN144" s="165"/>
      <c r="AO144" s="165"/>
      <c r="AP144" s="166">
        <f t="shared" si="7"/>
        <v>0</v>
      </c>
      <c r="AQ144" s="164"/>
      <c r="AR144" s="167" t="str">
        <f>IF(B144="","",COUNTIF('Rel.Conjunts-Sistemes'!$B:$B,$B144))</f>
        <v/>
      </c>
      <c r="AS144" s="167" t="str">
        <f>IF(B144="","",COUNTIF('Dominis de dades'!$B:$B,$D144))</f>
        <v/>
      </c>
    </row>
    <row r="145" spans="2:45" ht="15" x14ac:dyDescent="0.3">
      <c r="B145" s="168"/>
      <c r="C145" s="169"/>
      <c r="D145" s="170"/>
      <c r="E145" s="171" t="str">
        <f t="shared" si="8"/>
        <v>-</v>
      </c>
      <c r="F145" s="162"/>
      <c r="G145" s="162"/>
      <c r="H145" s="163"/>
      <c r="I145" s="164"/>
      <c r="J145" s="163"/>
      <c r="K145" s="163"/>
      <c r="L145" s="163"/>
      <c r="M145" s="163"/>
      <c r="N145" s="163"/>
      <c r="O145" s="164"/>
      <c r="P145" s="164"/>
      <c r="Q145" s="164"/>
      <c r="R145" s="164"/>
      <c r="S145" s="164"/>
      <c r="T145" s="164"/>
      <c r="U145" s="164"/>
      <c r="V145" s="164"/>
      <c r="W145" s="164"/>
      <c r="X145" s="164"/>
      <c r="Y145" s="164"/>
      <c r="Z145" s="164"/>
      <c r="AA145" s="164"/>
      <c r="AB145" s="164"/>
      <c r="AC145" s="165"/>
      <c r="AD145" s="165"/>
      <c r="AE145" s="165"/>
      <c r="AF145" s="165"/>
      <c r="AG145" s="165"/>
      <c r="AH145" s="165"/>
      <c r="AI145" s="165"/>
      <c r="AJ145" s="165"/>
      <c r="AK145" s="165"/>
      <c r="AL145" s="165"/>
      <c r="AM145" s="165"/>
      <c r="AN145" s="165"/>
      <c r="AO145" s="165"/>
      <c r="AP145" s="166">
        <f t="shared" si="7"/>
        <v>0</v>
      </c>
      <c r="AQ145" s="164"/>
      <c r="AR145" s="167" t="str">
        <f>IF(B145="","",COUNTIF('Rel.Conjunts-Sistemes'!$B:$B,$B145))</f>
        <v/>
      </c>
      <c r="AS145" s="167" t="str">
        <f>IF(B145="","",COUNTIF('Dominis de dades'!$B:$B,$D145))</f>
        <v/>
      </c>
    </row>
    <row r="146" spans="2:45" ht="15" x14ac:dyDescent="0.3">
      <c r="B146" s="168"/>
      <c r="C146" s="169"/>
      <c r="D146" s="170"/>
      <c r="E146" s="171" t="str">
        <f t="shared" si="8"/>
        <v>-</v>
      </c>
      <c r="F146" s="162"/>
      <c r="G146" s="162"/>
      <c r="H146" s="163"/>
      <c r="I146" s="164"/>
      <c r="J146" s="163"/>
      <c r="K146" s="163"/>
      <c r="L146" s="163"/>
      <c r="M146" s="163"/>
      <c r="N146" s="163"/>
      <c r="O146" s="164"/>
      <c r="P146" s="164"/>
      <c r="Q146" s="164"/>
      <c r="R146" s="164"/>
      <c r="S146" s="164"/>
      <c r="T146" s="164"/>
      <c r="U146" s="164"/>
      <c r="V146" s="164"/>
      <c r="W146" s="164"/>
      <c r="X146" s="164"/>
      <c r="Y146" s="164"/>
      <c r="Z146" s="164"/>
      <c r="AA146" s="164"/>
      <c r="AB146" s="164"/>
      <c r="AC146" s="165"/>
      <c r="AD146" s="165"/>
      <c r="AE146" s="165"/>
      <c r="AF146" s="165"/>
      <c r="AG146" s="165"/>
      <c r="AH146" s="165"/>
      <c r="AI146" s="165"/>
      <c r="AJ146" s="165"/>
      <c r="AK146" s="165"/>
      <c r="AL146" s="165"/>
      <c r="AM146" s="165"/>
      <c r="AN146" s="165"/>
      <c r="AO146" s="165"/>
      <c r="AP146" s="166">
        <f t="shared" si="7"/>
        <v>0</v>
      </c>
      <c r="AQ146" s="164"/>
      <c r="AR146" s="167" t="str">
        <f>IF(B146="","",COUNTIF('Rel.Conjunts-Sistemes'!$B:$B,$B146))</f>
        <v/>
      </c>
      <c r="AS146" s="167" t="str">
        <f>IF(B146="","",COUNTIF('Dominis de dades'!$B:$B,$D146))</f>
        <v/>
      </c>
    </row>
    <row r="147" spans="2:45" ht="15" x14ac:dyDescent="0.3">
      <c r="B147" s="168"/>
      <c r="C147" s="169"/>
      <c r="D147" s="170"/>
      <c r="E147" s="171" t="str">
        <f t="shared" si="8"/>
        <v>-</v>
      </c>
      <c r="F147" s="162"/>
      <c r="G147" s="162"/>
      <c r="H147" s="163"/>
      <c r="I147" s="164"/>
      <c r="J147" s="163"/>
      <c r="K147" s="163"/>
      <c r="L147" s="163"/>
      <c r="M147" s="163"/>
      <c r="N147" s="163"/>
      <c r="O147" s="164"/>
      <c r="P147" s="164"/>
      <c r="Q147" s="164"/>
      <c r="R147" s="164"/>
      <c r="S147" s="164"/>
      <c r="T147" s="164"/>
      <c r="U147" s="164"/>
      <c r="V147" s="164"/>
      <c r="W147" s="164"/>
      <c r="X147" s="164"/>
      <c r="Y147" s="164"/>
      <c r="Z147" s="164"/>
      <c r="AA147" s="164"/>
      <c r="AB147" s="164"/>
      <c r="AC147" s="165"/>
      <c r="AD147" s="165"/>
      <c r="AE147" s="165"/>
      <c r="AF147" s="165"/>
      <c r="AG147" s="165"/>
      <c r="AH147" s="165"/>
      <c r="AI147" s="165"/>
      <c r="AJ147" s="165"/>
      <c r="AK147" s="165"/>
      <c r="AL147" s="165"/>
      <c r="AM147" s="165"/>
      <c r="AN147" s="165"/>
      <c r="AO147" s="165"/>
      <c r="AP147" s="166">
        <f t="shared" si="7"/>
        <v>0</v>
      </c>
      <c r="AQ147" s="164"/>
      <c r="AR147" s="167" t="str">
        <f>IF(B147="","",COUNTIF('Rel.Conjunts-Sistemes'!$B:$B,$B147))</f>
        <v/>
      </c>
      <c r="AS147" s="167" t="str">
        <f>IF(B147="","",COUNTIF('Dominis de dades'!$B:$B,$D147))</f>
        <v/>
      </c>
    </row>
    <row r="148" spans="2:45" ht="15" x14ac:dyDescent="0.3">
      <c r="B148" s="168"/>
      <c r="C148" s="169"/>
      <c r="D148" s="170"/>
      <c r="E148" s="171" t="str">
        <f t="shared" si="8"/>
        <v>-</v>
      </c>
      <c r="F148" s="162"/>
      <c r="G148" s="162"/>
      <c r="H148" s="163"/>
      <c r="I148" s="164"/>
      <c r="J148" s="163"/>
      <c r="K148" s="163"/>
      <c r="L148" s="163"/>
      <c r="M148" s="163"/>
      <c r="N148" s="163"/>
      <c r="O148" s="164"/>
      <c r="P148" s="164"/>
      <c r="Q148" s="164"/>
      <c r="R148" s="164"/>
      <c r="S148" s="164"/>
      <c r="T148" s="164"/>
      <c r="U148" s="164"/>
      <c r="V148" s="164"/>
      <c r="W148" s="164"/>
      <c r="X148" s="164"/>
      <c r="Y148" s="164"/>
      <c r="Z148" s="164"/>
      <c r="AA148" s="164"/>
      <c r="AB148" s="164"/>
      <c r="AC148" s="165"/>
      <c r="AD148" s="165"/>
      <c r="AE148" s="165"/>
      <c r="AF148" s="165"/>
      <c r="AG148" s="165"/>
      <c r="AH148" s="165"/>
      <c r="AI148" s="165"/>
      <c r="AJ148" s="165"/>
      <c r="AK148" s="165"/>
      <c r="AL148" s="165"/>
      <c r="AM148" s="165"/>
      <c r="AN148" s="165"/>
      <c r="AO148" s="165"/>
      <c r="AP148" s="166">
        <f t="shared" si="7"/>
        <v>0</v>
      </c>
      <c r="AQ148" s="164"/>
      <c r="AR148" s="167" t="str">
        <f>IF(B148="","",COUNTIF('Rel.Conjunts-Sistemes'!$B:$B,$B148))</f>
        <v/>
      </c>
      <c r="AS148" s="167" t="str">
        <f>IF(B148="","",COUNTIF('Dominis de dades'!$B:$B,$D148))</f>
        <v/>
      </c>
    </row>
    <row r="149" spans="2:45" ht="15" x14ac:dyDescent="0.3">
      <c r="B149" s="168"/>
      <c r="C149" s="169"/>
      <c r="D149" s="170"/>
      <c r="E149" s="171" t="str">
        <f t="shared" si="8"/>
        <v>-</v>
      </c>
      <c r="F149" s="162"/>
      <c r="G149" s="162"/>
      <c r="H149" s="163"/>
      <c r="I149" s="164"/>
      <c r="J149" s="163"/>
      <c r="K149" s="163"/>
      <c r="L149" s="163"/>
      <c r="M149" s="163"/>
      <c r="N149" s="163"/>
      <c r="O149" s="164"/>
      <c r="P149" s="164"/>
      <c r="Q149" s="164"/>
      <c r="R149" s="164"/>
      <c r="S149" s="164"/>
      <c r="T149" s="164"/>
      <c r="U149" s="164"/>
      <c r="V149" s="164"/>
      <c r="W149" s="164"/>
      <c r="X149" s="164"/>
      <c r="Y149" s="164"/>
      <c r="Z149" s="164"/>
      <c r="AA149" s="164"/>
      <c r="AB149" s="164"/>
      <c r="AC149" s="165"/>
      <c r="AD149" s="165"/>
      <c r="AE149" s="165"/>
      <c r="AF149" s="165"/>
      <c r="AG149" s="165"/>
      <c r="AH149" s="165"/>
      <c r="AI149" s="165"/>
      <c r="AJ149" s="165"/>
      <c r="AK149" s="165"/>
      <c r="AL149" s="165"/>
      <c r="AM149" s="165"/>
      <c r="AN149" s="165"/>
      <c r="AO149" s="165"/>
      <c r="AP149" s="166">
        <f t="shared" si="7"/>
        <v>0</v>
      </c>
      <c r="AQ149" s="164"/>
      <c r="AR149" s="167" t="str">
        <f>IF(B149="","",COUNTIF('Rel.Conjunts-Sistemes'!$B:$B,$B149))</f>
        <v/>
      </c>
      <c r="AS149" s="167" t="str">
        <f>IF(B149="","",COUNTIF('Dominis de dades'!$B:$B,$D149))</f>
        <v/>
      </c>
    </row>
    <row r="150" spans="2:45" ht="15" x14ac:dyDescent="0.3">
      <c r="B150" s="168"/>
      <c r="C150" s="169"/>
      <c r="D150" s="170"/>
      <c r="E150" s="171" t="str">
        <f t="shared" si="8"/>
        <v>-</v>
      </c>
      <c r="F150" s="162"/>
      <c r="G150" s="162"/>
      <c r="H150" s="163"/>
      <c r="I150" s="164"/>
      <c r="J150" s="163"/>
      <c r="K150" s="163"/>
      <c r="L150" s="163"/>
      <c r="M150" s="163"/>
      <c r="N150" s="163"/>
      <c r="O150" s="164"/>
      <c r="P150" s="164"/>
      <c r="Q150" s="164"/>
      <c r="R150" s="164"/>
      <c r="S150" s="164"/>
      <c r="T150" s="164"/>
      <c r="U150" s="164"/>
      <c r="V150" s="164"/>
      <c r="W150" s="164"/>
      <c r="X150" s="164"/>
      <c r="Y150" s="164"/>
      <c r="Z150" s="164"/>
      <c r="AA150" s="164"/>
      <c r="AB150" s="164"/>
      <c r="AC150" s="165"/>
      <c r="AD150" s="165"/>
      <c r="AE150" s="165"/>
      <c r="AF150" s="165"/>
      <c r="AG150" s="165"/>
      <c r="AH150" s="165"/>
      <c r="AI150" s="165"/>
      <c r="AJ150" s="165"/>
      <c r="AK150" s="165"/>
      <c r="AL150" s="165"/>
      <c r="AM150" s="165"/>
      <c r="AN150" s="165"/>
      <c r="AO150" s="165"/>
      <c r="AP150" s="166">
        <f t="shared" si="7"/>
        <v>0</v>
      </c>
      <c r="AQ150" s="164"/>
      <c r="AR150" s="167" t="str">
        <f>IF(B150="","",COUNTIF('Rel.Conjunts-Sistemes'!$B:$B,$B150))</f>
        <v/>
      </c>
      <c r="AS150" s="167" t="str">
        <f>IF(B150="","",COUNTIF('Dominis de dades'!$B:$B,$D150))</f>
        <v/>
      </c>
    </row>
    <row r="151" spans="2:45" ht="15" x14ac:dyDescent="0.3">
      <c r="B151" s="168"/>
      <c r="C151" s="169"/>
      <c r="D151" s="170"/>
      <c r="E151" s="171" t="str">
        <f t="shared" si="8"/>
        <v>-</v>
      </c>
      <c r="F151" s="162"/>
      <c r="G151" s="162"/>
      <c r="H151" s="163"/>
      <c r="I151" s="164"/>
      <c r="J151" s="163"/>
      <c r="K151" s="163"/>
      <c r="L151" s="163"/>
      <c r="M151" s="163"/>
      <c r="N151" s="163"/>
      <c r="O151" s="164"/>
      <c r="P151" s="164"/>
      <c r="Q151" s="164"/>
      <c r="R151" s="164"/>
      <c r="S151" s="164"/>
      <c r="T151" s="164"/>
      <c r="U151" s="164"/>
      <c r="V151" s="164"/>
      <c r="W151" s="164"/>
      <c r="X151" s="164"/>
      <c r="Y151" s="164"/>
      <c r="Z151" s="164"/>
      <c r="AA151" s="164"/>
      <c r="AB151" s="164"/>
      <c r="AC151" s="165"/>
      <c r="AD151" s="165"/>
      <c r="AE151" s="165"/>
      <c r="AF151" s="165"/>
      <c r="AG151" s="165"/>
      <c r="AH151" s="165"/>
      <c r="AI151" s="165"/>
      <c r="AJ151" s="165"/>
      <c r="AK151" s="165"/>
      <c r="AL151" s="165"/>
      <c r="AM151" s="165"/>
      <c r="AN151" s="165"/>
      <c r="AO151" s="165"/>
      <c r="AP151" s="166">
        <f t="shared" si="7"/>
        <v>0</v>
      </c>
      <c r="AQ151" s="164"/>
      <c r="AR151" s="167" t="str">
        <f>IF(B151="","",COUNTIF('Rel.Conjunts-Sistemes'!$B:$B,$B151))</f>
        <v/>
      </c>
      <c r="AS151" s="167" t="str">
        <f>IF(B151="","",COUNTIF('Dominis de dades'!$B:$B,$D151))</f>
        <v/>
      </c>
    </row>
    <row r="152" spans="2:45" ht="15" x14ac:dyDescent="0.3">
      <c r="B152" s="168"/>
      <c r="C152" s="169"/>
      <c r="D152" s="170"/>
      <c r="E152" s="171" t="str">
        <f t="shared" si="8"/>
        <v>-</v>
      </c>
      <c r="F152" s="162"/>
      <c r="G152" s="162"/>
      <c r="H152" s="163"/>
      <c r="I152" s="164"/>
      <c r="J152" s="163"/>
      <c r="K152" s="163"/>
      <c r="L152" s="163"/>
      <c r="M152" s="163"/>
      <c r="N152" s="163"/>
      <c r="O152" s="164"/>
      <c r="P152" s="164"/>
      <c r="Q152" s="164"/>
      <c r="R152" s="164"/>
      <c r="S152" s="164"/>
      <c r="T152" s="164"/>
      <c r="U152" s="164"/>
      <c r="V152" s="164"/>
      <c r="W152" s="164"/>
      <c r="X152" s="164"/>
      <c r="Y152" s="164"/>
      <c r="Z152" s="164"/>
      <c r="AA152" s="164"/>
      <c r="AB152" s="164"/>
      <c r="AC152" s="165"/>
      <c r="AD152" s="165"/>
      <c r="AE152" s="165"/>
      <c r="AF152" s="165"/>
      <c r="AG152" s="165"/>
      <c r="AH152" s="165"/>
      <c r="AI152" s="165"/>
      <c r="AJ152" s="165"/>
      <c r="AK152" s="165"/>
      <c r="AL152" s="165"/>
      <c r="AM152" s="165"/>
      <c r="AN152" s="165"/>
      <c r="AO152" s="165"/>
      <c r="AP152" s="166">
        <f t="shared" si="7"/>
        <v>0</v>
      </c>
      <c r="AQ152" s="164"/>
      <c r="AR152" s="167" t="str">
        <f>IF(B152="","",COUNTIF('Rel.Conjunts-Sistemes'!$B:$B,$B152))</f>
        <v/>
      </c>
      <c r="AS152" s="167" t="str">
        <f>IF(B152="","",COUNTIF('Dominis de dades'!$B:$B,$D152))</f>
        <v/>
      </c>
    </row>
    <row r="153" spans="2:45" ht="15" x14ac:dyDescent="0.3">
      <c r="B153" s="168"/>
      <c r="C153" s="169"/>
      <c r="D153" s="170"/>
      <c r="E153" s="171" t="str">
        <f t="shared" si="8"/>
        <v>-</v>
      </c>
      <c r="F153" s="162"/>
      <c r="G153" s="162"/>
      <c r="H153" s="163"/>
      <c r="I153" s="164"/>
      <c r="J153" s="163"/>
      <c r="K153" s="163"/>
      <c r="L153" s="163"/>
      <c r="M153" s="163"/>
      <c r="N153" s="163"/>
      <c r="O153" s="164"/>
      <c r="P153" s="164"/>
      <c r="Q153" s="164"/>
      <c r="R153" s="164"/>
      <c r="S153" s="164"/>
      <c r="T153" s="164"/>
      <c r="U153" s="164"/>
      <c r="V153" s="164"/>
      <c r="W153" s="164"/>
      <c r="X153" s="164"/>
      <c r="Y153" s="164"/>
      <c r="Z153" s="164"/>
      <c r="AA153" s="164"/>
      <c r="AB153" s="164"/>
      <c r="AC153" s="165"/>
      <c r="AD153" s="165"/>
      <c r="AE153" s="165"/>
      <c r="AF153" s="165"/>
      <c r="AG153" s="165"/>
      <c r="AH153" s="165"/>
      <c r="AI153" s="165"/>
      <c r="AJ153" s="165"/>
      <c r="AK153" s="165"/>
      <c r="AL153" s="165"/>
      <c r="AM153" s="165"/>
      <c r="AN153" s="165"/>
      <c r="AO153" s="165"/>
      <c r="AP153" s="166">
        <f t="shared" si="7"/>
        <v>0</v>
      </c>
      <c r="AQ153" s="164"/>
      <c r="AR153" s="167" t="str">
        <f>IF(B153="","",COUNTIF('Rel.Conjunts-Sistemes'!$B:$B,$B153))</f>
        <v/>
      </c>
      <c r="AS153" s="167" t="str">
        <f>IF(B153="","",COUNTIF('Dominis de dades'!$B:$B,$D153))</f>
        <v/>
      </c>
    </row>
    <row r="154" spans="2:45" ht="15" x14ac:dyDescent="0.3">
      <c r="B154" s="168"/>
      <c r="C154" s="169"/>
      <c r="D154" s="170"/>
      <c r="E154" s="171" t="str">
        <f t="shared" si="8"/>
        <v>-</v>
      </c>
      <c r="F154" s="162"/>
      <c r="G154" s="162"/>
      <c r="H154" s="163"/>
      <c r="I154" s="164"/>
      <c r="J154" s="163"/>
      <c r="K154" s="163"/>
      <c r="L154" s="163"/>
      <c r="M154" s="163"/>
      <c r="N154" s="163"/>
      <c r="O154" s="164"/>
      <c r="P154" s="164"/>
      <c r="Q154" s="164"/>
      <c r="R154" s="164"/>
      <c r="S154" s="164"/>
      <c r="T154" s="164"/>
      <c r="U154" s="164"/>
      <c r="V154" s="164"/>
      <c r="W154" s="164"/>
      <c r="X154" s="164"/>
      <c r="Y154" s="164"/>
      <c r="Z154" s="164"/>
      <c r="AA154" s="164"/>
      <c r="AB154" s="164"/>
      <c r="AC154" s="165"/>
      <c r="AD154" s="165"/>
      <c r="AE154" s="165"/>
      <c r="AF154" s="165"/>
      <c r="AG154" s="165"/>
      <c r="AH154" s="165"/>
      <c r="AI154" s="165"/>
      <c r="AJ154" s="165"/>
      <c r="AK154" s="165"/>
      <c r="AL154" s="165"/>
      <c r="AM154" s="165"/>
      <c r="AN154" s="165"/>
      <c r="AO154" s="165"/>
      <c r="AP154" s="166">
        <f t="shared" si="7"/>
        <v>0</v>
      </c>
      <c r="AQ154" s="164"/>
      <c r="AR154" s="167" t="str">
        <f>IF(B154="","",COUNTIF('Rel.Conjunts-Sistemes'!$B:$B,$B154))</f>
        <v/>
      </c>
      <c r="AS154" s="167" t="str">
        <f>IF(B154="","",COUNTIF('Dominis de dades'!$B:$B,$D154))</f>
        <v/>
      </c>
    </row>
    <row r="155" spans="2:45" ht="15" x14ac:dyDescent="0.3">
      <c r="B155" s="168"/>
      <c r="C155" s="169"/>
      <c r="D155" s="170"/>
      <c r="E155" s="171" t="str">
        <f t="shared" si="8"/>
        <v>-</v>
      </c>
      <c r="F155" s="162"/>
      <c r="G155" s="162"/>
      <c r="H155" s="163"/>
      <c r="I155" s="164"/>
      <c r="J155" s="163"/>
      <c r="K155" s="163"/>
      <c r="L155" s="163"/>
      <c r="M155" s="163"/>
      <c r="N155" s="163"/>
      <c r="O155" s="164"/>
      <c r="P155" s="164"/>
      <c r="Q155" s="164"/>
      <c r="R155" s="164"/>
      <c r="S155" s="164"/>
      <c r="T155" s="164"/>
      <c r="U155" s="164"/>
      <c r="V155" s="164"/>
      <c r="W155" s="164"/>
      <c r="X155" s="164"/>
      <c r="Y155" s="164"/>
      <c r="Z155" s="164"/>
      <c r="AA155" s="164"/>
      <c r="AB155" s="164"/>
      <c r="AC155" s="165"/>
      <c r="AD155" s="165"/>
      <c r="AE155" s="165"/>
      <c r="AF155" s="165"/>
      <c r="AG155" s="165"/>
      <c r="AH155" s="165"/>
      <c r="AI155" s="165"/>
      <c r="AJ155" s="165"/>
      <c r="AK155" s="165"/>
      <c r="AL155" s="165"/>
      <c r="AM155" s="165"/>
      <c r="AN155" s="165"/>
      <c r="AO155" s="165"/>
      <c r="AP155" s="166">
        <f t="shared" si="7"/>
        <v>0</v>
      </c>
      <c r="AQ155" s="164"/>
      <c r="AR155" s="167" t="str">
        <f>IF(B155="","",COUNTIF('Rel.Conjunts-Sistemes'!$B:$B,$B155))</f>
        <v/>
      </c>
      <c r="AS155" s="167" t="str">
        <f>IF(B155="","",COUNTIF('Dominis de dades'!$B:$B,$D155))</f>
        <v/>
      </c>
    </row>
    <row r="156" spans="2:45" ht="15" x14ac:dyDescent="0.3">
      <c r="B156" s="168"/>
      <c r="C156" s="169"/>
      <c r="D156" s="170"/>
      <c r="E156" s="171" t="str">
        <f t="shared" si="8"/>
        <v>-</v>
      </c>
      <c r="F156" s="162"/>
      <c r="G156" s="162"/>
      <c r="H156" s="163"/>
      <c r="I156" s="164"/>
      <c r="J156" s="163"/>
      <c r="K156" s="163"/>
      <c r="L156" s="163"/>
      <c r="M156" s="163"/>
      <c r="N156" s="163"/>
      <c r="O156" s="164"/>
      <c r="P156" s="164"/>
      <c r="Q156" s="164"/>
      <c r="R156" s="164"/>
      <c r="S156" s="164"/>
      <c r="T156" s="164"/>
      <c r="U156" s="164"/>
      <c r="V156" s="164"/>
      <c r="W156" s="164"/>
      <c r="X156" s="164"/>
      <c r="Y156" s="164"/>
      <c r="Z156" s="164"/>
      <c r="AA156" s="164"/>
      <c r="AB156" s="164"/>
      <c r="AC156" s="165"/>
      <c r="AD156" s="165"/>
      <c r="AE156" s="165"/>
      <c r="AF156" s="165"/>
      <c r="AG156" s="165"/>
      <c r="AH156" s="165"/>
      <c r="AI156" s="165"/>
      <c r="AJ156" s="165"/>
      <c r="AK156" s="165"/>
      <c r="AL156" s="165"/>
      <c r="AM156" s="165"/>
      <c r="AN156" s="165"/>
      <c r="AO156" s="165"/>
      <c r="AP156" s="166">
        <f t="shared" si="7"/>
        <v>0</v>
      </c>
      <c r="AQ156" s="164"/>
      <c r="AR156" s="167" t="str">
        <f>IF(B156="","",COUNTIF('Rel.Conjunts-Sistemes'!$B:$B,$B156))</f>
        <v/>
      </c>
      <c r="AS156" s="167" t="str">
        <f>IF(B156="","",COUNTIF('Dominis de dades'!$B:$B,$D156))</f>
        <v/>
      </c>
    </row>
    <row r="157" spans="2:45" ht="15" x14ac:dyDescent="0.3">
      <c r="B157" s="168"/>
      <c r="C157" s="169"/>
      <c r="D157" s="170"/>
      <c r="E157" s="171" t="str">
        <f t="shared" si="8"/>
        <v>-</v>
      </c>
      <c r="F157" s="162"/>
      <c r="G157" s="162"/>
      <c r="H157" s="163"/>
      <c r="I157" s="164"/>
      <c r="J157" s="163"/>
      <c r="K157" s="163"/>
      <c r="L157" s="163"/>
      <c r="M157" s="163"/>
      <c r="N157" s="163"/>
      <c r="O157" s="164"/>
      <c r="P157" s="164"/>
      <c r="Q157" s="164"/>
      <c r="R157" s="164"/>
      <c r="S157" s="164"/>
      <c r="T157" s="164"/>
      <c r="U157" s="164"/>
      <c r="V157" s="164"/>
      <c r="W157" s="164"/>
      <c r="X157" s="164"/>
      <c r="Y157" s="164"/>
      <c r="Z157" s="164"/>
      <c r="AA157" s="164"/>
      <c r="AB157" s="164"/>
      <c r="AC157" s="165"/>
      <c r="AD157" s="165"/>
      <c r="AE157" s="165"/>
      <c r="AF157" s="165"/>
      <c r="AG157" s="165"/>
      <c r="AH157" s="165"/>
      <c r="AI157" s="165"/>
      <c r="AJ157" s="165"/>
      <c r="AK157" s="165"/>
      <c r="AL157" s="165"/>
      <c r="AM157" s="165"/>
      <c r="AN157" s="165"/>
      <c r="AO157" s="165"/>
      <c r="AP157" s="166">
        <f t="shared" si="7"/>
        <v>0</v>
      </c>
      <c r="AQ157" s="164"/>
      <c r="AR157" s="167" t="str">
        <f>IF(B157="","",COUNTIF('Rel.Conjunts-Sistemes'!$B:$B,$B157))</f>
        <v/>
      </c>
      <c r="AS157" s="167" t="str">
        <f>IF(B157="","",COUNTIF('Dominis de dades'!$B:$B,$D157))</f>
        <v/>
      </c>
    </row>
    <row r="158" spans="2:45" ht="15" x14ac:dyDescent="0.3">
      <c r="B158" s="168"/>
      <c r="C158" s="169"/>
      <c r="D158" s="170"/>
      <c r="E158" s="171" t="str">
        <f t="shared" si="8"/>
        <v>-</v>
      </c>
      <c r="F158" s="162"/>
      <c r="G158" s="162"/>
      <c r="H158" s="163"/>
      <c r="I158" s="164"/>
      <c r="J158" s="163"/>
      <c r="K158" s="163"/>
      <c r="L158" s="163"/>
      <c r="M158" s="163"/>
      <c r="N158" s="163"/>
      <c r="O158" s="164"/>
      <c r="P158" s="164"/>
      <c r="Q158" s="164"/>
      <c r="R158" s="164"/>
      <c r="S158" s="164"/>
      <c r="T158" s="164"/>
      <c r="U158" s="164"/>
      <c r="V158" s="164"/>
      <c r="W158" s="164"/>
      <c r="X158" s="164"/>
      <c r="Y158" s="164"/>
      <c r="Z158" s="164"/>
      <c r="AA158" s="164"/>
      <c r="AB158" s="164"/>
      <c r="AC158" s="165"/>
      <c r="AD158" s="165"/>
      <c r="AE158" s="165"/>
      <c r="AF158" s="165"/>
      <c r="AG158" s="165"/>
      <c r="AH158" s="165"/>
      <c r="AI158" s="165"/>
      <c r="AJ158" s="165"/>
      <c r="AK158" s="165"/>
      <c r="AL158" s="165"/>
      <c r="AM158" s="165"/>
      <c r="AN158" s="165"/>
      <c r="AO158" s="165"/>
      <c r="AP158" s="166">
        <f t="shared" si="7"/>
        <v>0</v>
      </c>
      <c r="AQ158" s="164"/>
      <c r="AR158" s="167" t="str">
        <f>IF(B158="","",COUNTIF('Rel.Conjunts-Sistemes'!$B:$B,$B158))</f>
        <v/>
      </c>
      <c r="AS158" s="167" t="str">
        <f>IF(B158="","",COUNTIF('Dominis de dades'!$B:$B,$D158))</f>
        <v/>
      </c>
    </row>
    <row r="159" spans="2:45" ht="15" x14ac:dyDescent="0.3">
      <c r="B159" s="168"/>
      <c r="C159" s="169"/>
      <c r="D159" s="170"/>
      <c r="E159" s="171" t="str">
        <f t="shared" si="8"/>
        <v>-</v>
      </c>
      <c r="F159" s="162"/>
      <c r="G159" s="162"/>
      <c r="H159" s="163"/>
      <c r="I159" s="164"/>
      <c r="J159" s="163"/>
      <c r="K159" s="163"/>
      <c r="L159" s="163"/>
      <c r="M159" s="163"/>
      <c r="N159" s="163"/>
      <c r="O159" s="164"/>
      <c r="P159" s="164"/>
      <c r="Q159" s="164"/>
      <c r="R159" s="164"/>
      <c r="S159" s="164"/>
      <c r="T159" s="164"/>
      <c r="U159" s="164"/>
      <c r="V159" s="164"/>
      <c r="W159" s="164"/>
      <c r="X159" s="164"/>
      <c r="Y159" s="164"/>
      <c r="Z159" s="164"/>
      <c r="AA159" s="164"/>
      <c r="AB159" s="164"/>
      <c r="AC159" s="165"/>
      <c r="AD159" s="165"/>
      <c r="AE159" s="165"/>
      <c r="AF159" s="165"/>
      <c r="AG159" s="165"/>
      <c r="AH159" s="165"/>
      <c r="AI159" s="165"/>
      <c r="AJ159" s="165"/>
      <c r="AK159" s="165"/>
      <c r="AL159" s="165"/>
      <c r="AM159" s="165"/>
      <c r="AN159" s="165"/>
      <c r="AO159" s="165"/>
      <c r="AP159" s="166">
        <f t="shared" si="7"/>
        <v>0</v>
      </c>
      <c r="AQ159" s="164"/>
      <c r="AR159" s="167" t="str">
        <f>IF(B159="","",COUNTIF('Rel.Conjunts-Sistemes'!$B:$B,$B159))</f>
        <v/>
      </c>
      <c r="AS159" s="167" t="str">
        <f>IF(B159="","",COUNTIF('Dominis de dades'!$B:$B,$D159))</f>
        <v/>
      </c>
    </row>
    <row r="160" spans="2:45" ht="15" x14ac:dyDescent="0.3">
      <c r="B160" s="168"/>
      <c r="C160" s="169"/>
      <c r="D160" s="170"/>
      <c r="E160" s="171" t="str">
        <f t="shared" si="8"/>
        <v>-</v>
      </c>
      <c r="F160" s="162"/>
      <c r="G160" s="162"/>
      <c r="H160" s="163"/>
      <c r="I160" s="164"/>
      <c r="J160" s="163"/>
      <c r="K160" s="163"/>
      <c r="L160" s="163"/>
      <c r="M160" s="163"/>
      <c r="N160" s="163"/>
      <c r="O160" s="164"/>
      <c r="P160" s="164"/>
      <c r="Q160" s="164"/>
      <c r="R160" s="164"/>
      <c r="S160" s="164"/>
      <c r="T160" s="164"/>
      <c r="U160" s="164"/>
      <c r="V160" s="164"/>
      <c r="W160" s="164"/>
      <c r="X160" s="164"/>
      <c r="Y160" s="164"/>
      <c r="Z160" s="164"/>
      <c r="AA160" s="164"/>
      <c r="AB160" s="164"/>
      <c r="AC160" s="165"/>
      <c r="AD160" s="165"/>
      <c r="AE160" s="165"/>
      <c r="AF160" s="165"/>
      <c r="AG160" s="165"/>
      <c r="AH160" s="165"/>
      <c r="AI160" s="165"/>
      <c r="AJ160" s="165"/>
      <c r="AK160" s="165"/>
      <c r="AL160" s="165"/>
      <c r="AM160" s="165"/>
      <c r="AN160" s="165"/>
      <c r="AO160" s="165"/>
      <c r="AP160" s="166">
        <f t="shared" si="7"/>
        <v>0</v>
      </c>
      <c r="AQ160" s="164"/>
      <c r="AR160" s="167" t="str">
        <f>IF(B160="","",COUNTIF('Rel.Conjunts-Sistemes'!$B:$B,$B160))</f>
        <v/>
      </c>
      <c r="AS160" s="167" t="str">
        <f>IF(B160="","",COUNTIF('Dominis de dades'!$B:$B,$D160))</f>
        <v/>
      </c>
    </row>
    <row r="161" spans="2:45" ht="15" x14ac:dyDescent="0.3">
      <c r="B161" s="168"/>
      <c r="C161" s="169"/>
      <c r="D161" s="170"/>
      <c r="E161" s="171" t="str">
        <f t="shared" si="8"/>
        <v>-</v>
      </c>
      <c r="F161" s="162"/>
      <c r="G161" s="162"/>
      <c r="H161" s="163"/>
      <c r="I161" s="164"/>
      <c r="J161" s="163"/>
      <c r="K161" s="163"/>
      <c r="L161" s="163"/>
      <c r="M161" s="163"/>
      <c r="N161" s="163"/>
      <c r="O161" s="164"/>
      <c r="P161" s="164"/>
      <c r="Q161" s="164"/>
      <c r="R161" s="164"/>
      <c r="S161" s="164"/>
      <c r="T161" s="164"/>
      <c r="U161" s="164"/>
      <c r="V161" s="164"/>
      <c r="W161" s="164"/>
      <c r="X161" s="164"/>
      <c r="Y161" s="164"/>
      <c r="Z161" s="164"/>
      <c r="AA161" s="164"/>
      <c r="AB161" s="164"/>
      <c r="AC161" s="165"/>
      <c r="AD161" s="165"/>
      <c r="AE161" s="165"/>
      <c r="AF161" s="165"/>
      <c r="AG161" s="165"/>
      <c r="AH161" s="165"/>
      <c r="AI161" s="165"/>
      <c r="AJ161" s="165"/>
      <c r="AK161" s="165"/>
      <c r="AL161" s="165"/>
      <c r="AM161" s="165"/>
      <c r="AN161" s="165"/>
      <c r="AO161" s="165"/>
      <c r="AP161" s="166">
        <f t="shared" si="7"/>
        <v>0</v>
      </c>
      <c r="AQ161" s="164"/>
      <c r="AR161" s="167" t="str">
        <f>IF(B161="","",COUNTIF('Rel.Conjunts-Sistemes'!$B:$B,$B161))</f>
        <v/>
      </c>
      <c r="AS161" s="167" t="str">
        <f>IF(B161="","",COUNTIF('Dominis de dades'!$B:$B,$D161))</f>
        <v/>
      </c>
    </row>
    <row r="162" spans="2:45" ht="15" x14ac:dyDescent="0.3">
      <c r="B162" s="168"/>
      <c r="C162" s="169"/>
      <c r="D162" s="170"/>
      <c r="E162" s="171" t="str">
        <f t="shared" si="8"/>
        <v>-</v>
      </c>
      <c r="F162" s="162"/>
      <c r="G162" s="162"/>
      <c r="H162" s="163"/>
      <c r="I162" s="164"/>
      <c r="J162" s="163"/>
      <c r="K162" s="163"/>
      <c r="L162" s="163"/>
      <c r="M162" s="163"/>
      <c r="N162" s="163"/>
      <c r="O162" s="164"/>
      <c r="P162" s="164"/>
      <c r="Q162" s="164"/>
      <c r="R162" s="164"/>
      <c r="S162" s="164"/>
      <c r="T162" s="164"/>
      <c r="U162" s="164"/>
      <c r="V162" s="164"/>
      <c r="W162" s="164"/>
      <c r="X162" s="164"/>
      <c r="Y162" s="164"/>
      <c r="Z162" s="164"/>
      <c r="AA162" s="164"/>
      <c r="AB162" s="164"/>
      <c r="AC162" s="165"/>
      <c r="AD162" s="165"/>
      <c r="AE162" s="165"/>
      <c r="AF162" s="165"/>
      <c r="AG162" s="165"/>
      <c r="AH162" s="165"/>
      <c r="AI162" s="165"/>
      <c r="AJ162" s="165"/>
      <c r="AK162" s="165"/>
      <c r="AL162" s="165"/>
      <c r="AM162" s="165"/>
      <c r="AN162" s="165"/>
      <c r="AO162" s="165"/>
      <c r="AP162" s="166">
        <f t="shared" si="7"/>
        <v>0</v>
      </c>
      <c r="AQ162" s="164"/>
      <c r="AR162" s="167" t="str">
        <f>IF(B162="","",COUNTIF('Rel.Conjunts-Sistemes'!$B:$B,$B162))</f>
        <v/>
      </c>
      <c r="AS162" s="167" t="str">
        <f>IF(B162="","",COUNTIF('Dominis de dades'!$B:$B,$D162))</f>
        <v/>
      </c>
    </row>
    <row r="163" spans="2:45" ht="15" x14ac:dyDescent="0.3">
      <c r="B163" s="168"/>
      <c r="C163" s="169"/>
      <c r="D163" s="170"/>
      <c r="E163" s="171" t="str">
        <f t="shared" si="8"/>
        <v>-</v>
      </c>
      <c r="F163" s="162"/>
      <c r="G163" s="162"/>
      <c r="H163" s="163"/>
      <c r="I163" s="164"/>
      <c r="J163" s="163"/>
      <c r="K163" s="163"/>
      <c r="L163" s="163"/>
      <c r="M163" s="163"/>
      <c r="N163" s="163"/>
      <c r="O163" s="164"/>
      <c r="P163" s="164"/>
      <c r="Q163" s="164"/>
      <c r="R163" s="164"/>
      <c r="S163" s="164"/>
      <c r="T163" s="164"/>
      <c r="U163" s="164"/>
      <c r="V163" s="164"/>
      <c r="W163" s="164"/>
      <c r="X163" s="164"/>
      <c r="Y163" s="164"/>
      <c r="Z163" s="164"/>
      <c r="AA163" s="164"/>
      <c r="AB163" s="164"/>
      <c r="AC163" s="165"/>
      <c r="AD163" s="165"/>
      <c r="AE163" s="165"/>
      <c r="AF163" s="165"/>
      <c r="AG163" s="165"/>
      <c r="AH163" s="165"/>
      <c r="AI163" s="165"/>
      <c r="AJ163" s="165"/>
      <c r="AK163" s="165"/>
      <c r="AL163" s="165"/>
      <c r="AM163" s="165"/>
      <c r="AN163" s="165"/>
      <c r="AO163" s="165"/>
      <c r="AP163" s="166">
        <f t="shared" si="7"/>
        <v>0</v>
      </c>
      <c r="AQ163" s="164"/>
      <c r="AR163" s="167" t="str">
        <f>IF(B163="","",COUNTIF('Rel.Conjunts-Sistemes'!$B:$B,$B163))</f>
        <v/>
      </c>
      <c r="AS163" s="167" t="str">
        <f>IF(B163="","",COUNTIF('Dominis de dades'!$B:$B,$D163))</f>
        <v/>
      </c>
    </row>
    <row r="164" spans="2:45" ht="15" x14ac:dyDescent="0.3">
      <c r="B164" s="168"/>
      <c r="C164" s="169"/>
      <c r="D164" s="170"/>
      <c r="E164" s="171" t="str">
        <f t="shared" si="8"/>
        <v>-</v>
      </c>
      <c r="F164" s="162"/>
      <c r="G164" s="162"/>
      <c r="H164" s="163"/>
      <c r="I164" s="164"/>
      <c r="J164" s="163"/>
      <c r="K164" s="163"/>
      <c r="L164" s="163"/>
      <c r="M164" s="163"/>
      <c r="N164" s="163"/>
      <c r="O164" s="164"/>
      <c r="P164" s="164"/>
      <c r="Q164" s="164"/>
      <c r="R164" s="164"/>
      <c r="S164" s="164"/>
      <c r="T164" s="164"/>
      <c r="U164" s="164"/>
      <c r="V164" s="164"/>
      <c r="W164" s="164"/>
      <c r="X164" s="164"/>
      <c r="Y164" s="164"/>
      <c r="Z164" s="164"/>
      <c r="AA164" s="164"/>
      <c r="AB164" s="164"/>
      <c r="AC164" s="165"/>
      <c r="AD164" s="165"/>
      <c r="AE164" s="165"/>
      <c r="AF164" s="165"/>
      <c r="AG164" s="165"/>
      <c r="AH164" s="165"/>
      <c r="AI164" s="165"/>
      <c r="AJ164" s="165"/>
      <c r="AK164" s="165"/>
      <c r="AL164" s="165"/>
      <c r="AM164" s="165"/>
      <c r="AN164" s="165"/>
      <c r="AO164" s="165"/>
      <c r="AP164" s="166">
        <f t="shared" si="7"/>
        <v>0</v>
      </c>
      <c r="AQ164" s="164"/>
      <c r="AR164" s="167" t="str">
        <f>IF(B164="","",COUNTIF('Rel.Conjunts-Sistemes'!$B:$B,$B164))</f>
        <v/>
      </c>
      <c r="AS164" s="167" t="str">
        <f>IF(B164="","",COUNTIF('Dominis de dades'!$B:$B,$D164))</f>
        <v/>
      </c>
    </row>
    <row r="165" spans="2:45" ht="15" x14ac:dyDescent="0.3">
      <c r="B165" s="168"/>
      <c r="C165" s="169"/>
      <c r="D165" s="170"/>
      <c r="E165" s="171" t="str">
        <f t="shared" si="8"/>
        <v>-</v>
      </c>
      <c r="F165" s="162"/>
      <c r="G165" s="162"/>
      <c r="H165" s="163"/>
      <c r="I165" s="164"/>
      <c r="J165" s="163"/>
      <c r="K165" s="163"/>
      <c r="L165" s="163"/>
      <c r="M165" s="163"/>
      <c r="N165" s="163"/>
      <c r="O165" s="164"/>
      <c r="P165" s="164"/>
      <c r="Q165" s="164"/>
      <c r="R165" s="164"/>
      <c r="S165" s="164"/>
      <c r="T165" s="164"/>
      <c r="U165" s="164"/>
      <c r="V165" s="164"/>
      <c r="W165" s="164"/>
      <c r="X165" s="164"/>
      <c r="Y165" s="164"/>
      <c r="Z165" s="164"/>
      <c r="AA165" s="164"/>
      <c r="AB165" s="164"/>
      <c r="AC165" s="165"/>
      <c r="AD165" s="165"/>
      <c r="AE165" s="165"/>
      <c r="AF165" s="165"/>
      <c r="AG165" s="165"/>
      <c r="AH165" s="165"/>
      <c r="AI165" s="165"/>
      <c r="AJ165" s="165"/>
      <c r="AK165" s="165"/>
      <c r="AL165" s="165"/>
      <c r="AM165" s="165"/>
      <c r="AN165" s="165"/>
      <c r="AO165" s="165"/>
      <c r="AP165" s="166">
        <f t="shared" si="7"/>
        <v>0</v>
      </c>
      <c r="AQ165" s="164"/>
      <c r="AR165" s="167" t="str">
        <f>IF(B165="","",COUNTIF('Rel.Conjunts-Sistemes'!$B:$B,$B165))</f>
        <v/>
      </c>
      <c r="AS165" s="167" t="str">
        <f>IF(B165="","",COUNTIF('Dominis de dades'!$B:$B,$D165))</f>
        <v/>
      </c>
    </row>
    <row r="166" spans="2:45" ht="15" x14ac:dyDescent="0.3">
      <c r="B166" s="168"/>
      <c r="C166" s="169"/>
      <c r="D166" s="170"/>
      <c r="E166" s="171" t="str">
        <f t="shared" si="8"/>
        <v>-</v>
      </c>
      <c r="F166" s="162"/>
      <c r="G166" s="162"/>
      <c r="H166" s="163"/>
      <c r="I166" s="164"/>
      <c r="J166" s="163"/>
      <c r="K166" s="163"/>
      <c r="L166" s="163"/>
      <c r="M166" s="163"/>
      <c r="N166" s="163"/>
      <c r="O166" s="164"/>
      <c r="P166" s="164"/>
      <c r="Q166" s="164"/>
      <c r="R166" s="164"/>
      <c r="S166" s="164"/>
      <c r="T166" s="164"/>
      <c r="U166" s="164"/>
      <c r="V166" s="164"/>
      <c r="W166" s="164"/>
      <c r="X166" s="164"/>
      <c r="Y166" s="164"/>
      <c r="Z166" s="164"/>
      <c r="AA166" s="164"/>
      <c r="AB166" s="164"/>
      <c r="AC166" s="165"/>
      <c r="AD166" s="165"/>
      <c r="AE166" s="165"/>
      <c r="AF166" s="165"/>
      <c r="AG166" s="165"/>
      <c r="AH166" s="165"/>
      <c r="AI166" s="165"/>
      <c r="AJ166" s="165"/>
      <c r="AK166" s="165"/>
      <c r="AL166" s="165"/>
      <c r="AM166" s="165"/>
      <c r="AN166" s="165"/>
      <c r="AO166" s="165"/>
      <c r="AP166" s="166">
        <f t="shared" si="7"/>
        <v>0</v>
      </c>
      <c r="AQ166" s="164"/>
      <c r="AR166" s="167" t="str">
        <f>IF(B166="","",COUNTIF('Rel.Conjunts-Sistemes'!$B:$B,$B166))</f>
        <v/>
      </c>
      <c r="AS166" s="167" t="str">
        <f>IF(B166="","",COUNTIF('Dominis de dades'!$B:$B,$D166))</f>
        <v/>
      </c>
    </row>
    <row r="167" spans="2:45" ht="15" x14ac:dyDescent="0.3">
      <c r="B167" s="168"/>
      <c r="C167" s="169"/>
      <c r="D167" s="170"/>
      <c r="E167" s="171" t="str">
        <f t="shared" si="8"/>
        <v>-</v>
      </c>
      <c r="F167" s="162"/>
      <c r="G167" s="162"/>
      <c r="H167" s="163"/>
      <c r="I167" s="164"/>
      <c r="J167" s="163"/>
      <c r="K167" s="163"/>
      <c r="L167" s="163"/>
      <c r="M167" s="163"/>
      <c r="N167" s="163"/>
      <c r="O167" s="164"/>
      <c r="P167" s="164"/>
      <c r="Q167" s="164"/>
      <c r="R167" s="164"/>
      <c r="S167" s="164"/>
      <c r="T167" s="164"/>
      <c r="U167" s="164"/>
      <c r="V167" s="164"/>
      <c r="W167" s="164"/>
      <c r="X167" s="164"/>
      <c r="Y167" s="164"/>
      <c r="Z167" s="164"/>
      <c r="AA167" s="164"/>
      <c r="AB167" s="164"/>
      <c r="AC167" s="165"/>
      <c r="AD167" s="165"/>
      <c r="AE167" s="165"/>
      <c r="AF167" s="165"/>
      <c r="AG167" s="165"/>
      <c r="AH167" s="165"/>
      <c r="AI167" s="165"/>
      <c r="AJ167" s="165"/>
      <c r="AK167" s="165"/>
      <c r="AL167" s="165"/>
      <c r="AM167" s="165"/>
      <c r="AN167" s="165"/>
      <c r="AO167" s="165"/>
      <c r="AP167" s="166">
        <f t="shared" si="7"/>
        <v>0</v>
      </c>
      <c r="AQ167" s="164"/>
      <c r="AR167" s="167" t="str">
        <f>IF(B167="","",COUNTIF('Rel.Conjunts-Sistemes'!$B:$B,$B167))</f>
        <v/>
      </c>
      <c r="AS167" s="167" t="str">
        <f>IF(B167="","",COUNTIF('Dominis de dades'!$B:$B,$D167))</f>
        <v/>
      </c>
    </row>
    <row r="168" spans="2:45" ht="15" x14ac:dyDescent="0.3">
      <c r="B168" s="168"/>
      <c r="C168" s="169"/>
      <c r="D168" s="170"/>
      <c r="E168" s="171" t="str">
        <f t="shared" si="8"/>
        <v>-</v>
      </c>
      <c r="F168" s="162"/>
      <c r="G168" s="162"/>
      <c r="H168" s="163"/>
      <c r="I168" s="164"/>
      <c r="J168" s="163"/>
      <c r="K168" s="163"/>
      <c r="L168" s="163"/>
      <c r="M168" s="163"/>
      <c r="N168" s="163"/>
      <c r="O168" s="164"/>
      <c r="P168" s="164"/>
      <c r="Q168" s="164"/>
      <c r="R168" s="164"/>
      <c r="S168" s="164"/>
      <c r="T168" s="164"/>
      <c r="U168" s="164"/>
      <c r="V168" s="164"/>
      <c r="W168" s="164"/>
      <c r="X168" s="164"/>
      <c r="Y168" s="164"/>
      <c r="Z168" s="164"/>
      <c r="AA168" s="164"/>
      <c r="AB168" s="164"/>
      <c r="AC168" s="165"/>
      <c r="AD168" s="165"/>
      <c r="AE168" s="165"/>
      <c r="AF168" s="165"/>
      <c r="AG168" s="165"/>
      <c r="AH168" s="165"/>
      <c r="AI168" s="165"/>
      <c r="AJ168" s="165"/>
      <c r="AK168" s="165"/>
      <c r="AL168" s="165"/>
      <c r="AM168" s="165"/>
      <c r="AN168" s="165"/>
      <c r="AO168" s="165"/>
      <c r="AP168" s="166">
        <f t="shared" si="7"/>
        <v>0</v>
      </c>
      <c r="AQ168" s="164"/>
      <c r="AR168" s="167" t="str">
        <f>IF(B168="","",COUNTIF('Rel.Conjunts-Sistemes'!$B:$B,$B168))</f>
        <v/>
      </c>
      <c r="AS168" s="167" t="str">
        <f>IF(B168="","",COUNTIF('Dominis de dades'!$B:$B,$D168))</f>
        <v/>
      </c>
    </row>
    <row r="169" spans="2:45" ht="15" x14ac:dyDescent="0.3">
      <c r="B169" s="168"/>
      <c r="C169" s="169"/>
      <c r="D169" s="170"/>
      <c r="E169" s="171" t="str">
        <f t="shared" ref="E169:E200" si="9">IF(D169="","-",IF(ISERROR(VLOOKUP(D169,DominisDades,3,0)),"&lt;&lt;Domini erroni&gt;&gt;",VLOOKUP(D169,DominisDades,3,0)))</f>
        <v>-</v>
      </c>
      <c r="F169" s="162"/>
      <c r="G169" s="162"/>
      <c r="H169" s="163"/>
      <c r="I169" s="164"/>
      <c r="J169" s="163"/>
      <c r="K169" s="163"/>
      <c r="L169" s="163"/>
      <c r="M169" s="163"/>
      <c r="N169" s="163"/>
      <c r="O169" s="164"/>
      <c r="P169" s="164"/>
      <c r="Q169" s="164"/>
      <c r="R169" s="164"/>
      <c r="S169" s="164"/>
      <c r="T169" s="164"/>
      <c r="U169" s="164"/>
      <c r="V169" s="164"/>
      <c r="W169" s="164"/>
      <c r="X169" s="164"/>
      <c r="Y169" s="164"/>
      <c r="Z169" s="164"/>
      <c r="AA169" s="164"/>
      <c r="AB169" s="164"/>
      <c r="AC169" s="165"/>
      <c r="AD169" s="165"/>
      <c r="AE169" s="165"/>
      <c r="AF169" s="165"/>
      <c r="AG169" s="165"/>
      <c r="AH169" s="165"/>
      <c r="AI169" s="165"/>
      <c r="AJ169" s="165"/>
      <c r="AK169" s="165"/>
      <c r="AL169" s="165"/>
      <c r="AM169" s="165"/>
      <c r="AN169" s="165"/>
      <c r="AO169" s="165"/>
      <c r="AP169" s="166">
        <f t="shared" si="7"/>
        <v>0</v>
      </c>
      <c r="AQ169" s="164"/>
      <c r="AR169" s="167" t="str">
        <f>IF(B169="","",COUNTIF('Rel.Conjunts-Sistemes'!$B:$B,$B169))</f>
        <v/>
      </c>
      <c r="AS169" s="167" t="str">
        <f>IF(B169="","",COUNTIF('Dominis de dades'!$B:$B,$D169))</f>
        <v/>
      </c>
    </row>
    <row r="170" spans="2:45" ht="15" x14ac:dyDescent="0.3">
      <c r="B170" s="168"/>
      <c r="C170" s="169"/>
      <c r="D170" s="170"/>
      <c r="E170" s="171" t="str">
        <f t="shared" si="9"/>
        <v>-</v>
      </c>
      <c r="F170" s="162"/>
      <c r="G170" s="162"/>
      <c r="H170" s="163"/>
      <c r="I170" s="164"/>
      <c r="J170" s="163"/>
      <c r="K170" s="163"/>
      <c r="L170" s="163"/>
      <c r="M170" s="163"/>
      <c r="N170" s="163"/>
      <c r="O170" s="164"/>
      <c r="P170" s="164"/>
      <c r="Q170" s="164"/>
      <c r="R170" s="164"/>
      <c r="S170" s="164"/>
      <c r="T170" s="164"/>
      <c r="U170" s="164"/>
      <c r="V170" s="164"/>
      <c r="W170" s="164"/>
      <c r="X170" s="164"/>
      <c r="Y170" s="164"/>
      <c r="Z170" s="164"/>
      <c r="AA170" s="164"/>
      <c r="AB170" s="164"/>
      <c r="AC170" s="165"/>
      <c r="AD170" s="165"/>
      <c r="AE170" s="165"/>
      <c r="AF170" s="165"/>
      <c r="AG170" s="165"/>
      <c r="AH170" s="165"/>
      <c r="AI170" s="165"/>
      <c r="AJ170" s="165"/>
      <c r="AK170" s="165"/>
      <c r="AL170" s="165"/>
      <c r="AM170" s="165"/>
      <c r="AN170" s="165"/>
      <c r="AO170" s="165"/>
      <c r="AP170" s="166">
        <f t="shared" si="7"/>
        <v>0</v>
      </c>
      <c r="AQ170" s="164"/>
      <c r="AR170" s="167" t="str">
        <f>IF(B170="","",COUNTIF('Rel.Conjunts-Sistemes'!$B:$B,$B170))</f>
        <v/>
      </c>
      <c r="AS170" s="167" t="str">
        <f>IF(B170="","",COUNTIF('Dominis de dades'!$B:$B,$D170))</f>
        <v/>
      </c>
    </row>
    <row r="171" spans="2:45" ht="15" x14ac:dyDescent="0.3">
      <c r="B171" s="168"/>
      <c r="C171" s="169"/>
      <c r="D171" s="170"/>
      <c r="E171" s="171" t="str">
        <f t="shared" si="9"/>
        <v>-</v>
      </c>
      <c r="F171" s="162"/>
      <c r="G171" s="162"/>
      <c r="H171" s="163"/>
      <c r="I171" s="164"/>
      <c r="J171" s="163"/>
      <c r="K171" s="163"/>
      <c r="L171" s="163"/>
      <c r="M171" s="163"/>
      <c r="N171" s="163"/>
      <c r="O171" s="164"/>
      <c r="P171" s="164"/>
      <c r="Q171" s="164"/>
      <c r="R171" s="164"/>
      <c r="S171" s="164"/>
      <c r="T171" s="164"/>
      <c r="U171" s="164"/>
      <c r="V171" s="164"/>
      <c r="W171" s="164"/>
      <c r="X171" s="164"/>
      <c r="Y171" s="164"/>
      <c r="Z171" s="164"/>
      <c r="AA171" s="164"/>
      <c r="AB171" s="164"/>
      <c r="AC171" s="165"/>
      <c r="AD171" s="165"/>
      <c r="AE171" s="165"/>
      <c r="AF171" s="165"/>
      <c r="AG171" s="165"/>
      <c r="AH171" s="165"/>
      <c r="AI171" s="165"/>
      <c r="AJ171" s="165"/>
      <c r="AK171" s="165"/>
      <c r="AL171" s="165"/>
      <c r="AM171" s="165"/>
      <c r="AN171" s="165"/>
      <c r="AO171" s="165"/>
      <c r="AP171" s="166">
        <f t="shared" si="7"/>
        <v>0</v>
      </c>
      <c r="AQ171" s="164"/>
      <c r="AR171" s="167" t="str">
        <f>IF(B171="","",COUNTIF('Rel.Conjunts-Sistemes'!$B:$B,$B171))</f>
        <v/>
      </c>
      <c r="AS171" s="167" t="str">
        <f>IF(B171="","",COUNTIF('Dominis de dades'!$B:$B,$D171))</f>
        <v/>
      </c>
    </row>
    <row r="172" spans="2:45" ht="15" x14ac:dyDescent="0.3">
      <c r="B172" s="168"/>
      <c r="C172" s="169"/>
      <c r="D172" s="170"/>
      <c r="E172" s="171" t="str">
        <f t="shared" si="9"/>
        <v>-</v>
      </c>
      <c r="F172" s="162"/>
      <c r="G172" s="162"/>
      <c r="H172" s="163"/>
      <c r="I172" s="164"/>
      <c r="J172" s="163"/>
      <c r="K172" s="163"/>
      <c r="L172" s="163"/>
      <c r="M172" s="163"/>
      <c r="N172" s="163"/>
      <c r="O172" s="164"/>
      <c r="P172" s="164"/>
      <c r="Q172" s="164"/>
      <c r="R172" s="164"/>
      <c r="S172" s="164"/>
      <c r="T172" s="164"/>
      <c r="U172" s="164"/>
      <c r="V172" s="164"/>
      <c r="W172" s="164"/>
      <c r="X172" s="164"/>
      <c r="Y172" s="164"/>
      <c r="Z172" s="164"/>
      <c r="AA172" s="164"/>
      <c r="AB172" s="164"/>
      <c r="AC172" s="165"/>
      <c r="AD172" s="165"/>
      <c r="AE172" s="165"/>
      <c r="AF172" s="165"/>
      <c r="AG172" s="165"/>
      <c r="AH172" s="165"/>
      <c r="AI172" s="165"/>
      <c r="AJ172" s="165"/>
      <c r="AK172" s="165"/>
      <c r="AL172" s="165"/>
      <c r="AM172" s="165"/>
      <c r="AN172" s="165"/>
      <c r="AO172" s="165"/>
      <c r="AP172" s="166">
        <f t="shared" si="7"/>
        <v>0</v>
      </c>
      <c r="AQ172" s="164"/>
      <c r="AR172" s="167" t="str">
        <f>IF(B172="","",COUNTIF('Rel.Conjunts-Sistemes'!$B:$B,$B172))</f>
        <v/>
      </c>
      <c r="AS172" s="167" t="str">
        <f>IF(B172="","",COUNTIF('Dominis de dades'!$B:$B,$D172))</f>
        <v/>
      </c>
    </row>
    <row r="173" spans="2:45" ht="15" x14ac:dyDescent="0.3">
      <c r="B173" s="168"/>
      <c r="C173" s="169"/>
      <c r="D173" s="170"/>
      <c r="E173" s="171" t="str">
        <f t="shared" si="9"/>
        <v>-</v>
      </c>
      <c r="F173" s="162"/>
      <c r="G173" s="162"/>
      <c r="H173" s="163"/>
      <c r="I173" s="164"/>
      <c r="J173" s="163"/>
      <c r="K173" s="163"/>
      <c r="L173" s="163"/>
      <c r="M173" s="163"/>
      <c r="N173" s="163"/>
      <c r="O173" s="164"/>
      <c r="P173" s="164"/>
      <c r="Q173" s="164"/>
      <c r="R173" s="164"/>
      <c r="S173" s="164"/>
      <c r="T173" s="164"/>
      <c r="U173" s="164"/>
      <c r="V173" s="164"/>
      <c r="W173" s="164"/>
      <c r="X173" s="164"/>
      <c r="Y173" s="164"/>
      <c r="Z173" s="164"/>
      <c r="AA173" s="164"/>
      <c r="AB173" s="164"/>
      <c r="AC173" s="165"/>
      <c r="AD173" s="165"/>
      <c r="AE173" s="165"/>
      <c r="AF173" s="165"/>
      <c r="AG173" s="165"/>
      <c r="AH173" s="165"/>
      <c r="AI173" s="165"/>
      <c r="AJ173" s="165"/>
      <c r="AK173" s="165"/>
      <c r="AL173" s="165"/>
      <c r="AM173" s="165"/>
      <c r="AN173" s="165"/>
      <c r="AO173" s="165"/>
      <c r="AP173" s="166">
        <f t="shared" si="7"/>
        <v>0</v>
      </c>
      <c r="AQ173" s="164"/>
      <c r="AR173" s="167" t="str">
        <f>IF(B173="","",COUNTIF('Rel.Conjunts-Sistemes'!$B:$B,$B173))</f>
        <v/>
      </c>
      <c r="AS173" s="167" t="str">
        <f>IF(B173="","",COUNTIF('Dominis de dades'!$B:$B,$D173))</f>
        <v/>
      </c>
    </row>
    <row r="174" spans="2:45" ht="15" x14ac:dyDescent="0.3">
      <c r="B174" s="168"/>
      <c r="C174" s="169"/>
      <c r="D174" s="170"/>
      <c r="E174" s="171" t="str">
        <f t="shared" si="9"/>
        <v>-</v>
      </c>
      <c r="F174" s="162"/>
      <c r="G174" s="162"/>
      <c r="H174" s="163"/>
      <c r="I174" s="164"/>
      <c r="J174" s="163"/>
      <c r="K174" s="163"/>
      <c r="L174" s="163"/>
      <c r="M174" s="163"/>
      <c r="N174" s="163"/>
      <c r="O174" s="164"/>
      <c r="P174" s="164"/>
      <c r="Q174" s="164"/>
      <c r="R174" s="164"/>
      <c r="S174" s="164"/>
      <c r="T174" s="164"/>
      <c r="U174" s="164"/>
      <c r="V174" s="164"/>
      <c r="W174" s="164"/>
      <c r="X174" s="164"/>
      <c r="Y174" s="164"/>
      <c r="Z174" s="164"/>
      <c r="AA174" s="164"/>
      <c r="AB174" s="164"/>
      <c r="AC174" s="165"/>
      <c r="AD174" s="165"/>
      <c r="AE174" s="165"/>
      <c r="AF174" s="165"/>
      <c r="AG174" s="165"/>
      <c r="AH174" s="165"/>
      <c r="AI174" s="165"/>
      <c r="AJ174" s="165"/>
      <c r="AK174" s="165"/>
      <c r="AL174" s="165"/>
      <c r="AM174" s="165"/>
      <c r="AN174" s="165"/>
      <c r="AO174" s="165"/>
      <c r="AP174" s="166">
        <f t="shared" si="7"/>
        <v>0</v>
      </c>
      <c r="AQ174" s="164"/>
      <c r="AR174" s="167" t="str">
        <f>IF(B174="","",COUNTIF('Rel.Conjunts-Sistemes'!$B:$B,$B174))</f>
        <v/>
      </c>
      <c r="AS174" s="167" t="str">
        <f>IF(B174="","",COUNTIF('Dominis de dades'!$B:$B,$D174))</f>
        <v/>
      </c>
    </row>
    <row r="175" spans="2:45" ht="15" x14ac:dyDescent="0.3">
      <c r="B175" s="168"/>
      <c r="C175" s="169"/>
      <c r="D175" s="170"/>
      <c r="E175" s="171" t="str">
        <f t="shared" si="9"/>
        <v>-</v>
      </c>
      <c r="F175" s="162"/>
      <c r="G175" s="162"/>
      <c r="H175" s="163"/>
      <c r="I175" s="164"/>
      <c r="J175" s="163"/>
      <c r="K175" s="163"/>
      <c r="L175" s="163"/>
      <c r="M175" s="163"/>
      <c r="N175" s="163"/>
      <c r="O175" s="164"/>
      <c r="P175" s="164"/>
      <c r="Q175" s="164"/>
      <c r="R175" s="164"/>
      <c r="S175" s="164"/>
      <c r="T175" s="164"/>
      <c r="U175" s="164"/>
      <c r="V175" s="164"/>
      <c r="W175" s="164"/>
      <c r="X175" s="164"/>
      <c r="Y175" s="164"/>
      <c r="Z175" s="164"/>
      <c r="AA175" s="164"/>
      <c r="AB175" s="164"/>
      <c r="AC175" s="165"/>
      <c r="AD175" s="165"/>
      <c r="AE175" s="165"/>
      <c r="AF175" s="165"/>
      <c r="AG175" s="165"/>
      <c r="AH175" s="165"/>
      <c r="AI175" s="165"/>
      <c r="AJ175" s="165"/>
      <c r="AK175" s="165"/>
      <c r="AL175" s="165"/>
      <c r="AM175" s="165"/>
      <c r="AN175" s="165"/>
      <c r="AO175" s="165"/>
      <c r="AP175" s="166">
        <f t="shared" si="7"/>
        <v>0</v>
      </c>
      <c r="AQ175" s="164"/>
      <c r="AR175" s="167" t="str">
        <f>IF(B175="","",COUNTIF('Rel.Conjunts-Sistemes'!$B:$B,$B175))</f>
        <v/>
      </c>
      <c r="AS175" s="167" t="str">
        <f>IF(B175="","",COUNTIF('Dominis de dades'!$B:$B,$D175))</f>
        <v/>
      </c>
    </row>
    <row r="176" spans="2:45" ht="15" x14ac:dyDescent="0.3">
      <c r="B176" s="168"/>
      <c r="C176" s="169"/>
      <c r="D176" s="170"/>
      <c r="E176" s="171" t="str">
        <f t="shared" si="9"/>
        <v>-</v>
      </c>
      <c r="F176" s="162"/>
      <c r="G176" s="162"/>
      <c r="H176" s="163"/>
      <c r="I176" s="164"/>
      <c r="J176" s="163"/>
      <c r="K176" s="163"/>
      <c r="L176" s="163"/>
      <c r="M176" s="163"/>
      <c r="N176" s="163"/>
      <c r="O176" s="164"/>
      <c r="P176" s="164"/>
      <c r="Q176" s="164"/>
      <c r="R176" s="164"/>
      <c r="S176" s="164"/>
      <c r="T176" s="164"/>
      <c r="U176" s="164"/>
      <c r="V176" s="164"/>
      <c r="W176" s="164"/>
      <c r="X176" s="164"/>
      <c r="Y176" s="164"/>
      <c r="Z176" s="164"/>
      <c r="AA176" s="164"/>
      <c r="AB176" s="164"/>
      <c r="AC176" s="165"/>
      <c r="AD176" s="165"/>
      <c r="AE176" s="165"/>
      <c r="AF176" s="165"/>
      <c r="AG176" s="165"/>
      <c r="AH176" s="165"/>
      <c r="AI176" s="165"/>
      <c r="AJ176" s="165"/>
      <c r="AK176" s="165"/>
      <c r="AL176" s="165"/>
      <c r="AM176" s="165"/>
      <c r="AN176" s="165"/>
      <c r="AO176" s="165"/>
      <c r="AP176" s="166">
        <f t="shared" si="7"/>
        <v>0</v>
      </c>
      <c r="AQ176" s="164"/>
      <c r="AR176" s="167" t="str">
        <f>IF(B176="","",COUNTIF('Rel.Conjunts-Sistemes'!$B:$B,$B176))</f>
        <v/>
      </c>
      <c r="AS176" s="167" t="str">
        <f>IF(B176="","",COUNTIF('Dominis de dades'!$B:$B,$D176))</f>
        <v/>
      </c>
    </row>
    <row r="177" spans="2:45" ht="15" x14ac:dyDescent="0.3">
      <c r="B177" s="168"/>
      <c r="C177" s="169"/>
      <c r="D177" s="170"/>
      <c r="E177" s="171" t="str">
        <f t="shared" si="9"/>
        <v>-</v>
      </c>
      <c r="F177" s="162"/>
      <c r="G177" s="162"/>
      <c r="H177" s="163"/>
      <c r="I177" s="164"/>
      <c r="J177" s="163"/>
      <c r="K177" s="163"/>
      <c r="L177" s="163"/>
      <c r="M177" s="163"/>
      <c r="N177" s="163"/>
      <c r="O177" s="164"/>
      <c r="P177" s="164"/>
      <c r="Q177" s="164"/>
      <c r="R177" s="164"/>
      <c r="S177" s="164"/>
      <c r="T177" s="164"/>
      <c r="U177" s="164"/>
      <c r="V177" s="164"/>
      <c r="W177" s="164"/>
      <c r="X177" s="164"/>
      <c r="Y177" s="164"/>
      <c r="Z177" s="164"/>
      <c r="AA177" s="164"/>
      <c r="AB177" s="164"/>
      <c r="AC177" s="165"/>
      <c r="AD177" s="165"/>
      <c r="AE177" s="165"/>
      <c r="AF177" s="165"/>
      <c r="AG177" s="165"/>
      <c r="AH177" s="165"/>
      <c r="AI177" s="165"/>
      <c r="AJ177" s="165"/>
      <c r="AK177" s="165"/>
      <c r="AL177" s="165"/>
      <c r="AM177" s="165"/>
      <c r="AN177" s="165"/>
      <c r="AO177" s="165"/>
      <c r="AP177" s="166">
        <f t="shared" si="7"/>
        <v>0</v>
      </c>
      <c r="AQ177" s="164"/>
      <c r="AR177" s="167" t="str">
        <f>IF(B177="","",COUNTIF('Rel.Conjunts-Sistemes'!$B:$B,$B177))</f>
        <v/>
      </c>
      <c r="AS177" s="167" t="str">
        <f>IF(B177="","",COUNTIF('Dominis de dades'!$B:$B,$D177))</f>
        <v/>
      </c>
    </row>
    <row r="178" spans="2:45" ht="15" x14ac:dyDescent="0.3">
      <c r="B178" s="168"/>
      <c r="C178" s="169"/>
      <c r="D178" s="170"/>
      <c r="E178" s="171" t="str">
        <f t="shared" si="9"/>
        <v>-</v>
      </c>
      <c r="F178" s="162"/>
      <c r="G178" s="162"/>
      <c r="H178" s="163"/>
      <c r="I178" s="164"/>
      <c r="J178" s="163"/>
      <c r="K178" s="163"/>
      <c r="L178" s="163"/>
      <c r="M178" s="163"/>
      <c r="N178" s="163"/>
      <c r="O178" s="164"/>
      <c r="P178" s="164"/>
      <c r="Q178" s="164"/>
      <c r="R178" s="164"/>
      <c r="S178" s="164"/>
      <c r="T178" s="164"/>
      <c r="U178" s="164"/>
      <c r="V178" s="164"/>
      <c r="W178" s="164"/>
      <c r="X178" s="164"/>
      <c r="Y178" s="164"/>
      <c r="Z178" s="164"/>
      <c r="AA178" s="164"/>
      <c r="AB178" s="164"/>
      <c r="AC178" s="165"/>
      <c r="AD178" s="165"/>
      <c r="AE178" s="165"/>
      <c r="AF178" s="165"/>
      <c r="AG178" s="165"/>
      <c r="AH178" s="165"/>
      <c r="AI178" s="165"/>
      <c r="AJ178" s="165"/>
      <c r="AK178" s="165"/>
      <c r="AL178" s="165"/>
      <c r="AM178" s="165"/>
      <c r="AN178" s="165"/>
      <c r="AO178" s="165"/>
      <c r="AP178" s="166">
        <f t="shared" si="7"/>
        <v>0</v>
      </c>
      <c r="AQ178" s="164"/>
      <c r="AR178" s="167" t="str">
        <f>IF(B178="","",COUNTIF('Rel.Conjunts-Sistemes'!$B:$B,$B178))</f>
        <v/>
      </c>
      <c r="AS178" s="167" t="str">
        <f>IF(B178="","",COUNTIF('Dominis de dades'!$B:$B,$D178))</f>
        <v/>
      </c>
    </row>
    <row r="179" spans="2:45" ht="15" x14ac:dyDescent="0.3">
      <c r="B179" s="168"/>
      <c r="C179" s="169"/>
      <c r="D179" s="170"/>
      <c r="E179" s="171" t="str">
        <f t="shared" si="9"/>
        <v>-</v>
      </c>
      <c r="F179" s="162"/>
      <c r="G179" s="162"/>
      <c r="H179" s="163"/>
      <c r="I179" s="164"/>
      <c r="J179" s="163"/>
      <c r="K179" s="163"/>
      <c r="L179" s="163"/>
      <c r="M179" s="163"/>
      <c r="N179" s="163"/>
      <c r="O179" s="164"/>
      <c r="P179" s="164"/>
      <c r="Q179" s="164"/>
      <c r="R179" s="164"/>
      <c r="S179" s="164"/>
      <c r="T179" s="164"/>
      <c r="U179" s="164"/>
      <c r="V179" s="164"/>
      <c r="W179" s="164"/>
      <c r="X179" s="164"/>
      <c r="Y179" s="164"/>
      <c r="Z179" s="164"/>
      <c r="AA179" s="164"/>
      <c r="AB179" s="164"/>
      <c r="AC179" s="165"/>
      <c r="AD179" s="165"/>
      <c r="AE179" s="165"/>
      <c r="AF179" s="165"/>
      <c r="AG179" s="165"/>
      <c r="AH179" s="165"/>
      <c r="AI179" s="165"/>
      <c r="AJ179" s="165"/>
      <c r="AK179" s="165"/>
      <c r="AL179" s="165"/>
      <c r="AM179" s="165"/>
      <c r="AN179" s="165"/>
      <c r="AO179" s="165"/>
      <c r="AP179" s="166">
        <f t="shared" si="7"/>
        <v>0</v>
      </c>
      <c r="AQ179" s="164"/>
      <c r="AR179" s="167" t="str">
        <f>IF(B179="","",COUNTIF('Rel.Conjunts-Sistemes'!$B:$B,$B179))</f>
        <v/>
      </c>
      <c r="AS179" s="167" t="str">
        <f>IF(B179="","",COUNTIF('Dominis de dades'!$B:$B,$D179))</f>
        <v/>
      </c>
    </row>
    <row r="180" spans="2:45" ht="15" x14ac:dyDescent="0.3">
      <c r="B180" s="168"/>
      <c r="C180" s="169"/>
      <c r="D180" s="170"/>
      <c r="E180" s="171" t="str">
        <f t="shared" si="9"/>
        <v>-</v>
      </c>
      <c r="F180" s="162"/>
      <c r="G180" s="162"/>
      <c r="H180" s="163"/>
      <c r="I180" s="164"/>
      <c r="J180" s="163"/>
      <c r="K180" s="163"/>
      <c r="L180" s="163"/>
      <c r="M180" s="163"/>
      <c r="N180" s="163"/>
      <c r="O180" s="164"/>
      <c r="P180" s="164"/>
      <c r="Q180" s="164"/>
      <c r="R180" s="164"/>
      <c r="S180" s="164"/>
      <c r="T180" s="164"/>
      <c r="U180" s="164"/>
      <c r="V180" s="164"/>
      <c r="W180" s="164"/>
      <c r="X180" s="164"/>
      <c r="Y180" s="164"/>
      <c r="Z180" s="164"/>
      <c r="AA180" s="164"/>
      <c r="AB180" s="164"/>
      <c r="AC180" s="165"/>
      <c r="AD180" s="165"/>
      <c r="AE180" s="165"/>
      <c r="AF180" s="165"/>
      <c r="AG180" s="165"/>
      <c r="AH180" s="165"/>
      <c r="AI180" s="165"/>
      <c r="AJ180" s="165"/>
      <c r="AK180" s="165"/>
      <c r="AL180" s="165"/>
      <c r="AM180" s="165"/>
      <c r="AN180" s="165"/>
      <c r="AO180" s="165"/>
      <c r="AP180" s="166">
        <f t="shared" si="7"/>
        <v>0</v>
      </c>
      <c r="AQ180" s="164"/>
      <c r="AR180" s="167" t="str">
        <f>IF(B180="","",COUNTIF('Rel.Conjunts-Sistemes'!$B:$B,$B180))</f>
        <v/>
      </c>
      <c r="AS180" s="167" t="str">
        <f>IF(B180="","",COUNTIF('Dominis de dades'!$B:$B,$D180))</f>
        <v/>
      </c>
    </row>
    <row r="181" spans="2:45" ht="15" x14ac:dyDescent="0.3">
      <c r="B181" s="168"/>
      <c r="C181" s="169"/>
      <c r="D181" s="170"/>
      <c r="E181" s="171" t="str">
        <f t="shared" si="9"/>
        <v>-</v>
      </c>
      <c r="F181" s="162"/>
      <c r="G181" s="162"/>
      <c r="H181" s="163"/>
      <c r="I181" s="164"/>
      <c r="J181" s="163"/>
      <c r="K181" s="163"/>
      <c r="L181" s="163"/>
      <c r="M181" s="163"/>
      <c r="N181" s="163"/>
      <c r="O181" s="164"/>
      <c r="P181" s="164"/>
      <c r="Q181" s="164"/>
      <c r="R181" s="164"/>
      <c r="S181" s="164"/>
      <c r="T181" s="164"/>
      <c r="U181" s="164"/>
      <c r="V181" s="164"/>
      <c r="W181" s="164"/>
      <c r="X181" s="164"/>
      <c r="Y181" s="164"/>
      <c r="Z181" s="164"/>
      <c r="AA181" s="164"/>
      <c r="AB181" s="164"/>
      <c r="AC181" s="165"/>
      <c r="AD181" s="165"/>
      <c r="AE181" s="165"/>
      <c r="AF181" s="165"/>
      <c r="AG181" s="165"/>
      <c r="AH181" s="165"/>
      <c r="AI181" s="165"/>
      <c r="AJ181" s="165"/>
      <c r="AK181" s="165"/>
      <c r="AL181" s="165"/>
      <c r="AM181" s="165"/>
      <c r="AN181" s="165"/>
      <c r="AO181" s="165"/>
      <c r="AP181" s="166">
        <f t="shared" si="7"/>
        <v>0</v>
      </c>
      <c r="AQ181" s="164"/>
      <c r="AR181" s="167" t="str">
        <f>IF(B181="","",COUNTIF('Rel.Conjunts-Sistemes'!$B:$B,$B181))</f>
        <v/>
      </c>
      <c r="AS181" s="167" t="str">
        <f>IF(B181="","",COUNTIF('Dominis de dades'!$B:$B,$D181))</f>
        <v/>
      </c>
    </row>
    <row r="182" spans="2:45" ht="15" x14ac:dyDescent="0.3">
      <c r="B182" s="168"/>
      <c r="C182" s="169"/>
      <c r="D182" s="170"/>
      <c r="E182" s="171" t="str">
        <f t="shared" si="9"/>
        <v>-</v>
      </c>
      <c r="F182" s="162"/>
      <c r="G182" s="162"/>
      <c r="H182" s="163"/>
      <c r="I182" s="164"/>
      <c r="J182" s="163"/>
      <c r="K182" s="163"/>
      <c r="L182" s="163"/>
      <c r="M182" s="163"/>
      <c r="N182" s="163"/>
      <c r="O182" s="164"/>
      <c r="P182" s="164"/>
      <c r="Q182" s="164"/>
      <c r="R182" s="164"/>
      <c r="S182" s="164"/>
      <c r="T182" s="164"/>
      <c r="U182" s="164"/>
      <c r="V182" s="164"/>
      <c r="W182" s="164"/>
      <c r="X182" s="164"/>
      <c r="Y182" s="164"/>
      <c r="Z182" s="164"/>
      <c r="AA182" s="164"/>
      <c r="AB182" s="164"/>
      <c r="AC182" s="165"/>
      <c r="AD182" s="165"/>
      <c r="AE182" s="165"/>
      <c r="AF182" s="165"/>
      <c r="AG182" s="165"/>
      <c r="AH182" s="165"/>
      <c r="AI182" s="165"/>
      <c r="AJ182" s="165"/>
      <c r="AK182" s="165"/>
      <c r="AL182" s="165"/>
      <c r="AM182" s="165"/>
      <c r="AN182" s="165"/>
      <c r="AO182" s="165"/>
      <c r="AP182" s="166">
        <f t="shared" si="7"/>
        <v>0</v>
      </c>
      <c r="AQ182" s="164"/>
      <c r="AR182" s="167" t="str">
        <f>IF(B182="","",COUNTIF('Rel.Conjunts-Sistemes'!$B:$B,$B182))</f>
        <v/>
      </c>
      <c r="AS182" s="167" t="str">
        <f>IF(B182="","",COUNTIF('Dominis de dades'!$B:$B,$D182))</f>
        <v/>
      </c>
    </row>
    <row r="183" spans="2:45" ht="15" x14ac:dyDescent="0.3">
      <c r="B183" s="168"/>
      <c r="C183" s="169"/>
      <c r="D183" s="170"/>
      <c r="E183" s="171" t="str">
        <f t="shared" si="9"/>
        <v>-</v>
      </c>
      <c r="F183" s="162"/>
      <c r="G183" s="162"/>
      <c r="H183" s="163"/>
      <c r="I183" s="164"/>
      <c r="J183" s="163"/>
      <c r="K183" s="163"/>
      <c r="L183" s="163"/>
      <c r="M183" s="163"/>
      <c r="N183" s="163"/>
      <c r="O183" s="164"/>
      <c r="P183" s="164"/>
      <c r="Q183" s="164"/>
      <c r="R183" s="164"/>
      <c r="S183" s="164"/>
      <c r="T183" s="164"/>
      <c r="U183" s="164"/>
      <c r="V183" s="164"/>
      <c r="W183" s="164"/>
      <c r="X183" s="164"/>
      <c r="Y183" s="164"/>
      <c r="Z183" s="164"/>
      <c r="AA183" s="164"/>
      <c r="AB183" s="164"/>
      <c r="AC183" s="165"/>
      <c r="AD183" s="165"/>
      <c r="AE183" s="165"/>
      <c r="AF183" s="165"/>
      <c r="AG183" s="165"/>
      <c r="AH183" s="165"/>
      <c r="AI183" s="165"/>
      <c r="AJ183" s="165"/>
      <c r="AK183" s="165"/>
      <c r="AL183" s="165"/>
      <c r="AM183" s="165"/>
      <c r="AN183" s="165"/>
      <c r="AO183" s="165"/>
      <c r="AP183" s="166">
        <f t="shared" si="7"/>
        <v>0</v>
      </c>
      <c r="AQ183" s="164"/>
      <c r="AR183" s="167" t="str">
        <f>IF(B183="","",COUNTIF('Rel.Conjunts-Sistemes'!$B:$B,$B183))</f>
        <v/>
      </c>
      <c r="AS183" s="167" t="str">
        <f>IF(B183="","",COUNTIF('Dominis de dades'!$B:$B,$D183))</f>
        <v/>
      </c>
    </row>
    <row r="184" spans="2:45" ht="15" x14ac:dyDescent="0.3">
      <c r="B184" s="168"/>
      <c r="C184" s="169"/>
      <c r="D184" s="170"/>
      <c r="E184" s="171" t="str">
        <f t="shared" si="9"/>
        <v>-</v>
      </c>
      <c r="F184" s="162"/>
      <c r="G184" s="162"/>
      <c r="H184" s="163"/>
      <c r="I184" s="164"/>
      <c r="J184" s="163"/>
      <c r="K184" s="163"/>
      <c r="L184" s="163"/>
      <c r="M184" s="163"/>
      <c r="N184" s="163"/>
      <c r="O184" s="164"/>
      <c r="P184" s="164"/>
      <c r="Q184" s="164"/>
      <c r="R184" s="164"/>
      <c r="S184" s="164"/>
      <c r="T184" s="164"/>
      <c r="U184" s="164"/>
      <c r="V184" s="164"/>
      <c r="W184" s="164"/>
      <c r="X184" s="164"/>
      <c r="Y184" s="164"/>
      <c r="Z184" s="164"/>
      <c r="AA184" s="164"/>
      <c r="AB184" s="164"/>
      <c r="AC184" s="165"/>
      <c r="AD184" s="165"/>
      <c r="AE184" s="165"/>
      <c r="AF184" s="165"/>
      <c r="AG184" s="165"/>
      <c r="AH184" s="165"/>
      <c r="AI184" s="165"/>
      <c r="AJ184" s="165"/>
      <c r="AK184" s="165"/>
      <c r="AL184" s="165"/>
      <c r="AM184" s="165"/>
      <c r="AN184" s="165"/>
      <c r="AO184" s="165"/>
      <c r="AP184" s="166">
        <f t="shared" si="7"/>
        <v>0</v>
      </c>
      <c r="AQ184" s="164"/>
      <c r="AR184" s="167" t="str">
        <f>IF(B184="","",COUNTIF('Rel.Conjunts-Sistemes'!$B:$B,$B184))</f>
        <v/>
      </c>
      <c r="AS184" s="167" t="str">
        <f>IF(B184="","",COUNTIF('Dominis de dades'!$B:$B,$D184))</f>
        <v/>
      </c>
    </row>
    <row r="185" spans="2:45" ht="15" x14ac:dyDescent="0.3">
      <c r="B185" s="168"/>
      <c r="C185" s="169"/>
      <c r="D185" s="170"/>
      <c r="E185" s="171" t="str">
        <f t="shared" si="9"/>
        <v>-</v>
      </c>
      <c r="F185" s="162"/>
      <c r="G185" s="162"/>
      <c r="H185" s="163"/>
      <c r="I185" s="164"/>
      <c r="J185" s="163"/>
      <c r="K185" s="163"/>
      <c r="L185" s="163"/>
      <c r="M185" s="163"/>
      <c r="N185" s="163"/>
      <c r="O185" s="164"/>
      <c r="P185" s="164"/>
      <c r="Q185" s="164"/>
      <c r="R185" s="164"/>
      <c r="S185" s="164"/>
      <c r="T185" s="164"/>
      <c r="U185" s="164"/>
      <c r="V185" s="164"/>
      <c r="W185" s="164"/>
      <c r="X185" s="164"/>
      <c r="Y185" s="164"/>
      <c r="Z185" s="164"/>
      <c r="AA185" s="164"/>
      <c r="AB185" s="164"/>
      <c r="AC185" s="165"/>
      <c r="AD185" s="165"/>
      <c r="AE185" s="165"/>
      <c r="AF185" s="165"/>
      <c r="AG185" s="165"/>
      <c r="AH185" s="165"/>
      <c r="AI185" s="165"/>
      <c r="AJ185" s="165"/>
      <c r="AK185" s="165"/>
      <c r="AL185" s="165"/>
      <c r="AM185" s="165"/>
      <c r="AN185" s="165"/>
      <c r="AO185" s="165"/>
      <c r="AP185" s="166">
        <f t="shared" ref="AP185:AP200" si="10">AVERAGE(SUMIF(AnàlisiRiscos,AC185,AnàlisiRiscosGrau),SUMIF(AnàlisiRiscos,AD185,AnàlisiRiscosGrau),SUMIF(AnàlisiRiscos,AE185,AnàlisiRiscosGrau),SUMIF(AnàlisiRiscos,AF185,AnàlisiRiscosGrau),SUMIF(AnàlisiRiscos,AG185,AnàlisiRiscosGrau),SUMIF(AnàlisiRiscos,AH185,AnàlisiRiscosGrau),SUMIF(AnàlisiRiscos,AI185,AnàlisiRiscosGrau),SUMIF(AnàlisiRiscos,AJ185,AnàlisiRiscosGrau),SUMIF(AnàlisiRiscos,AK185,AnàlisiRiscosGrau),SUMIF(AnàlisiRiscos,AL185,AnàlisiRiscosGrau),SUMIF(AnàlisiRiscos,AM185,AnàlisiRiscosGrau),SUMIF(AnàlisiRiscos,AN185,AnàlisiRiscosGrau),SUMIF(AnàlisiRiscos,AO185,AnàlisiRiscosGrau))</f>
        <v>0</v>
      </c>
      <c r="AQ185" s="164"/>
      <c r="AR185" s="167" t="str">
        <f>IF(B185="","",COUNTIF('Rel.Conjunts-Sistemes'!$B:$B,$B185))</f>
        <v/>
      </c>
      <c r="AS185" s="167" t="str">
        <f>IF(B185="","",COUNTIF('Dominis de dades'!$B:$B,$D185))</f>
        <v/>
      </c>
    </row>
    <row r="186" spans="2:45" ht="15" x14ac:dyDescent="0.3">
      <c r="B186" s="168"/>
      <c r="C186" s="169"/>
      <c r="D186" s="170"/>
      <c r="E186" s="171" t="str">
        <f t="shared" si="9"/>
        <v>-</v>
      </c>
      <c r="F186" s="162"/>
      <c r="G186" s="162"/>
      <c r="H186" s="163"/>
      <c r="I186" s="164"/>
      <c r="J186" s="163"/>
      <c r="K186" s="163"/>
      <c r="L186" s="163"/>
      <c r="M186" s="163"/>
      <c r="N186" s="163"/>
      <c r="O186" s="164"/>
      <c r="P186" s="164"/>
      <c r="Q186" s="164"/>
      <c r="R186" s="164"/>
      <c r="S186" s="164"/>
      <c r="T186" s="164"/>
      <c r="U186" s="164"/>
      <c r="V186" s="164"/>
      <c r="W186" s="164"/>
      <c r="X186" s="164"/>
      <c r="Y186" s="164"/>
      <c r="Z186" s="164"/>
      <c r="AA186" s="164"/>
      <c r="AB186" s="164"/>
      <c r="AC186" s="165"/>
      <c r="AD186" s="165"/>
      <c r="AE186" s="165"/>
      <c r="AF186" s="165"/>
      <c r="AG186" s="165"/>
      <c r="AH186" s="165"/>
      <c r="AI186" s="165"/>
      <c r="AJ186" s="165"/>
      <c r="AK186" s="165"/>
      <c r="AL186" s="165"/>
      <c r="AM186" s="165"/>
      <c r="AN186" s="165"/>
      <c r="AO186" s="165"/>
      <c r="AP186" s="166">
        <f t="shared" si="10"/>
        <v>0</v>
      </c>
      <c r="AQ186" s="164"/>
      <c r="AR186" s="167" t="str">
        <f>IF(B186="","",COUNTIF('Rel.Conjunts-Sistemes'!$B:$B,$B186))</f>
        <v/>
      </c>
      <c r="AS186" s="167" t="str">
        <f>IF(B186="","",COUNTIF('Dominis de dades'!$B:$B,$D186))</f>
        <v/>
      </c>
    </row>
    <row r="187" spans="2:45" ht="15" x14ac:dyDescent="0.3">
      <c r="B187" s="168"/>
      <c r="C187" s="169"/>
      <c r="D187" s="170"/>
      <c r="E187" s="171" t="str">
        <f t="shared" si="9"/>
        <v>-</v>
      </c>
      <c r="F187" s="162"/>
      <c r="G187" s="162"/>
      <c r="H187" s="163"/>
      <c r="I187" s="164"/>
      <c r="J187" s="163"/>
      <c r="K187" s="163"/>
      <c r="L187" s="163"/>
      <c r="M187" s="163"/>
      <c r="N187" s="163"/>
      <c r="O187" s="164"/>
      <c r="P187" s="164"/>
      <c r="Q187" s="164"/>
      <c r="R187" s="164"/>
      <c r="S187" s="164"/>
      <c r="T187" s="164"/>
      <c r="U187" s="164"/>
      <c r="V187" s="164"/>
      <c r="W187" s="164"/>
      <c r="X187" s="164"/>
      <c r="Y187" s="164"/>
      <c r="Z187" s="164"/>
      <c r="AA187" s="164"/>
      <c r="AB187" s="164"/>
      <c r="AC187" s="165"/>
      <c r="AD187" s="165"/>
      <c r="AE187" s="165"/>
      <c r="AF187" s="165"/>
      <c r="AG187" s="165"/>
      <c r="AH187" s="165"/>
      <c r="AI187" s="165"/>
      <c r="AJ187" s="165"/>
      <c r="AK187" s="165"/>
      <c r="AL187" s="165"/>
      <c r="AM187" s="165"/>
      <c r="AN187" s="165"/>
      <c r="AO187" s="165"/>
      <c r="AP187" s="166">
        <f t="shared" si="10"/>
        <v>0</v>
      </c>
      <c r="AQ187" s="164"/>
      <c r="AR187" s="167" t="str">
        <f>IF(B187="","",COUNTIF('Rel.Conjunts-Sistemes'!$B:$B,$B187))</f>
        <v/>
      </c>
      <c r="AS187" s="167" t="str">
        <f>IF(B187="","",COUNTIF('Dominis de dades'!$B:$B,$D187))</f>
        <v/>
      </c>
    </row>
    <row r="188" spans="2:45" ht="15" x14ac:dyDescent="0.3">
      <c r="B188" s="168"/>
      <c r="C188" s="169"/>
      <c r="D188" s="170"/>
      <c r="E188" s="171" t="str">
        <f t="shared" si="9"/>
        <v>-</v>
      </c>
      <c r="F188" s="162"/>
      <c r="G188" s="162"/>
      <c r="H188" s="163"/>
      <c r="I188" s="164"/>
      <c r="J188" s="163"/>
      <c r="K188" s="163"/>
      <c r="L188" s="163"/>
      <c r="M188" s="163"/>
      <c r="N188" s="163"/>
      <c r="O188" s="164"/>
      <c r="P188" s="164"/>
      <c r="Q188" s="164"/>
      <c r="R188" s="164"/>
      <c r="S188" s="164"/>
      <c r="T188" s="164"/>
      <c r="U188" s="164"/>
      <c r="V188" s="164"/>
      <c r="W188" s="164"/>
      <c r="X188" s="164"/>
      <c r="Y188" s="164"/>
      <c r="Z188" s="164"/>
      <c r="AA188" s="164"/>
      <c r="AB188" s="164"/>
      <c r="AC188" s="165"/>
      <c r="AD188" s="165"/>
      <c r="AE188" s="165"/>
      <c r="AF188" s="165"/>
      <c r="AG188" s="165"/>
      <c r="AH188" s="165"/>
      <c r="AI188" s="165"/>
      <c r="AJ188" s="165"/>
      <c r="AK188" s="165"/>
      <c r="AL188" s="165"/>
      <c r="AM188" s="165"/>
      <c r="AN188" s="165"/>
      <c r="AO188" s="165"/>
      <c r="AP188" s="166">
        <f t="shared" si="10"/>
        <v>0</v>
      </c>
      <c r="AQ188" s="164"/>
      <c r="AR188" s="167" t="str">
        <f>IF(B188="","",COUNTIF('Rel.Conjunts-Sistemes'!$B:$B,$B188))</f>
        <v/>
      </c>
      <c r="AS188" s="167" t="str">
        <f>IF(B188="","",COUNTIF('Dominis de dades'!$B:$B,$D188))</f>
        <v/>
      </c>
    </row>
    <row r="189" spans="2:45" ht="15" x14ac:dyDescent="0.3">
      <c r="B189" s="168"/>
      <c r="C189" s="169"/>
      <c r="D189" s="170"/>
      <c r="E189" s="171" t="str">
        <f t="shared" si="9"/>
        <v>-</v>
      </c>
      <c r="F189" s="162"/>
      <c r="G189" s="162"/>
      <c r="H189" s="163"/>
      <c r="I189" s="164"/>
      <c r="J189" s="163"/>
      <c r="K189" s="163"/>
      <c r="L189" s="163"/>
      <c r="M189" s="163"/>
      <c r="N189" s="163"/>
      <c r="O189" s="164"/>
      <c r="P189" s="164"/>
      <c r="Q189" s="164"/>
      <c r="R189" s="164"/>
      <c r="S189" s="164"/>
      <c r="T189" s="164"/>
      <c r="U189" s="164"/>
      <c r="V189" s="164"/>
      <c r="W189" s="164"/>
      <c r="X189" s="164"/>
      <c r="Y189" s="164"/>
      <c r="Z189" s="164"/>
      <c r="AA189" s="164"/>
      <c r="AB189" s="164"/>
      <c r="AC189" s="165"/>
      <c r="AD189" s="165"/>
      <c r="AE189" s="165"/>
      <c r="AF189" s="165"/>
      <c r="AG189" s="165"/>
      <c r="AH189" s="165"/>
      <c r="AI189" s="165"/>
      <c r="AJ189" s="165"/>
      <c r="AK189" s="165"/>
      <c r="AL189" s="165"/>
      <c r="AM189" s="165"/>
      <c r="AN189" s="165"/>
      <c r="AO189" s="165"/>
      <c r="AP189" s="166">
        <f t="shared" si="10"/>
        <v>0</v>
      </c>
      <c r="AQ189" s="164"/>
      <c r="AR189" s="167" t="str">
        <f>IF(B189="","",COUNTIF('Rel.Conjunts-Sistemes'!$B:$B,$B189))</f>
        <v/>
      </c>
      <c r="AS189" s="167" t="str">
        <f>IF(B189="","",COUNTIF('Dominis de dades'!$B:$B,$D189))</f>
        <v/>
      </c>
    </row>
    <row r="190" spans="2:45" ht="15" x14ac:dyDescent="0.3">
      <c r="B190" s="168"/>
      <c r="C190" s="169"/>
      <c r="D190" s="170"/>
      <c r="E190" s="171" t="str">
        <f t="shared" si="9"/>
        <v>-</v>
      </c>
      <c r="F190" s="162"/>
      <c r="G190" s="162"/>
      <c r="H190" s="163"/>
      <c r="I190" s="164"/>
      <c r="J190" s="163"/>
      <c r="K190" s="163"/>
      <c r="L190" s="163"/>
      <c r="M190" s="163"/>
      <c r="N190" s="163"/>
      <c r="O190" s="164"/>
      <c r="P190" s="164"/>
      <c r="Q190" s="164"/>
      <c r="R190" s="164"/>
      <c r="S190" s="164"/>
      <c r="T190" s="164"/>
      <c r="U190" s="164"/>
      <c r="V190" s="164"/>
      <c r="W190" s="164"/>
      <c r="X190" s="164"/>
      <c r="Y190" s="164"/>
      <c r="Z190" s="164"/>
      <c r="AA190" s="164"/>
      <c r="AB190" s="164"/>
      <c r="AC190" s="165"/>
      <c r="AD190" s="165"/>
      <c r="AE190" s="165"/>
      <c r="AF190" s="165"/>
      <c r="AG190" s="165"/>
      <c r="AH190" s="165"/>
      <c r="AI190" s="165"/>
      <c r="AJ190" s="165"/>
      <c r="AK190" s="165"/>
      <c r="AL190" s="165"/>
      <c r="AM190" s="165"/>
      <c r="AN190" s="165"/>
      <c r="AO190" s="165"/>
      <c r="AP190" s="166">
        <f t="shared" si="10"/>
        <v>0</v>
      </c>
      <c r="AQ190" s="164"/>
      <c r="AR190" s="167" t="str">
        <f>IF(B190="","",COUNTIF('Rel.Conjunts-Sistemes'!$B:$B,$B190))</f>
        <v/>
      </c>
      <c r="AS190" s="167" t="str">
        <f>IF(B190="","",COUNTIF('Dominis de dades'!$B:$B,$D190))</f>
        <v/>
      </c>
    </row>
    <row r="191" spans="2:45" ht="15" x14ac:dyDescent="0.3">
      <c r="B191" s="168"/>
      <c r="C191" s="169"/>
      <c r="D191" s="170"/>
      <c r="E191" s="171" t="str">
        <f t="shared" si="9"/>
        <v>-</v>
      </c>
      <c r="F191" s="162"/>
      <c r="G191" s="162"/>
      <c r="H191" s="163"/>
      <c r="I191" s="164"/>
      <c r="J191" s="163"/>
      <c r="K191" s="163"/>
      <c r="L191" s="163"/>
      <c r="M191" s="163"/>
      <c r="N191" s="163"/>
      <c r="O191" s="164"/>
      <c r="P191" s="164"/>
      <c r="Q191" s="164"/>
      <c r="R191" s="164"/>
      <c r="S191" s="164"/>
      <c r="T191" s="164"/>
      <c r="U191" s="164"/>
      <c r="V191" s="164"/>
      <c r="W191" s="164"/>
      <c r="X191" s="164"/>
      <c r="Y191" s="164"/>
      <c r="Z191" s="164"/>
      <c r="AA191" s="164"/>
      <c r="AB191" s="164"/>
      <c r="AC191" s="165"/>
      <c r="AD191" s="165"/>
      <c r="AE191" s="165"/>
      <c r="AF191" s="165"/>
      <c r="AG191" s="165"/>
      <c r="AH191" s="165"/>
      <c r="AI191" s="165"/>
      <c r="AJ191" s="165"/>
      <c r="AK191" s="165"/>
      <c r="AL191" s="165"/>
      <c r="AM191" s="165"/>
      <c r="AN191" s="165"/>
      <c r="AO191" s="165"/>
      <c r="AP191" s="166">
        <f t="shared" si="10"/>
        <v>0</v>
      </c>
      <c r="AQ191" s="164"/>
      <c r="AR191" s="167" t="str">
        <f>IF(B191="","",COUNTIF('Rel.Conjunts-Sistemes'!$B:$B,$B191))</f>
        <v/>
      </c>
      <c r="AS191" s="167" t="str">
        <f>IF(B191="","",COUNTIF('Dominis de dades'!$B:$B,$D191))</f>
        <v/>
      </c>
    </row>
    <row r="192" spans="2:45" ht="15" x14ac:dyDescent="0.3">
      <c r="B192" s="168"/>
      <c r="C192" s="169"/>
      <c r="D192" s="170"/>
      <c r="E192" s="171" t="str">
        <f t="shared" si="9"/>
        <v>-</v>
      </c>
      <c r="F192" s="162"/>
      <c r="G192" s="162"/>
      <c r="H192" s="163"/>
      <c r="I192" s="164"/>
      <c r="J192" s="163"/>
      <c r="K192" s="163"/>
      <c r="L192" s="163"/>
      <c r="M192" s="163"/>
      <c r="N192" s="163"/>
      <c r="O192" s="164"/>
      <c r="P192" s="164"/>
      <c r="Q192" s="164"/>
      <c r="R192" s="164"/>
      <c r="S192" s="164"/>
      <c r="T192" s="164"/>
      <c r="U192" s="164"/>
      <c r="V192" s="164"/>
      <c r="W192" s="164"/>
      <c r="X192" s="164"/>
      <c r="Y192" s="164"/>
      <c r="Z192" s="164"/>
      <c r="AA192" s="164"/>
      <c r="AB192" s="164"/>
      <c r="AC192" s="165"/>
      <c r="AD192" s="165"/>
      <c r="AE192" s="165"/>
      <c r="AF192" s="165"/>
      <c r="AG192" s="165"/>
      <c r="AH192" s="165"/>
      <c r="AI192" s="165"/>
      <c r="AJ192" s="165"/>
      <c r="AK192" s="165"/>
      <c r="AL192" s="165"/>
      <c r="AM192" s="165"/>
      <c r="AN192" s="165"/>
      <c r="AO192" s="165"/>
      <c r="AP192" s="166">
        <f t="shared" si="10"/>
        <v>0</v>
      </c>
      <c r="AQ192" s="164"/>
      <c r="AR192" s="167" t="str">
        <f>IF(B192="","",COUNTIF('Rel.Conjunts-Sistemes'!$B:$B,$B192))</f>
        <v/>
      </c>
      <c r="AS192" s="167" t="str">
        <f>IF(B192="","",COUNTIF('Dominis de dades'!$B:$B,$D192))</f>
        <v/>
      </c>
    </row>
    <row r="193" spans="2:45" ht="15" x14ac:dyDescent="0.3">
      <c r="B193" s="168"/>
      <c r="C193" s="169"/>
      <c r="D193" s="170"/>
      <c r="E193" s="171" t="str">
        <f t="shared" si="9"/>
        <v>-</v>
      </c>
      <c r="F193" s="162"/>
      <c r="G193" s="162"/>
      <c r="H193" s="163"/>
      <c r="I193" s="164"/>
      <c r="J193" s="163"/>
      <c r="K193" s="163"/>
      <c r="L193" s="163"/>
      <c r="M193" s="163"/>
      <c r="N193" s="163"/>
      <c r="O193" s="164"/>
      <c r="P193" s="164"/>
      <c r="Q193" s="164"/>
      <c r="R193" s="164"/>
      <c r="S193" s="164"/>
      <c r="T193" s="164"/>
      <c r="U193" s="164"/>
      <c r="V193" s="164"/>
      <c r="W193" s="164"/>
      <c r="X193" s="164"/>
      <c r="Y193" s="164"/>
      <c r="Z193" s="164"/>
      <c r="AA193" s="164"/>
      <c r="AB193" s="164"/>
      <c r="AC193" s="165"/>
      <c r="AD193" s="165"/>
      <c r="AE193" s="165"/>
      <c r="AF193" s="165"/>
      <c r="AG193" s="165"/>
      <c r="AH193" s="165"/>
      <c r="AI193" s="165"/>
      <c r="AJ193" s="165"/>
      <c r="AK193" s="165"/>
      <c r="AL193" s="165"/>
      <c r="AM193" s="165"/>
      <c r="AN193" s="165"/>
      <c r="AO193" s="165"/>
      <c r="AP193" s="166">
        <f t="shared" si="10"/>
        <v>0</v>
      </c>
      <c r="AQ193" s="164"/>
      <c r="AR193" s="167" t="str">
        <f>IF(B193="","",COUNTIF('Rel.Conjunts-Sistemes'!$B:$B,$B193))</f>
        <v/>
      </c>
      <c r="AS193" s="167" t="str">
        <f>IF(B193="","",COUNTIF('Dominis de dades'!$B:$B,$D193))</f>
        <v/>
      </c>
    </row>
    <row r="194" spans="2:45" ht="15" x14ac:dyDescent="0.3">
      <c r="B194" s="168"/>
      <c r="C194" s="169"/>
      <c r="D194" s="170"/>
      <c r="E194" s="171" t="str">
        <f t="shared" si="9"/>
        <v>-</v>
      </c>
      <c r="F194" s="162"/>
      <c r="G194" s="162"/>
      <c r="H194" s="163"/>
      <c r="I194" s="164"/>
      <c r="J194" s="163"/>
      <c r="K194" s="163"/>
      <c r="L194" s="163"/>
      <c r="M194" s="163"/>
      <c r="N194" s="163"/>
      <c r="O194" s="164"/>
      <c r="P194" s="164"/>
      <c r="Q194" s="164"/>
      <c r="R194" s="164"/>
      <c r="S194" s="164"/>
      <c r="T194" s="164"/>
      <c r="U194" s="164"/>
      <c r="V194" s="164"/>
      <c r="W194" s="164"/>
      <c r="X194" s="164"/>
      <c r="Y194" s="164"/>
      <c r="Z194" s="164"/>
      <c r="AA194" s="164"/>
      <c r="AB194" s="164"/>
      <c r="AC194" s="165"/>
      <c r="AD194" s="165"/>
      <c r="AE194" s="165"/>
      <c r="AF194" s="165"/>
      <c r="AG194" s="165"/>
      <c r="AH194" s="165"/>
      <c r="AI194" s="165"/>
      <c r="AJ194" s="165"/>
      <c r="AK194" s="165"/>
      <c r="AL194" s="165"/>
      <c r="AM194" s="165"/>
      <c r="AN194" s="165"/>
      <c r="AO194" s="165"/>
      <c r="AP194" s="166">
        <f t="shared" si="10"/>
        <v>0</v>
      </c>
      <c r="AQ194" s="164"/>
      <c r="AR194" s="167" t="str">
        <f>IF(B194="","",COUNTIF('Rel.Conjunts-Sistemes'!$B:$B,$B194))</f>
        <v/>
      </c>
      <c r="AS194" s="167" t="str">
        <f>IF(B194="","",COUNTIF('Dominis de dades'!$B:$B,$D194))</f>
        <v/>
      </c>
    </row>
    <row r="195" spans="2:45" ht="15" x14ac:dyDescent="0.3">
      <c r="B195" s="168"/>
      <c r="C195" s="169"/>
      <c r="D195" s="170"/>
      <c r="E195" s="171" t="str">
        <f t="shared" si="9"/>
        <v>-</v>
      </c>
      <c r="F195" s="162"/>
      <c r="G195" s="162"/>
      <c r="H195" s="163"/>
      <c r="I195" s="164"/>
      <c r="J195" s="163"/>
      <c r="K195" s="163"/>
      <c r="L195" s="163"/>
      <c r="M195" s="163"/>
      <c r="N195" s="163"/>
      <c r="O195" s="164"/>
      <c r="P195" s="164"/>
      <c r="Q195" s="164"/>
      <c r="R195" s="164"/>
      <c r="S195" s="164"/>
      <c r="T195" s="164"/>
      <c r="U195" s="164"/>
      <c r="V195" s="164"/>
      <c r="W195" s="164"/>
      <c r="X195" s="164"/>
      <c r="Y195" s="164"/>
      <c r="Z195" s="164"/>
      <c r="AA195" s="164"/>
      <c r="AB195" s="164"/>
      <c r="AC195" s="165"/>
      <c r="AD195" s="165"/>
      <c r="AE195" s="165"/>
      <c r="AF195" s="165"/>
      <c r="AG195" s="165"/>
      <c r="AH195" s="165"/>
      <c r="AI195" s="165"/>
      <c r="AJ195" s="165"/>
      <c r="AK195" s="165"/>
      <c r="AL195" s="165"/>
      <c r="AM195" s="165"/>
      <c r="AN195" s="165"/>
      <c r="AO195" s="165"/>
      <c r="AP195" s="166">
        <f t="shared" si="10"/>
        <v>0</v>
      </c>
      <c r="AQ195" s="164"/>
      <c r="AR195" s="167" t="str">
        <f>IF(B195="","",COUNTIF('Rel.Conjunts-Sistemes'!$B:$B,$B195))</f>
        <v/>
      </c>
      <c r="AS195" s="167" t="str">
        <f>IF(B195="","",COUNTIF('Dominis de dades'!$B:$B,$D195))</f>
        <v/>
      </c>
    </row>
    <row r="196" spans="2:45" ht="15" x14ac:dyDescent="0.3">
      <c r="B196" s="168"/>
      <c r="C196" s="169"/>
      <c r="D196" s="170"/>
      <c r="E196" s="171" t="str">
        <f t="shared" si="9"/>
        <v>-</v>
      </c>
      <c r="F196" s="162"/>
      <c r="G196" s="162"/>
      <c r="H196" s="163"/>
      <c r="I196" s="164"/>
      <c r="J196" s="163"/>
      <c r="K196" s="163"/>
      <c r="L196" s="163"/>
      <c r="M196" s="163"/>
      <c r="N196" s="163"/>
      <c r="O196" s="164"/>
      <c r="P196" s="164"/>
      <c r="Q196" s="164"/>
      <c r="R196" s="164"/>
      <c r="S196" s="164"/>
      <c r="T196" s="164"/>
      <c r="U196" s="164"/>
      <c r="V196" s="164"/>
      <c r="W196" s="164"/>
      <c r="X196" s="164"/>
      <c r="Y196" s="164"/>
      <c r="Z196" s="164"/>
      <c r="AA196" s="164"/>
      <c r="AB196" s="164"/>
      <c r="AC196" s="165"/>
      <c r="AD196" s="165"/>
      <c r="AE196" s="165"/>
      <c r="AF196" s="165"/>
      <c r="AG196" s="165"/>
      <c r="AH196" s="165"/>
      <c r="AI196" s="165"/>
      <c r="AJ196" s="165"/>
      <c r="AK196" s="165"/>
      <c r="AL196" s="165"/>
      <c r="AM196" s="165"/>
      <c r="AN196" s="165"/>
      <c r="AO196" s="165"/>
      <c r="AP196" s="166">
        <f t="shared" si="10"/>
        <v>0</v>
      </c>
      <c r="AQ196" s="164"/>
      <c r="AR196" s="167" t="str">
        <f>IF(B196="","",COUNTIF('Rel.Conjunts-Sistemes'!$B:$B,$B196))</f>
        <v/>
      </c>
      <c r="AS196" s="167" t="str">
        <f>IF(B196="","",COUNTIF('Dominis de dades'!$B:$B,$D196))</f>
        <v/>
      </c>
    </row>
    <row r="197" spans="2:45" ht="15" x14ac:dyDescent="0.3">
      <c r="B197" s="168"/>
      <c r="C197" s="169"/>
      <c r="D197" s="170"/>
      <c r="E197" s="171" t="str">
        <f t="shared" si="9"/>
        <v>-</v>
      </c>
      <c r="F197" s="162"/>
      <c r="G197" s="162"/>
      <c r="H197" s="163"/>
      <c r="I197" s="164"/>
      <c r="J197" s="163"/>
      <c r="K197" s="163"/>
      <c r="L197" s="163"/>
      <c r="M197" s="163"/>
      <c r="N197" s="163"/>
      <c r="O197" s="164"/>
      <c r="P197" s="164"/>
      <c r="Q197" s="164"/>
      <c r="R197" s="164"/>
      <c r="S197" s="164"/>
      <c r="T197" s="164"/>
      <c r="U197" s="164"/>
      <c r="V197" s="164"/>
      <c r="W197" s="164"/>
      <c r="X197" s="164"/>
      <c r="Y197" s="164"/>
      <c r="Z197" s="164"/>
      <c r="AA197" s="164"/>
      <c r="AB197" s="164"/>
      <c r="AC197" s="165"/>
      <c r="AD197" s="165"/>
      <c r="AE197" s="165"/>
      <c r="AF197" s="165"/>
      <c r="AG197" s="165"/>
      <c r="AH197" s="165"/>
      <c r="AI197" s="165"/>
      <c r="AJ197" s="165"/>
      <c r="AK197" s="165"/>
      <c r="AL197" s="165"/>
      <c r="AM197" s="165"/>
      <c r="AN197" s="165"/>
      <c r="AO197" s="165"/>
      <c r="AP197" s="166">
        <f t="shared" si="10"/>
        <v>0</v>
      </c>
      <c r="AQ197" s="164"/>
      <c r="AR197" s="167" t="str">
        <f>IF(B197="","",COUNTIF('Rel.Conjunts-Sistemes'!$B:$B,$B197))</f>
        <v/>
      </c>
      <c r="AS197" s="167" t="str">
        <f>IF(B197="","",COUNTIF('Dominis de dades'!$B:$B,$D197))</f>
        <v/>
      </c>
    </row>
    <row r="198" spans="2:45" ht="15" x14ac:dyDescent="0.3">
      <c r="B198" s="168"/>
      <c r="C198" s="169"/>
      <c r="D198" s="170"/>
      <c r="E198" s="171" t="str">
        <f t="shared" si="9"/>
        <v>-</v>
      </c>
      <c r="F198" s="162"/>
      <c r="G198" s="162"/>
      <c r="H198" s="163"/>
      <c r="I198" s="164"/>
      <c r="J198" s="163"/>
      <c r="K198" s="163"/>
      <c r="L198" s="163"/>
      <c r="M198" s="163"/>
      <c r="N198" s="163"/>
      <c r="O198" s="164"/>
      <c r="P198" s="164"/>
      <c r="Q198" s="164"/>
      <c r="R198" s="164"/>
      <c r="S198" s="164"/>
      <c r="T198" s="164"/>
      <c r="U198" s="164"/>
      <c r="V198" s="164"/>
      <c r="W198" s="164"/>
      <c r="X198" s="164"/>
      <c r="Y198" s="164"/>
      <c r="Z198" s="164"/>
      <c r="AA198" s="164"/>
      <c r="AB198" s="164"/>
      <c r="AC198" s="165"/>
      <c r="AD198" s="165"/>
      <c r="AE198" s="165"/>
      <c r="AF198" s="165"/>
      <c r="AG198" s="165"/>
      <c r="AH198" s="165"/>
      <c r="AI198" s="165"/>
      <c r="AJ198" s="165"/>
      <c r="AK198" s="165"/>
      <c r="AL198" s="165"/>
      <c r="AM198" s="165"/>
      <c r="AN198" s="165"/>
      <c r="AO198" s="165"/>
      <c r="AP198" s="166">
        <f t="shared" si="10"/>
        <v>0</v>
      </c>
      <c r="AQ198" s="164"/>
      <c r="AR198" s="167" t="str">
        <f>IF(B198="","",COUNTIF('Rel.Conjunts-Sistemes'!$B:$B,$B198))</f>
        <v/>
      </c>
      <c r="AS198" s="167" t="str">
        <f>IF(B198="","",COUNTIF('Dominis de dades'!$B:$B,$D198))</f>
        <v/>
      </c>
    </row>
    <row r="199" spans="2:45" ht="15" x14ac:dyDescent="0.3">
      <c r="B199" s="168"/>
      <c r="C199" s="169"/>
      <c r="D199" s="170"/>
      <c r="E199" s="171" t="str">
        <f t="shared" si="9"/>
        <v>-</v>
      </c>
      <c r="F199" s="162"/>
      <c r="G199" s="162"/>
      <c r="H199" s="163"/>
      <c r="I199" s="164"/>
      <c r="J199" s="163"/>
      <c r="K199" s="163"/>
      <c r="L199" s="163"/>
      <c r="M199" s="163"/>
      <c r="N199" s="163"/>
      <c r="O199" s="164"/>
      <c r="P199" s="164"/>
      <c r="Q199" s="164"/>
      <c r="R199" s="164"/>
      <c r="S199" s="164"/>
      <c r="T199" s="164"/>
      <c r="U199" s="164"/>
      <c r="V199" s="164"/>
      <c r="W199" s="164"/>
      <c r="X199" s="164"/>
      <c r="Y199" s="164"/>
      <c r="Z199" s="164"/>
      <c r="AA199" s="164"/>
      <c r="AB199" s="164"/>
      <c r="AC199" s="165"/>
      <c r="AD199" s="165"/>
      <c r="AE199" s="165"/>
      <c r="AF199" s="165"/>
      <c r="AG199" s="165"/>
      <c r="AH199" s="165"/>
      <c r="AI199" s="165"/>
      <c r="AJ199" s="165"/>
      <c r="AK199" s="165"/>
      <c r="AL199" s="165"/>
      <c r="AM199" s="165"/>
      <c r="AN199" s="165"/>
      <c r="AO199" s="165"/>
      <c r="AP199" s="166">
        <f t="shared" si="10"/>
        <v>0</v>
      </c>
      <c r="AQ199" s="164"/>
      <c r="AR199" s="167" t="str">
        <f>IF(B199="","",COUNTIF('Rel.Conjunts-Sistemes'!$B:$B,$B199))</f>
        <v/>
      </c>
      <c r="AS199" s="167" t="str">
        <f>IF(B199="","",COUNTIF('Dominis de dades'!$B:$B,$D199))</f>
        <v/>
      </c>
    </row>
    <row r="200" spans="2:45" ht="15" x14ac:dyDescent="0.3">
      <c r="B200" s="168"/>
      <c r="C200" s="169"/>
      <c r="D200" s="170"/>
      <c r="E200" s="171" t="str">
        <f t="shared" si="9"/>
        <v>-</v>
      </c>
      <c r="F200" s="162"/>
      <c r="G200" s="162"/>
      <c r="H200" s="163"/>
      <c r="I200" s="164"/>
      <c r="J200" s="163"/>
      <c r="K200" s="163"/>
      <c r="L200" s="163"/>
      <c r="M200" s="163"/>
      <c r="N200" s="163"/>
      <c r="O200" s="164"/>
      <c r="P200" s="164"/>
      <c r="Q200" s="164"/>
      <c r="R200" s="164"/>
      <c r="S200" s="164"/>
      <c r="T200" s="164"/>
      <c r="U200" s="164"/>
      <c r="V200" s="164"/>
      <c r="W200" s="164"/>
      <c r="X200" s="164"/>
      <c r="Y200" s="164"/>
      <c r="Z200" s="164"/>
      <c r="AA200" s="164"/>
      <c r="AB200" s="164"/>
      <c r="AC200" s="165"/>
      <c r="AD200" s="165"/>
      <c r="AE200" s="165"/>
      <c r="AF200" s="165"/>
      <c r="AG200" s="165"/>
      <c r="AH200" s="165"/>
      <c r="AI200" s="165"/>
      <c r="AJ200" s="165"/>
      <c r="AK200" s="165"/>
      <c r="AL200" s="165"/>
      <c r="AM200" s="165"/>
      <c r="AN200" s="165"/>
      <c r="AO200" s="165"/>
      <c r="AP200" s="166">
        <f t="shared" si="10"/>
        <v>0</v>
      </c>
      <c r="AQ200" s="164"/>
      <c r="AR200" s="167" t="str">
        <f>IF(B200="","",COUNTIF('Rel.Conjunts-Sistemes'!$B:$B,$B200))</f>
        <v/>
      </c>
      <c r="AS200" s="167" t="str">
        <f>IF(B200="","",COUNTIF('Dominis de dades'!$B:$B,$D200))</f>
        <v/>
      </c>
    </row>
  </sheetData>
  <sheetProtection formatCells="0" formatColumns="0" formatRows="0" insertColumns="0" insertRows="0" insertHyperlinks="0" deleteColumns="0" deleteRows="0" sort="0" autoFilter="0" pivotTables="0"/>
  <autoFilter ref="A8:AS119" xr:uid="{C65622C4-A425-4F63-BCBB-709967467882}"/>
  <dataConsolidate/>
  <mergeCells count="3">
    <mergeCell ref="O7:T7"/>
    <mergeCell ref="AC7:AO7"/>
    <mergeCell ref="H7:N7"/>
  </mergeCells>
  <phoneticPr fontId="14" type="noConversion"/>
  <conditionalFormatting sqref="AC9:AO200">
    <cfRule type="containsText" dxfId="5" priority="1" operator="containsText" text="1">
      <formula>NOT(ISERROR(SEARCH("1",AC9)))</formula>
    </cfRule>
    <cfRule type="containsText" dxfId="4" priority="2" operator="containsText" text="2">
      <formula>NOT(ISERROR(SEARCH("2",AC9)))</formula>
    </cfRule>
    <cfRule type="containsText" dxfId="3" priority="3" operator="containsText" text="3">
      <formula>NOT(ISERROR(SEARCH("3",AC9)))</formula>
    </cfRule>
    <cfRule type="containsText" dxfId="2" priority="4" operator="containsText" text="4">
      <formula>NOT(ISERROR(SEARCH("4",AC9)))</formula>
    </cfRule>
  </conditionalFormatting>
  <conditionalFormatting sqref="AR9:AS200">
    <cfRule type="cellIs" dxfId="1" priority="5" operator="greaterThanOrEqual">
      <formula>1</formula>
    </cfRule>
    <cfRule type="cellIs" dxfId="0" priority="6" operator="equal">
      <formula>0</formula>
    </cfRule>
  </conditionalFormatting>
  <dataValidations disablePrompts="1" count="10">
    <dataValidation type="list" allowBlank="1" showInputMessage="1" showErrorMessage="1" sqref="D76:D119 D9:D69" xr:uid="{08B1FF6D-CFAE-48C7-A903-855F32E33B54}">
      <formula1>LlistaDominis</formula1>
    </dataValidation>
    <dataValidation type="list" allowBlank="1" showInputMessage="1" showErrorMessage="1" sqref="H9:N200" xr:uid="{12EF5D90-FFC4-47D0-B361-2FAF420513D7}">
      <formula1>SiNo</formula1>
    </dataValidation>
    <dataValidation type="list" allowBlank="1" showInputMessage="1" showErrorMessage="1" sqref="G9:G200" xr:uid="{43B10031-E1C8-450B-8A93-E4D95425ABFF}">
      <formula1>AbastOrganitzatiu</formula1>
    </dataValidation>
    <dataValidation type="list" allowBlank="1" showInputMessage="1" showErrorMessage="1" sqref="W9:W200" xr:uid="{691A1F72-F112-4E0C-B91C-98F2B5DD8F43}">
      <formula1>Origens</formula1>
    </dataValidation>
    <dataValidation type="list" allowBlank="1" showInputMessage="1" showErrorMessage="1" sqref="V9:V200" xr:uid="{64F36668-C839-4C95-87D9-6EFFC46E127A}">
      <formula1>Cadencia</formula1>
    </dataValidation>
    <dataValidation type="list" allowBlank="1" showInputMessage="1" showErrorMessage="1" sqref="Y9:Y200" xr:uid="{BCE2157F-368C-4D6B-94AB-E150DC69A026}">
      <formula1>Retenció</formula1>
    </dataValidation>
    <dataValidation type="list" allowBlank="1" showInputMessage="1" showErrorMessage="1" sqref="X9:X200" xr:uid="{13E8C17B-892C-494D-8ECE-626DEFC6BF8B}">
      <formula1>Persistencia</formula1>
    </dataValidation>
    <dataValidation type="list" allowBlank="1" showInputMessage="1" showErrorMessage="1" sqref="F9:F200" xr:uid="{EFD2181D-C864-4E96-BE7F-766B21A9E26F}">
      <formula1>TipusConjunt</formula1>
    </dataValidation>
    <dataValidation type="list" allowBlank="1" showInputMessage="1" showErrorMessage="1" sqref="U9:U200" xr:uid="{8027FECE-9298-4413-9CA8-37A4160C120C}">
      <formula1>AltValor</formula1>
    </dataValidation>
    <dataValidation type="list" allowBlank="1" showInputMessage="1" showErrorMessage="1" sqref="AC9:AO200" xr:uid="{732DBF38-336D-4A7D-A750-3942D43FF8D1}">
      <formula1>AnàlisiRiscos</formula1>
    </dataValidation>
  </dataValidations>
  <pageMargins left="0.7" right="0.7" top="0.75" bottom="0.75" header="0.3" footer="0.3"/>
  <pageSetup paperSize="9" orientation="portrait" r:id="rId1"/>
  <headerFooter>
    <oddFooter>&amp;L_x000D_&amp;1#&amp;"Calibri"&amp;9&amp;KCF022B C2 – Uso Restringida</oddFooter>
  </headerFooter>
  <drawing r:id="rId2"/>
  <legacyDrawing r:id="rId3"/>
  <extLst>
    <ext xmlns:x14="http://schemas.microsoft.com/office/spreadsheetml/2009/9/main" uri="{CCE6A557-97BC-4b89-ADB6-D9C93CAAB3DF}">
      <x14:dataValidations xmlns:xm="http://schemas.microsoft.com/office/excel/2006/main" disablePrompts="1" count="1">
        <x14:dataValidation type="list" allowBlank="1" showInputMessage="1" showErrorMessage="1" xr:uid="{5683E8F3-04D5-4AF6-A071-E648190BDE90}">
          <x14:formula1>
            <xm:f>Llistes!$D$1:$D$36</xm:f>
          </x14:formula1>
          <xm:sqref>D70:D75</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9EF13E-D4A7-4C5D-8ADB-23B51A2CC989}">
  <sheetPr>
    <tabColor rgb="FFFFC000"/>
  </sheetPr>
  <dimension ref="A1:U200"/>
  <sheetViews>
    <sheetView zoomScaleNormal="100" workbookViewId="0">
      <pane xSplit="3" ySplit="8" topLeftCell="D9" activePane="bottomRight" state="frozen"/>
      <selection pane="topRight" activeCell="E1" sqref="E1"/>
      <selection pane="bottomLeft" activeCell="A8" sqref="A8"/>
      <selection pane="bottomRight" activeCell="B2" sqref="B2"/>
    </sheetView>
  </sheetViews>
  <sheetFormatPr baseColWidth="10" defaultColWidth="8.5546875" defaultRowHeight="13.8" x14ac:dyDescent="0.3"/>
  <cols>
    <col min="1" max="1" width="2.5546875" style="35" customWidth="1"/>
    <col min="2" max="2" width="63.44140625" style="35" customWidth="1"/>
    <col min="3" max="3" width="47.77734375" style="35" customWidth="1"/>
    <col min="4" max="4" width="53.44140625" style="35" customWidth="1"/>
    <col min="5" max="5" width="16.77734375" style="35" bestFit="1" customWidth="1"/>
    <col min="6" max="6" width="17.44140625" style="35" bestFit="1" customWidth="1"/>
    <col min="7" max="7" width="14.44140625" style="35" customWidth="1"/>
    <col min="8" max="8" width="52.77734375" style="35" bestFit="1" customWidth="1"/>
    <col min="9" max="16384" width="8.5546875" style="35"/>
  </cols>
  <sheetData>
    <row r="1" spans="1:21" s="13" customFormat="1" x14ac:dyDescent="0.3">
      <c r="A1" s="12"/>
      <c r="B1" s="12"/>
      <c r="C1" s="23"/>
      <c r="N1" s="15"/>
      <c r="O1" s="16"/>
    </row>
    <row r="2" spans="1:21" s="13" customFormat="1" x14ac:dyDescent="0.3">
      <c r="A2" s="12"/>
      <c r="B2" s="12"/>
      <c r="C2" s="23"/>
      <c r="N2" s="15"/>
      <c r="O2" s="16"/>
    </row>
    <row r="3" spans="1:21" s="13" customFormat="1" x14ac:dyDescent="0.3">
      <c r="A3" s="12"/>
      <c r="B3" s="12"/>
      <c r="C3" s="23"/>
      <c r="N3" s="15"/>
      <c r="O3" s="16"/>
    </row>
    <row r="4" spans="1:21" s="13" customFormat="1" x14ac:dyDescent="0.3">
      <c r="A4" s="12"/>
      <c r="B4" s="12"/>
      <c r="C4" s="23"/>
      <c r="N4" s="15"/>
      <c r="O4" s="16"/>
    </row>
    <row r="5" spans="1:21" s="20" customFormat="1" ht="24" thickBot="1" x14ac:dyDescent="0.5">
      <c r="B5" s="21" t="s">
        <v>413</v>
      </c>
      <c r="C5" s="21"/>
      <c r="D5" s="21"/>
      <c r="E5" s="118" t="s">
        <v>571</v>
      </c>
      <c r="F5" s="118"/>
      <c r="G5" s="118"/>
      <c r="H5" s="21"/>
      <c r="I5" s="21"/>
      <c r="J5" s="21"/>
      <c r="K5" s="21"/>
      <c r="L5" s="21"/>
      <c r="M5" s="21"/>
      <c r="N5" s="22"/>
      <c r="O5" s="22"/>
      <c r="P5" s="21"/>
      <c r="Q5" s="21"/>
      <c r="R5" s="21"/>
      <c r="S5" s="21"/>
      <c r="T5" s="21"/>
      <c r="U5" s="21"/>
    </row>
    <row r="6" spans="1:21" s="32" customFormat="1" ht="14.4" thickTop="1" x14ac:dyDescent="0.3">
      <c r="B6" s="33"/>
    </row>
    <row r="7" spans="1:21" s="32" customFormat="1" x14ac:dyDescent="0.3"/>
    <row r="8" spans="1:21" s="34" customFormat="1" ht="27.6" x14ac:dyDescent="0.3">
      <c r="B8" s="176" t="s">
        <v>186</v>
      </c>
      <c r="C8" s="176" t="s">
        <v>2</v>
      </c>
      <c r="D8" s="176" t="s">
        <v>188</v>
      </c>
      <c r="E8" s="177" t="s">
        <v>569</v>
      </c>
      <c r="F8" s="177" t="s">
        <v>570</v>
      </c>
      <c r="G8" s="176" t="s">
        <v>959</v>
      </c>
    </row>
    <row r="9" spans="1:21" s="34" customFormat="1" x14ac:dyDescent="0.3">
      <c r="B9" s="178" t="s">
        <v>804</v>
      </c>
      <c r="C9" s="178" t="s">
        <v>460</v>
      </c>
      <c r="D9" s="178" t="s">
        <v>165</v>
      </c>
      <c r="E9" s="179" t="str">
        <f>IF('Rel.Conjunts-Sistemes'!B9="","",IF(COUNTIF(ConjuntsDades,'Rel.Conjunts-Sistemes'!B9)&gt;0,"OK","Conjunt de dades erroni"))</f>
        <v>OK</v>
      </c>
      <c r="F9" s="180" t="str">
        <f>IF('Rel.Conjunts-Sistemes'!C9="","",IF(COUNTIF(Sistemes,'Rel.Conjunts-Sistemes'!C9)&gt;0,"OK","Conjunt de dades erroni"))</f>
        <v>OK</v>
      </c>
      <c r="G9" s="180" t="str">
        <f t="shared" ref="G9:G72" si="0">IF(AND(E9="",F9=""),"",IF(AND(E9="OK",F9="OK"),"OK","Error"))</f>
        <v>OK</v>
      </c>
    </row>
    <row r="10" spans="1:21" s="34" customFormat="1" x14ac:dyDescent="0.3">
      <c r="B10" s="178" t="s">
        <v>805</v>
      </c>
      <c r="C10" s="178" t="s">
        <v>460</v>
      </c>
      <c r="D10" s="178" t="s">
        <v>189</v>
      </c>
      <c r="E10" s="180" t="str">
        <f>IF('Rel.Conjunts-Sistemes'!B10="","",IF(COUNTIF(ConjuntsDades,'Rel.Conjunts-Sistemes'!B10)&gt;0,"OK","Conjunt de dades erroni"))</f>
        <v>OK</v>
      </c>
      <c r="F10" s="180" t="str">
        <f>IF('Rel.Conjunts-Sistemes'!C10="","",IF(COUNTIF(Sistemes,'Rel.Conjunts-Sistemes'!C10)&gt;0,"OK","Conjunt de dades erroni"))</f>
        <v>OK</v>
      </c>
      <c r="G10" s="180" t="str">
        <f t="shared" si="0"/>
        <v>OK</v>
      </c>
    </row>
    <row r="11" spans="1:21" s="34" customFormat="1" x14ac:dyDescent="0.3">
      <c r="B11" s="178" t="s">
        <v>806</v>
      </c>
      <c r="C11" s="178" t="s">
        <v>467</v>
      </c>
      <c r="D11" s="178" t="s">
        <v>190</v>
      </c>
      <c r="E11" s="180" t="str">
        <f>IF('Rel.Conjunts-Sistemes'!B11="","",IF(COUNTIF(ConjuntsDades,'Rel.Conjunts-Sistemes'!B11)&gt;0,"OK","Conjunt de dades erroni"))</f>
        <v>OK</v>
      </c>
      <c r="F11" s="180" t="str">
        <f>IF('Rel.Conjunts-Sistemes'!C11="","",IF(COUNTIF(Sistemes,'Rel.Conjunts-Sistemes'!C11)&gt;0,"OK","Conjunt de dades erroni"))</f>
        <v>OK</v>
      </c>
      <c r="G11" s="180" t="str">
        <f t="shared" si="0"/>
        <v>OK</v>
      </c>
    </row>
    <row r="12" spans="1:21" s="34" customFormat="1" x14ac:dyDescent="0.3">
      <c r="B12" s="178" t="s">
        <v>807</v>
      </c>
      <c r="C12" s="178" t="s">
        <v>467</v>
      </c>
      <c r="D12" s="178" t="s">
        <v>191</v>
      </c>
      <c r="E12" s="180" t="str">
        <f>IF('Rel.Conjunts-Sistemes'!B12="","",IF(COUNTIF(ConjuntsDades,'Rel.Conjunts-Sistemes'!B12)&gt;0,"OK","Conjunt de dades erroni"))</f>
        <v>OK</v>
      </c>
      <c r="F12" s="180" t="str">
        <f>IF('Rel.Conjunts-Sistemes'!C12="","",IF(COUNTIF(Sistemes,'Rel.Conjunts-Sistemes'!C12)&gt;0,"OK","Conjunt de dades erroni"))</f>
        <v>OK</v>
      </c>
      <c r="G12" s="180" t="str">
        <f t="shared" si="0"/>
        <v>OK</v>
      </c>
    </row>
    <row r="13" spans="1:21" s="34" customFormat="1" x14ac:dyDescent="0.3">
      <c r="B13" s="178" t="s">
        <v>808</v>
      </c>
      <c r="C13" s="178" t="s">
        <v>457</v>
      </c>
      <c r="D13" s="178" t="s">
        <v>192</v>
      </c>
      <c r="E13" s="180" t="str">
        <f>IF('Rel.Conjunts-Sistemes'!B13="","",IF(COUNTIF(ConjuntsDades,'Rel.Conjunts-Sistemes'!B13)&gt;0,"OK","Conjunt de dades erroni"))</f>
        <v>OK</v>
      </c>
      <c r="F13" s="180" t="str">
        <f>IF('Rel.Conjunts-Sistemes'!C13="","",IF(COUNTIF(Sistemes,'Rel.Conjunts-Sistemes'!C13)&gt;0,"OK","Conjunt de dades erroni"))</f>
        <v>OK</v>
      </c>
      <c r="G13" s="180" t="str">
        <f t="shared" si="0"/>
        <v>OK</v>
      </c>
    </row>
    <row r="14" spans="1:21" s="34" customFormat="1" x14ac:dyDescent="0.3">
      <c r="B14" s="178" t="s">
        <v>809</v>
      </c>
      <c r="C14" s="178" t="s">
        <v>455</v>
      </c>
      <c r="D14" s="178" t="s">
        <v>193</v>
      </c>
      <c r="E14" s="180" t="str">
        <f>IF('Rel.Conjunts-Sistemes'!B14="","",IF(COUNTIF(ConjuntsDades,'Rel.Conjunts-Sistemes'!B14)&gt;0,"OK","Conjunt de dades erroni"))</f>
        <v>OK</v>
      </c>
      <c r="F14" s="180" t="str">
        <f>IF('Rel.Conjunts-Sistemes'!C14="","",IF(COUNTIF(Sistemes,'Rel.Conjunts-Sistemes'!C14)&gt;0,"OK","Conjunt de dades erroni"))</f>
        <v>OK</v>
      </c>
      <c r="G14" s="180" t="str">
        <f t="shared" si="0"/>
        <v>OK</v>
      </c>
    </row>
    <row r="15" spans="1:21" s="34" customFormat="1" x14ac:dyDescent="0.3">
      <c r="B15" s="178" t="s">
        <v>810</v>
      </c>
      <c r="C15" s="178" t="s">
        <v>460</v>
      </c>
      <c r="D15" s="178"/>
      <c r="E15" s="180" t="str">
        <f>IF('Rel.Conjunts-Sistemes'!B15="","",IF(COUNTIF(ConjuntsDades,'Rel.Conjunts-Sistemes'!B15)&gt;0,"OK","Conjunt de dades erroni"))</f>
        <v>OK</v>
      </c>
      <c r="F15" s="180" t="str">
        <f>IF('Rel.Conjunts-Sistemes'!C15="","",IF(COUNTIF(Sistemes,'Rel.Conjunts-Sistemes'!C15)&gt;0,"OK","Conjunt de dades erroni"))</f>
        <v>OK</v>
      </c>
      <c r="G15" s="180" t="str">
        <f t="shared" si="0"/>
        <v>OK</v>
      </c>
    </row>
    <row r="16" spans="1:21" s="34" customFormat="1" x14ac:dyDescent="0.3">
      <c r="B16" s="178" t="s">
        <v>811</v>
      </c>
      <c r="C16" s="178"/>
      <c r="D16" s="178"/>
      <c r="E16" s="180" t="str">
        <f>IF('Rel.Conjunts-Sistemes'!B16="","",IF(COUNTIF(ConjuntsDades,'Rel.Conjunts-Sistemes'!B16)&gt;0,"OK","Conjunt de dades erroni"))</f>
        <v>OK</v>
      </c>
      <c r="F16" s="180" t="str">
        <f>IF('Rel.Conjunts-Sistemes'!C16="","",IF(COUNTIF(Sistemes,'Rel.Conjunts-Sistemes'!C16)&gt;0,"OK","Conjunt de dades erroni"))</f>
        <v/>
      </c>
      <c r="G16" s="180" t="str">
        <f t="shared" si="0"/>
        <v>Error</v>
      </c>
    </row>
    <row r="17" spans="2:7" s="34" customFormat="1" x14ac:dyDescent="0.3">
      <c r="B17" s="178" t="s">
        <v>812</v>
      </c>
      <c r="C17" s="178"/>
      <c r="D17" s="178"/>
      <c r="E17" s="180" t="str">
        <f>IF('Rel.Conjunts-Sistemes'!B17="","",IF(COUNTIF(ConjuntsDades,'Rel.Conjunts-Sistemes'!B17)&gt;0,"OK","Conjunt de dades erroni"))</f>
        <v>OK</v>
      </c>
      <c r="F17" s="180" t="str">
        <f>IF('Rel.Conjunts-Sistemes'!C17="","",IF(COUNTIF(Sistemes,'Rel.Conjunts-Sistemes'!C17)&gt;0,"OK","Conjunt de dades erroni"))</f>
        <v/>
      </c>
      <c r="G17" s="180" t="str">
        <f t="shared" si="0"/>
        <v>Error</v>
      </c>
    </row>
    <row r="18" spans="2:7" s="34" customFormat="1" x14ac:dyDescent="0.3">
      <c r="B18" s="178" t="s">
        <v>568</v>
      </c>
      <c r="C18" s="178"/>
      <c r="D18" s="178"/>
      <c r="E18" s="180" t="str">
        <f>IF('Rel.Conjunts-Sistemes'!B18="","",IF(COUNTIF(ConjuntsDades,'Rel.Conjunts-Sistemes'!B18)&gt;0,"OK","Conjunt de dades erroni"))</f>
        <v>OK</v>
      </c>
      <c r="F18" s="180" t="str">
        <f>IF('Rel.Conjunts-Sistemes'!C18="","",IF(COUNTIF(Sistemes,'Rel.Conjunts-Sistemes'!C18)&gt;0,"OK","Conjunt de dades erroni"))</f>
        <v/>
      </c>
      <c r="G18" s="180" t="str">
        <f t="shared" si="0"/>
        <v>Error</v>
      </c>
    </row>
    <row r="19" spans="2:7" s="34" customFormat="1" x14ac:dyDescent="0.3">
      <c r="B19" s="178" t="s">
        <v>813</v>
      </c>
      <c r="C19" s="178"/>
      <c r="D19" s="178"/>
      <c r="E19" s="180" t="str">
        <f>IF('Rel.Conjunts-Sistemes'!B19="","",IF(COUNTIF(ConjuntsDades,'Rel.Conjunts-Sistemes'!B19)&gt;0,"OK","Conjunt de dades erroni"))</f>
        <v>OK</v>
      </c>
      <c r="F19" s="180" t="str">
        <f>IF('Rel.Conjunts-Sistemes'!C19="","",IF(COUNTIF(Sistemes,'Rel.Conjunts-Sistemes'!C19)&gt;0,"OK","Conjunt de dades erroni"))</f>
        <v/>
      </c>
      <c r="G19" s="180" t="str">
        <f t="shared" si="0"/>
        <v>Error</v>
      </c>
    </row>
    <row r="20" spans="2:7" s="34" customFormat="1" x14ac:dyDescent="0.3">
      <c r="B20" s="178" t="s">
        <v>643</v>
      </c>
      <c r="C20" s="178"/>
      <c r="D20" s="178"/>
      <c r="E20" s="180" t="str">
        <f>IF('Rel.Conjunts-Sistemes'!B20="","",IF(COUNTIF(ConjuntsDades,'Rel.Conjunts-Sistemes'!B20)&gt;0,"OK","Conjunt de dades erroni"))</f>
        <v>OK</v>
      </c>
      <c r="F20" s="180" t="str">
        <f>IF('Rel.Conjunts-Sistemes'!C20="","",IF(COUNTIF(Sistemes,'Rel.Conjunts-Sistemes'!C20)&gt;0,"OK","Conjunt de dades erroni"))</f>
        <v/>
      </c>
      <c r="G20" s="180" t="str">
        <f t="shared" si="0"/>
        <v>Error</v>
      </c>
    </row>
    <row r="21" spans="2:7" s="34" customFormat="1" x14ac:dyDescent="0.3">
      <c r="B21" s="178" t="s">
        <v>814</v>
      </c>
      <c r="C21" s="178"/>
      <c r="D21" s="178"/>
      <c r="E21" s="180" t="str">
        <f>IF('Rel.Conjunts-Sistemes'!B21="","",IF(COUNTIF(ConjuntsDades,'Rel.Conjunts-Sistemes'!B21)&gt;0,"OK","Conjunt de dades erroni"))</f>
        <v>OK</v>
      </c>
      <c r="F21" s="180" t="str">
        <f>IF('Rel.Conjunts-Sistemes'!C21="","",IF(COUNTIF(Sistemes,'Rel.Conjunts-Sistemes'!C21)&gt;0,"OK","Conjunt de dades erroni"))</f>
        <v/>
      </c>
      <c r="G21" s="180" t="str">
        <f t="shared" si="0"/>
        <v>Error</v>
      </c>
    </row>
    <row r="22" spans="2:7" s="34" customFormat="1" x14ac:dyDescent="0.3">
      <c r="B22" s="178" t="s">
        <v>815</v>
      </c>
      <c r="C22" s="178"/>
      <c r="D22" s="178"/>
      <c r="E22" s="180" t="str">
        <f>IF('Rel.Conjunts-Sistemes'!B22="","",IF(COUNTIF(ConjuntsDades,'Rel.Conjunts-Sistemes'!B22)&gt;0,"OK","Conjunt de dades erroni"))</f>
        <v>OK</v>
      </c>
      <c r="F22" s="180" t="str">
        <f>IF('Rel.Conjunts-Sistemes'!C22="","",IF(COUNTIF(Sistemes,'Rel.Conjunts-Sistemes'!C22)&gt;0,"OK","Conjunt de dades erroni"))</f>
        <v/>
      </c>
      <c r="G22" s="180" t="str">
        <f t="shared" si="0"/>
        <v>Error</v>
      </c>
    </row>
    <row r="23" spans="2:7" s="34" customFormat="1" x14ac:dyDescent="0.3">
      <c r="B23" s="178" t="s">
        <v>817</v>
      </c>
      <c r="C23" s="178"/>
      <c r="D23" s="178"/>
      <c r="E23" s="180" t="str">
        <f>IF('Rel.Conjunts-Sistemes'!B23="","",IF(COUNTIF(ConjuntsDades,'Rel.Conjunts-Sistemes'!B23)&gt;0,"OK","Conjunt de dades erroni"))</f>
        <v>OK</v>
      </c>
      <c r="F23" s="180" t="str">
        <f>IF('Rel.Conjunts-Sistemes'!C23="","",IF(COUNTIF(Sistemes,'Rel.Conjunts-Sistemes'!C23)&gt;0,"OK","Conjunt de dades erroni"))</f>
        <v/>
      </c>
      <c r="G23" s="180" t="str">
        <f t="shared" si="0"/>
        <v>Error</v>
      </c>
    </row>
    <row r="24" spans="2:7" s="34" customFormat="1" x14ac:dyDescent="0.3">
      <c r="B24" s="178" t="s">
        <v>819</v>
      </c>
      <c r="C24" s="178"/>
      <c r="D24" s="178"/>
      <c r="E24" s="180" t="str">
        <f>IF('Rel.Conjunts-Sistemes'!B24="","",IF(COUNTIF(ConjuntsDades,'Rel.Conjunts-Sistemes'!B24)&gt;0,"OK","Conjunt de dades erroni"))</f>
        <v>OK</v>
      </c>
      <c r="F24" s="180" t="str">
        <f>IF('Rel.Conjunts-Sistemes'!C24="","",IF(COUNTIF(Sistemes,'Rel.Conjunts-Sistemes'!C24)&gt;0,"OK","Conjunt de dades erroni"))</f>
        <v/>
      </c>
      <c r="G24" s="180" t="str">
        <f t="shared" si="0"/>
        <v>Error</v>
      </c>
    </row>
    <row r="25" spans="2:7" s="34" customFormat="1" x14ac:dyDescent="0.3">
      <c r="B25" s="178" t="s">
        <v>852</v>
      </c>
      <c r="C25" s="178"/>
      <c r="D25" s="178"/>
      <c r="E25" s="180" t="str">
        <f>IF('Rel.Conjunts-Sistemes'!B25="","",IF(COUNTIF(ConjuntsDades,'Rel.Conjunts-Sistemes'!B25)&gt;0,"OK","Conjunt de dades erroni"))</f>
        <v>OK</v>
      </c>
      <c r="F25" s="180" t="str">
        <f>IF('Rel.Conjunts-Sistemes'!C25="","",IF(COUNTIF(Sistemes,'Rel.Conjunts-Sistemes'!C25)&gt;0,"OK","Conjunt de dades erroni"))</f>
        <v/>
      </c>
      <c r="G25" s="180" t="str">
        <f t="shared" si="0"/>
        <v>Error</v>
      </c>
    </row>
    <row r="26" spans="2:7" s="34" customFormat="1" x14ac:dyDescent="0.3">
      <c r="B26" s="178" t="s">
        <v>821</v>
      </c>
      <c r="C26" s="178"/>
      <c r="D26" s="178"/>
      <c r="E26" s="180" t="str">
        <f>IF('Rel.Conjunts-Sistemes'!B26="","",IF(COUNTIF(ConjuntsDades,'Rel.Conjunts-Sistemes'!B26)&gt;0,"OK","Conjunt de dades erroni"))</f>
        <v>OK</v>
      </c>
      <c r="F26" s="180" t="str">
        <f>IF('Rel.Conjunts-Sistemes'!C26="","",IF(COUNTIF(Sistemes,'Rel.Conjunts-Sistemes'!C26)&gt;0,"OK","Conjunt de dades erroni"))</f>
        <v/>
      </c>
      <c r="G26" s="180" t="str">
        <f t="shared" si="0"/>
        <v>Error</v>
      </c>
    </row>
    <row r="27" spans="2:7" s="34" customFormat="1" x14ac:dyDescent="0.3">
      <c r="B27" s="178" t="s">
        <v>823</v>
      </c>
      <c r="C27" s="178"/>
      <c r="D27" s="178"/>
      <c r="E27" s="180" t="str">
        <f>IF('Rel.Conjunts-Sistemes'!B27="","",IF(COUNTIF(ConjuntsDades,'Rel.Conjunts-Sistemes'!B27)&gt;0,"OK","Conjunt de dades erroni"))</f>
        <v>OK</v>
      </c>
      <c r="F27" s="180" t="str">
        <f>IF('Rel.Conjunts-Sistemes'!C27="","",IF(COUNTIF(Sistemes,'Rel.Conjunts-Sistemes'!C27)&gt;0,"OK","Conjunt de dades erroni"))</f>
        <v/>
      </c>
      <c r="G27" s="180" t="str">
        <f t="shared" si="0"/>
        <v>Error</v>
      </c>
    </row>
    <row r="28" spans="2:7" s="34" customFormat="1" x14ac:dyDescent="0.3">
      <c r="B28" s="178" t="s">
        <v>825</v>
      </c>
      <c r="C28" s="178"/>
      <c r="D28" s="178"/>
      <c r="E28" s="180" t="str">
        <f>IF('Rel.Conjunts-Sistemes'!B28="","",IF(COUNTIF(ConjuntsDades,'Rel.Conjunts-Sistemes'!B28)&gt;0,"OK","Conjunt de dades erroni"))</f>
        <v>OK</v>
      </c>
      <c r="F28" s="180" t="str">
        <f>IF('Rel.Conjunts-Sistemes'!C28="","",IF(COUNTIF(Sistemes,'Rel.Conjunts-Sistemes'!C28)&gt;0,"OK","Conjunt de dades erroni"))</f>
        <v/>
      </c>
      <c r="G28" s="180" t="str">
        <f t="shared" si="0"/>
        <v>Error</v>
      </c>
    </row>
    <row r="29" spans="2:7" s="34" customFormat="1" x14ac:dyDescent="0.3">
      <c r="B29" s="178" t="s">
        <v>827</v>
      </c>
      <c r="C29" s="178"/>
      <c r="D29" s="178"/>
      <c r="E29" s="180" t="str">
        <f>IF('Rel.Conjunts-Sistemes'!B29="","",IF(COUNTIF(ConjuntsDades,'Rel.Conjunts-Sistemes'!B29)&gt;0,"OK","Conjunt de dades erroni"))</f>
        <v>OK</v>
      </c>
      <c r="F29" s="180" t="str">
        <f>IF('Rel.Conjunts-Sistemes'!C29="","",IF(COUNTIF(Sistemes,'Rel.Conjunts-Sistemes'!C29)&gt;0,"OK","Conjunt de dades erroni"))</f>
        <v/>
      </c>
      <c r="G29" s="180" t="str">
        <f t="shared" si="0"/>
        <v>Error</v>
      </c>
    </row>
    <row r="30" spans="2:7" s="34" customFormat="1" x14ac:dyDescent="0.3">
      <c r="B30" s="178" t="s">
        <v>828</v>
      </c>
      <c r="C30" s="178"/>
      <c r="D30" s="178"/>
      <c r="E30" s="180" t="str">
        <f>IF('Rel.Conjunts-Sistemes'!B30="","",IF(COUNTIF(ConjuntsDades,'Rel.Conjunts-Sistemes'!B30)&gt;0,"OK","Conjunt de dades erroni"))</f>
        <v>OK</v>
      </c>
      <c r="F30" s="180" t="str">
        <f>IF('Rel.Conjunts-Sistemes'!C30="","",IF(COUNTIF(Sistemes,'Rel.Conjunts-Sistemes'!C30)&gt;0,"OK","Conjunt de dades erroni"))</f>
        <v/>
      </c>
      <c r="G30" s="180" t="str">
        <f t="shared" si="0"/>
        <v>Error</v>
      </c>
    </row>
    <row r="31" spans="2:7" s="34" customFormat="1" x14ac:dyDescent="0.3">
      <c r="B31" s="178" t="s">
        <v>829</v>
      </c>
      <c r="C31" s="178"/>
      <c r="D31" s="178"/>
      <c r="E31" s="180" t="str">
        <f>IF('Rel.Conjunts-Sistemes'!B31="","",IF(COUNTIF(ConjuntsDades,'Rel.Conjunts-Sistemes'!B31)&gt;0,"OK","Conjunt de dades erroni"))</f>
        <v>OK</v>
      </c>
      <c r="F31" s="180" t="str">
        <f>IF('Rel.Conjunts-Sistemes'!C31="","",IF(COUNTIF(Sistemes,'Rel.Conjunts-Sistemes'!C31)&gt;0,"OK","Conjunt de dades erroni"))</f>
        <v/>
      </c>
      <c r="G31" s="180" t="str">
        <f t="shared" si="0"/>
        <v>Error</v>
      </c>
    </row>
    <row r="32" spans="2:7" s="34" customFormat="1" x14ac:dyDescent="0.3">
      <c r="B32" s="178" t="s">
        <v>831</v>
      </c>
      <c r="C32" s="178"/>
      <c r="D32" s="178"/>
      <c r="E32" s="180" t="str">
        <f>IF('Rel.Conjunts-Sistemes'!B32="","",IF(COUNTIF(ConjuntsDades,'Rel.Conjunts-Sistemes'!B32)&gt;0,"OK","Conjunt de dades erroni"))</f>
        <v>OK</v>
      </c>
      <c r="F32" s="180" t="str">
        <f>IF('Rel.Conjunts-Sistemes'!C32="","",IF(COUNTIF(Sistemes,'Rel.Conjunts-Sistemes'!C32)&gt;0,"OK","Conjunt de dades erroni"))</f>
        <v/>
      </c>
      <c r="G32" s="180" t="str">
        <f t="shared" si="0"/>
        <v>Error</v>
      </c>
    </row>
    <row r="33" spans="2:7" s="34" customFormat="1" x14ac:dyDescent="0.3">
      <c r="B33" s="178" t="s">
        <v>832</v>
      </c>
      <c r="C33" s="178"/>
      <c r="D33" s="178"/>
      <c r="E33" s="180" t="str">
        <f>IF('Rel.Conjunts-Sistemes'!B33="","",IF(COUNTIF(ConjuntsDades,'Rel.Conjunts-Sistemes'!B33)&gt;0,"OK","Conjunt de dades erroni"))</f>
        <v>OK</v>
      </c>
      <c r="F33" s="180" t="str">
        <f>IF('Rel.Conjunts-Sistemes'!C33="","",IF(COUNTIF(Sistemes,'Rel.Conjunts-Sistemes'!C33)&gt;0,"OK","Conjunt de dades erroni"))</f>
        <v/>
      </c>
      <c r="G33" s="180" t="str">
        <f t="shared" si="0"/>
        <v>Error</v>
      </c>
    </row>
    <row r="34" spans="2:7" s="34" customFormat="1" x14ac:dyDescent="0.3">
      <c r="B34" s="178" t="s">
        <v>834</v>
      </c>
      <c r="C34" s="178"/>
      <c r="D34" s="178"/>
      <c r="E34" s="180" t="str">
        <f>IF('Rel.Conjunts-Sistemes'!B34="","",IF(COUNTIF(ConjuntsDades,'Rel.Conjunts-Sistemes'!B34)&gt;0,"OK","Conjunt de dades erroni"))</f>
        <v>OK</v>
      </c>
      <c r="F34" s="180" t="str">
        <f>IF('Rel.Conjunts-Sistemes'!C34="","",IF(COUNTIF(Sistemes,'Rel.Conjunts-Sistemes'!C34)&gt;0,"OK","Conjunt de dades erroni"))</f>
        <v/>
      </c>
      <c r="G34" s="180" t="str">
        <f t="shared" si="0"/>
        <v>Error</v>
      </c>
    </row>
    <row r="35" spans="2:7" s="34" customFormat="1" x14ac:dyDescent="0.3">
      <c r="B35" s="178" t="s">
        <v>839</v>
      </c>
      <c r="C35" s="178"/>
      <c r="D35" s="178"/>
      <c r="E35" s="180" t="str">
        <f>IF('Rel.Conjunts-Sistemes'!B35="","",IF(COUNTIF(ConjuntsDades,'Rel.Conjunts-Sistemes'!B35)&gt;0,"OK","Conjunt de dades erroni"))</f>
        <v>OK</v>
      </c>
      <c r="F35" s="180" t="str">
        <f>IF('Rel.Conjunts-Sistemes'!C35="","",IF(COUNTIF(Sistemes,'Rel.Conjunts-Sistemes'!C35)&gt;0,"OK","Conjunt de dades erroni"))</f>
        <v/>
      </c>
      <c r="G35" s="180" t="str">
        <f t="shared" si="0"/>
        <v>Error</v>
      </c>
    </row>
    <row r="36" spans="2:7" s="34" customFormat="1" x14ac:dyDescent="0.3">
      <c r="B36" s="178" t="s">
        <v>840</v>
      </c>
      <c r="C36" s="178"/>
      <c r="D36" s="178"/>
      <c r="E36" s="180" t="str">
        <f>IF('Rel.Conjunts-Sistemes'!B36="","",IF(COUNTIF(ConjuntsDades,'Rel.Conjunts-Sistemes'!B36)&gt;0,"OK","Conjunt de dades erroni"))</f>
        <v>OK</v>
      </c>
      <c r="F36" s="180" t="str">
        <f>IF('Rel.Conjunts-Sistemes'!C36="","",IF(COUNTIF(Sistemes,'Rel.Conjunts-Sistemes'!C36)&gt;0,"OK","Conjunt de dades erroni"))</f>
        <v/>
      </c>
      <c r="G36" s="180" t="str">
        <f t="shared" si="0"/>
        <v>Error</v>
      </c>
    </row>
    <row r="37" spans="2:7" s="34" customFormat="1" x14ac:dyDescent="0.3">
      <c r="B37" s="178" t="s">
        <v>841</v>
      </c>
      <c r="C37" s="178"/>
      <c r="D37" s="178"/>
      <c r="E37" s="180" t="str">
        <f>IF('Rel.Conjunts-Sistemes'!B37="","",IF(COUNTIF(ConjuntsDades,'Rel.Conjunts-Sistemes'!B37)&gt;0,"OK","Conjunt de dades erroni"))</f>
        <v>OK</v>
      </c>
      <c r="F37" s="180" t="str">
        <f>IF('Rel.Conjunts-Sistemes'!C37="","",IF(COUNTIF(Sistemes,'Rel.Conjunts-Sistemes'!C37)&gt;0,"OK","Conjunt de dades erroni"))</f>
        <v/>
      </c>
      <c r="G37" s="180" t="str">
        <f t="shared" si="0"/>
        <v>Error</v>
      </c>
    </row>
    <row r="38" spans="2:7" s="34" customFormat="1" x14ac:dyDescent="0.3">
      <c r="B38" s="178" t="s">
        <v>952</v>
      </c>
      <c r="C38" s="178"/>
      <c r="D38" s="178"/>
      <c r="E38" s="180" t="str">
        <f>IF('Rel.Conjunts-Sistemes'!B38="","",IF(COUNTIF(ConjuntsDades,'Rel.Conjunts-Sistemes'!B38)&gt;0,"OK","Conjunt de dades erroni"))</f>
        <v>OK</v>
      </c>
      <c r="F38" s="180" t="str">
        <f>IF('Rel.Conjunts-Sistemes'!C38="","",IF(COUNTIF(Sistemes,'Rel.Conjunts-Sistemes'!C38)&gt;0,"OK","Conjunt de dades erroni"))</f>
        <v/>
      </c>
      <c r="G38" s="180" t="str">
        <f t="shared" si="0"/>
        <v>Error</v>
      </c>
    </row>
    <row r="39" spans="2:7" s="34" customFormat="1" x14ac:dyDescent="0.3">
      <c r="B39" s="178" t="s">
        <v>659</v>
      </c>
      <c r="C39" s="178"/>
      <c r="D39" s="178"/>
      <c r="E39" s="180" t="str">
        <f>IF('Rel.Conjunts-Sistemes'!B39="","",IF(COUNTIF(ConjuntsDades,'Rel.Conjunts-Sistemes'!B39)&gt;0,"OK","Conjunt de dades erroni"))</f>
        <v>OK</v>
      </c>
      <c r="F39" s="180" t="str">
        <f>IF('Rel.Conjunts-Sistemes'!C39="","",IF(COUNTIF(Sistemes,'Rel.Conjunts-Sistemes'!C39)&gt;0,"OK","Conjunt de dades erroni"))</f>
        <v/>
      </c>
      <c r="G39" s="180" t="str">
        <f t="shared" si="0"/>
        <v>Error</v>
      </c>
    </row>
    <row r="40" spans="2:7" s="34" customFormat="1" x14ac:dyDescent="0.3">
      <c r="B40" s="178" t="s">
        <v>661</v>
      </c>
      <c r="C40" s="178"/>
      <c r="D40" s="178"/>
      <c r="E40" s="180" t="str">
        <f>IF('Rel.Conjunts-Sistemes'!B40="","",IF(COUNTIF(ConjuntsDades,'Rel.Conjunts-Sistemes'!B40)&gt;0,"OK","Conjunt de dades erroni"))</f>
        <v>OK</v>
      </c>
      <c r="F40" s="180" t="str">
        <f>IF('Rel.Conjunts-Sistemes'!C40="","",IF(COUNTIF(Sistemes,'Rel.Conjunts-Sistemes'!C40)&gt;0,"OK","Conjunt de dades erroni"))</f>
        <v/>
      </c>
      <c r="G40" s="180" t="str">
        <f t="shared" si="0"/>
        <v>Error</v>
      </c>
    </row>
    <row r="41" spans="2:7" s="34" customFormat="1" x14ac:dyDescent="0.3">
      <c r="B41" s="178" t="s">
        <v>663</v>
      </c>
      <c r="C41" s="178"/>
      <c r="D41" s="178"/>
      <c r="E41" s="180" t="str">
        <f>IF('Rel.Conjunts-Sistemes'!B41="","",IF(COUNTIF(ConjuntsDades,'Rel.Conjunts-Sistemes'!B41)&gt;0,"OK","Conjunt de dades erroni"))</f>
        <v>OK</v>
      </c>
      <c r="F41" s="180" t="str">
        <f>IF('Rel.Conjunts-Sistemes'!C41="","",IF(COUNTIF(Sistemes,'Rel.Conjunts-Sistemes'!C41)&gt;0,"OK","Conjunt de dades erroni"))</f>
        <v/>
      </c>
      <c r="G41" s="180" t="str">
        <f t="shared" si="0"/>
        <v>Error</v>
      </c>
    </row>
    <row r="42" spans="2:7" s="34" customFormat="1" x14ac:dyDescent="0.3">
      <c r="B42" s="178" t="s">
        <v>665</v>
      </c>
      <c r="C42" s="178"/>
      <c r="D42" s="178"/>
      <c r="E42" s="180" t="str">
        <f>IF('Rel.Conjunts-Sistemes'!B42="","",IF(COUNTIF(ConjuntsDades,'Rel.Conjunts-Sistemes'!B42)&gt;0,"OK","Conjunt de dades erroni"))</f>
        <v>OK</v>
      </c>
      <c r="F42" s="180" t="str">
        <f>IF('Rel.Conjunts-Sistemes'!C42="","",IF(COUNTIF(Sistemes,'Rel.Conjunts-Sistemes'!C42)&gt;0,"OK","Conjunt de dades erroni"))</f>
        <v/>
      </c>
      <c r="G42" s="180" t="str">
        <f t="shared" si="0"/>
        <v>Error</v>
      </c>
    </row>
    <row r="43" spans="2:7" s="34" customFormat="1" x14ac:dyDescent="0.3">
      <c r="B43" s="178" t="s">
        <v>667</v>
      </c>
      <c r="C43" s="178"/>
      <c r="D43" s="178"/>
      <c r="E43" s="180" t="str">
        <f>IF('Rel.Conjunts-Sistemes'!B43="","",IF(COUNTIF(ConjuntsDades,'Rel.Conjunts-Sistemes'!B43)&gt;0,"OK","Conjunt de dades erroni"))</f>
        <v>OK</v>
      </c>
      <c r="F43" s="180" t="str">
        <f>IF('Rel.Conjunts-Sistemes'!C43="","",IF(COUNTIF(Sistemes,'Rel.Conjunts-Sistemes'!C43)&gt;0,"OK","Conjunt de dades erroni"))</f>
        <v/>
      </c>
      <c r="G43" s="180" t="str">
        <f t="shared" si="0"/>
        <v>Error</v>
      </c>
    </row>
    <row r="44" spans="2:7" s="34" customFormat="1" x14ac:dyDescent="0.3">
      <c r="B44" s="178" t="s">
        <v>786</v>
      </c>
      <c r="C44" s="178"/>
      <c r="D44" s="178"/>
      <c r="E44" s="180" t="str">
        <f>IF('Rel.Conjunts-Sistemes'!B44="","",IF(COUNTIF(ConjuntsDades,'Rel.Conjunts-Sistemes'!B44)&gt;0,"OK","Conjunt de dades erroni"))</f>
        <v>OK</v>
      </c>
      <c r="F44" s="180" t="str">
        <f>IF('Rel.Conjunts-Sistemes'!C44="","",IF(COUNTIF(Sistemes,'Rel.Conjunts-Sistemes'!C44)&gt;0,"OK","Conjunt de dades erroni"))</f>
        <v/>
      </c>
      <c r="G44" s="180" t="str">
        <f t="shared" si="0"/>
        <v>Error</v>
      </c>
    </row>
    <row r="45" spans="2:7" s="34" customFormat="1" x14ac:dyDescent="0.3">
      <c r="B45" s="178" t="s">
        <v>670</v>
      </c>
      <c r="C45" s="178"/>
      <c r="D45" s="178"/>
      <c r="E45" s="180" t="str">
        <f>IF('Rel.Conjunts-Sistemes'!B45="","",IF(COUNTIF(ConjuntsDades,'Rel.Conjunts-Sistemes'!B45)&gt;0,"OK","Conjunt de dades erroni"))</f>
        <v>OK</v>
      </c>
      <c r="F45" s="180" t="str">
        <f>IF('Rel.Conjunts-Sistemes'!C45="","",IF(COUNTIF(Sistemes,'Rel.Conjunts-Sistemes'!C45)&gt;0,"OK","Conjunt de dades erroni"))</f>
        <v/>
      </c>
      <c r="G45" s="180" t="str">
        <f t="shared" si="0"/>
        <v>Error</v>
      </c>
    </row>
    <row r="46" spans="2:7" s="34" customFormat="1" x14ac:dyDescent="0.3">
      <c r="B46" s="178" t="s">
        <v>672</v>
      </c>
      <c r="C46" s="178"/>
      <c r="D46" s="178"/>
      <c r="E46" s="180" t="str">
        <f>IF('Rel.Conjunts-Sistemes'!B46="","",IF(COUNTIF(ConjuntsDades,'Rel.Conjunts-Sistemes'!B46)&gt;0,"OK","Conjunt de dades erroni"))</f>
        <v>OK</v>
      </c>
      <c r="F46" s="180" t="str">
        <f>IF('Rel.Conjunts-Sistemes'!C46="","",IF(COUNTIF(Sistemes,'Rel.Conjunts-Sistemes'!C46)&gt;0,"OK","Conjunt de dades erroni"))</f>
        <v/>
      </c>
      <c r="G46" s="180" t="str">
        <f t="shared" si="0"/>
        <v>Error</v>
      </c>
    </row>
    <row r="47" spans="2:7" s="34" customFormat="1" x14ac:dyDescent="0.3">
      <c r="B47" s="178" t="s">
        <v>674</v>
      </c>
      <c r="C47" s="178"/>
      <c r="D47" s="178"/>
      <c r="E47" s="180" t="str">
        <f>IF('Rel.Conjunts-Sistemes'!B47="","",IF(COUNTIF(ConjuntsDades,'Rel.Conjunts-Sistemes'!B47)&gt;0,"OK","Conjunt de dades erroni"))</f>
        <v>OK</v>
      </c>
      <c r="F47" s="180" t="str">
        <f>IF('Rel.Conjunts-Sistemes'!C47="","",IF(COUNTIF(Sistemes,'Rel.Conjunts-Sistemes'!C47)&gt;0,"OK","Conjunt de dades erroni"))</f>
        <v/>
      </c>
      <c r="G47" s="180" t="str">
        <f t="shared" si="0"/>
        <v>Error</v>
      </c>
    </row>
    <row r="48" spans="2:7" s="34" customFormat="1" x14ac:dyDescent="0.3">
      <c r="B48" s="178" t="s">
        <v>878</v>
      </c>
      <c r="C48" s="178"/>
      <c r="D48" s="178"/>
      <c r="E48" s="180" t="str">
        <f>IF('Rel.Conjunts-Sistemes'!B48="","",IF(COUNTIF(ConjuntsDades,'Rel.Conjunts-Sistemes'!B48)&gt;0,"OK","Conjunt de dades erroni"))</f>
        <v>OK</v>
      </c>
      <c r="F48" s="180" t="str">
        <f>IF('Rel.Conjunts-Sistemes'!C48="","",IF(COUNTIF(Sistemes,'Rel.Conjunts-Sistemes'!C48)&gt;0,"OK","Conjunt de dades erroni"))</f>
        <v/>
      </c>
      <c r="G48" s="180" t="str">
        <f t="shared" si="0"/>
        <v>Error</v>
      </c>
    </row>
    <row r="49" spans="2:7" s="34" customFormat="1" x14ac:dyDescent="0.3">
      <c r="B49" s="178" t="s">
        <v>677</v>
      </c>
      <c r="C49" s="178"/>
      <c r="D49" s="178"/>
      <c r="E49" s="180" t="str">
        <f>IF('Rel.Conjunts-Sistemes'!B49="","",IF(COUNTIF(ConjuntsDades,'Rel.Conjunts-Sistemes'!B49)&gt;0,"OK","Conjunt de dades erroni"))</f>
        <v>OK</v>
      </c>
      <c r="F49" s="180" t="str">
        <f>IF('Rel.Conjunts-Sistemes'!C49="","",IF(COUNTIF(Sistemes,'Rel.Conjunts-Sistemes'!C49)&gt;0,"OK","Conjunt de dades erroni"))</f>
        <v/>
      </c>
      <c r="G49" s="180" t="str">
        <f t="shared" si="0"/>
        <v>Error</v>
      </c>
    </row>
    <row r="50" spans="2:7" s="34" customFormat="1" x14ac:dyDescent="0.3">
      <c r="B50" s="178" t="s">
        <v>678</v>
      </c>
      <c r="C50" s="178"/>
      <c r="D50" s="178"/>
      <c r="E50" s="180" t="str">
        <f>IF('Rel.Conjunts-Sistemes'!B50="","",IF(COUNTIF(ConjuntsDades,'Rel.Conjunts-Sistemes'!B50)&gt;0,"OK","Conjunt de dades erroni"))</f>
        <v>OK</v>
      </c>
      <c r="F50" s="180" t="str">
        <f>IF('Rel.Conjunts-Sistemes'!C50="","",IF(COUNTIF(Sistemes,'Rel.Conjunts-Sistemes'!C50)&gt;0,"OK","Conjunt de dades erroni"))</f>
        <v/>
      </c>
      <c r="G50" s="180" t="str">
        <f t="shared" si="0"/>
        <v>Error</v>
      </c>
    </row>
    <row r="51" spans="2:7" s="34" customFormat="1" x14ac:dyDescent="0.3">
      <c r="B51" s="178" t="s">
        <v>680</v>
      </c>
      <c r="C51" s="178"/>
      <c r="D51" s="178"/>
      <c r="E51" s="180" t="str">
        <f>IF('Rel.Conjunts-Sistemes'!B51="","",IF(COUNTIF(ConjuntsDades,'Rel.Conjunts-Sistemes'!B51)&gt;0,"OK","Conjunt de dades erroni"))</f>
        <v>OK</v>
      </c>
      <c r="F51" s="180" t="str">
        <f>IF('Rel.Conjunts-Sistemes'!C51="","",IF(COUNTIF(Sistemes,'Rel.Conjunts-Sistemes'!C51)&gt;0,"OK","Conjunt de dades erroni"))</f>
        <v/>
      </c>
      <c r="G51" s="180" t="str">
        <f t="shared" si="0"/>
        <v>Error</v>
      </c>
    </row>
    <row r="52" spans="2:7" s="34" customFormat="1" x14ac:dyDescent="0.3">
      <c r="B52" s="178" t="s">
        <v>642</v>
      </c>
      <c r="C52" s="178"/>
      <c r="D52" s="178"/>
      <c r="E52" s="180" t="str">
        <f>IF('Rel.Conjunts-Sistemes'!B52="","",IF(COUNTIF(ConjuntsDades,'Rel.Conjunts-Sistemes'!B52)&gt;0,"OK","Conjunt de dades erroni"))</f>
        <v>OK</v>
      </c>
      <c r="F52" s="180" t="str">
        <f>IF('Rel.Conjunts-Sistemes'!C52="","",IF(COUNTIF(Sistemes,'Rel.Conjunts-Sistemes'!C52)&gt;0,"OK","Conjunt de dades erroni"))</f>
        <v/>
      </c>
      <c r="G52" s="180" t="str">
        <f t="shared" si="0"/>
        <v>Error</v>
      </c>
    </row>
    <row r="53" spans="2:7" s="34" customFormat="1" x14ac:dyDescent="0.3">
      <c r="B53" s="178" t="s">
        <v>737</v>
      </c>
      <c r="C53" s="178"/>
      <c r="D53" s="178"/>
      <c r="E53" s="180" t="str">
        <f>IF('Rel.Conjunts-Sistemes'!B53="","",IF(COUNTIF(ConjuntsDades,'Rel.Conjunts-Sistemes'!B53)&gt;0,"OK","Conjunt de dades erroni"))</f>
        <v>OK</v>
      </c>
      <c r="F53" s="180" t="str">
        <f>IF('Rel.Conjunts-Sistemes'!C53="","",IF(COUNTIF(Sistemes,'Rel.Conjunts-Sistemes'!C53)&gt;0,"OK","Conjunt de dades erroni"))</f>
        <v/>
      </c>
      <c r="G53" s="180" t="str">
        <f t="shared" si="0"/>
        <v>Error</v>
      </c>
    </row>
    <row r="54" spans="2:7" s="34" customFormat="1" x14ac:dyDescent="0.3">
      <c r="B54" s="178" t="s">
        <v>740</v>
      </c>
      <c r="C54" s="178"/>
      <c r="D54" s="178"/>
      <c r="E54" s="180" t="str">
        <f>IF('Rel.Conjunts-Sistemes'!B54="","",IF(COUNTIF(ConjuntsDades,'Rel.Conjunts-Sistemes'!B54)&gt;0,"OK","Conjunt de dades erroni"))</f>
        <v>OK</v>
      </c>
      <c r="F54" s="180" t="str">
        <f>IF('Rel.Conjunts-Sistemes'!C54="","",IF(COUNTIF(Sistemes,'Rel.Conjunts-Sistemes'!C54)&gt;0,"OK","Conjunt de dades erroni"))</f>
        <v/>
      </c>
      <c r="G54" s="180" t="str">
        <f t="shared" si="0"/>
        <v>Error</v>
      </c>
    </row>
    <row r="55" spans="2:7" s="34" customFormat="1" x14ac:dyDescent="0.3">
      <c r="B55" s="178" t="s">
        <v>838</v>
      </c>
      <c r="C55" s="178"/>
      <c r="D55" s="178"/>
      <c r="E55" s="180" t="str">
        <f>IF('Rel.Conjunts-Sistemes'!B55="","",IF(COUNTIF(ConjuntsDades,'Rel.Conjunts-Sistemes'!B55)&gt;0,"OK","Conjunt de dades erroni"))</f>
        <v>OK</v>
      </c>
      <c r="F55" s="180" t="str">
        <f>IF('Rel.Conjunts-Sistemes'!C55="","",IF(COUNTIF(Sistemes,'Rel.Conjunts-Sistemes'!C55)&gt;0,"OK","Conjunt de dades erroni"))</f>
        <v/>
      </c>
      <c r="G55" s="180" t="str">
        <f t="shared" si="0"/>
        <v>Error</v>
      </c>
    </row>
    <row r="56" spans="2:7" s="34" customFormat="1" x14ac:dyDescent="0.3">
      <c r="B56" s="178" t="s">
        <v>775</v>
      </c>
      <c r="C56" s="178"/>
      <c r="D56" s="178"/>
      <c r="E56" s="180" t="str">
        <f>IF('Rel.Conjunts-Sistemes'!B56="","",IF(COUNTIF(ConjuntsDades,'Rel.Conjunts-Sistemes'!B56)&gt;0,"OK","Conjunt de dades erroni"))</f>
        <v>OK</v>
      </c>
      <c r="F56" s="180" t="str">
        <f>IF('Rel.Conjunts-Sistemes'!C56="","",IF(COUNTIF(Sistemes,'Rel.Conjunts-Sistemes'!C56)&gt;0,"OK","Conjunt de dades erroni"))</f>
        <v/>
      </c>
      <c r="G56" s="180" t="str">
        <f t="shared" si="0"/>
        <v>Error</v>
      </c>
    </row>
    <row r="57" spans="2:7" s="34" customFormat="1" x14ac:dyDescent="0.3">
      <c r="B57" s="178" t="s">
        <v>885</v>
      </c>
      <c r="C57" s="178"/>
      <c r="D57" s="178"/>
      <c r="E57" s="180" t="str">
        <f>IF('Rel.Conjunts-Sistemes'!B57="","",IF(COUNTIF(ConjuntsDades,'Rel.Conjunts-Sistemes'!B57)&gt;0,"OK","Conjunt de dades erroni"))</f>
        <v>OK</v>
      </c>
      <c r="F57" s="180" t="str">
        <f>IF('Rel.Conjunts-Sistemes'!C57="","",IF(COUNTIF(Sistemes,'Rel.Conjunts-Sistemes'!C57)&gt;0,"OK","Conjunt de dades erroni"))</f>
        <v/>
      </c>
      <c r="G57" s="180" t="str">
        <f t="shared" si="0"/>
        <v>Error</v>
      </c>
    </row>
    <row r="58" spans="2:7" s="34" customFormat="1" x14ac:dyDescent="0.3">
      <c r="B58" s="178" t="s">
        <v>683</v>
      </c>
      <c r="C58" s="178"/>
      <c r="D58" s="178"/>
      <c r="E58" s="180" t="str">
        <f>IF('Rel.Conjunts-Sistemes'!B58="","",IF(COUNTIF(ConjuntsDades,'Rel.Conjunts-Sistemes'!B58)&gt;0,"OK","Conjunt de dades erroni"))</f>
        <v>OK</v>
      </c>
      <c r="F58" s="180" t="str">
        <f>IF('Rel.Conjunts-Sistemes'!C58="","",IF(COUNTIF(Sistemes,'Rel.Conjunts-Sistemes'!C58)&gt;0,"OK","Conjunt de dades erroni"))</f>
        <v/>
      </c>
      <c r="G58" s="180" t="str">
        <f t="shared" si="0"/>
        <v>Error</v>
      </c>
    </row>
    <row r="59" spans="2:7" s="34" customFormat="1" x14ac:dyDescent="0.3">
      <c r="B59" s="178" t="s">
        <v>685</v>
      </c>
      <c r="C59" s="178"/>
      <c r="D59" s="178"/>
      <c r="E59" s="180" t="str">
        <f>IF('Rel.Conjunts-Sistemes'!B59="","",IF(COUNTIF(ConjuntsDades,'Rel.Conjunts-Sistemes'!B59)&gt;0,"OK","Conjunt de dades erroni"))</f>
        <v>OK</v>
      </c>
      <c r="F59" s="180" t="str">
        <f>IF('Rel.Conjunts-Sistemes'!C59="","",IF(COUNTIF(Sistemes,'Rel.Conjunts-Sistemes'!C59)&gt;0,"OK","Conjunt de dades erroni"))</f>
        <v/>
      </c>
      <c r="G59" s="180" t="str">
        <f t="shared" si="0"/>
        <v>Error</v>
      </c>
    </row>
    <row r="60" spans="2:7" s="34" customFormat="1" x14ac:dyDescent="0.3">
      <c r="B60" s="178" t="s">
        <v>687</v>
      </c>
      <c r="C60" s="178"/>
      <c r="D60" s="178"/>
      <c r="E60" s="180" t="str">
        <f>IF('Rel.Conjunts-Sistemes'!B60="","",IF(COUNTIF(ConjuntsDades,'Rel.Conjunts-Sistemes'!B60)&gt;0,"OK","Conjunt de dades erroni"))</f>
        <v>OK</v>
      </c>
      <c r="F60" s="180" t="str">
        <f>IF('Rel.Conjunts-Sistemes'!C60="","",IF(COUNTIF(Sistemes,'Rel.Conjunts-Sistemes'!C60)&gt;0,"OK","Conjunt de dades erroni"))</f>
        <v/>
      </c>
      <c r="G60" s="180" t="str">
        <f t="shared" si="0"/>
        <v>Error</v>
      </c>
    </row>
    <row r="61" spans="2:7" s="34" customFormat="1" x14ac:dyDescent="0.3">
      <c r="B61" s="178" t="s">
        <v>689</v>
      </c>
      <c r="C61" s="178"/>
      <c r="D61" s="178"/>
      <c r="E61" s="180" t="str">
        <f>IF('Rel.Conjunts-Sistemes'!B61="","",IF(COUNTIF(ConjuntsDades,'Rel.Conjunts-Sistemes'!B61)&gt;0,"OK","Conjunt de dades erroni"))</f>
        <v>OK</v>
      </c>
      <c r="F61" s="180" t="str">
        <f>IF('Rel.Conjunts-Sistemes'!C61="","",IF(COUNTIF(Sistemes,'Rel.Conjunts-Sistemes'!C61)&gt;0,"OK","Conjunt de dades erroni"))</f>
        <v/>
      </c>
      <c r="G61" s="180" t="str">
        <f t="shared" si="0"/>
        <v>Error</v>
      </c>
    </row>
    <row r="62" spans="2:7" s="34" customFormat="1" ht="27.6" x14ac:dyDescent="0.3">
      <c r="B62" s="178" t="s">
        <v>691</v>
      </c>
      <c r="C62" s="178"/>
      <c r="D62" s="178"/>
      <c r="E62" s="180" t="str">
        <f>IF('Rel.Conjunts-Sistemes'!B62="","",IF(COUNTIF(ConjuntsDades,'Rel.Conjunts-Sistemes'!B62)&gt;0,"OK","Conjunt de dades erroni"))</f>
        <v>Conjunt de dades erroni</v>
      </c>
      <c r="F62" s="180" t="str">
        <f>IF('Rel.Conjunts-Sistemes'!C62="","",IF(COUNTIF(Sistemes,'Rel.Conjunts-Sistemes'!C62)&gt;0,"OK","Conjunt de dades erroni"))</f>
        <v/>
      </c>
      <c r="G62" s="180" t="str">
        <f t="shared" si="0"/>
        <v>Error</v>
      </c>
    </row>
    <row r="63" spans="2:7" s="34" customFormat="1" x14ac:dyDescent="0.3">
      <c r="B63" s="178" t="s">
        <v>693</v>
      </c>
      <c r="C63" s="178"/>
      <c r="D63" s="178"/>
      <c r="E63" s="180" t="str">
        <f>IF('Rel.Conjunts-Sistemes'!B63="","",IF(COUNTIF(ConjuntsDades,'Rel.Conjunts-Sistemes'!B63)&gt;0,"OK","Conjunt de dades erroni"))</f>
        <v>OK</v>
      </c>
      <c r="F63" s="180" t="str">
        <f>IF('Rel.Conjunts-Sistemes'!C63="","",IF(COUNTIF(Sistemes,'Rel.Conjunts-Sistemes'!C63)&gt;0,"OK","Conjunt de dades erroni"))</f>
        <v/>
      </c>
      <c r="G63" s="180" t="str">
        <f t="shared" si="0"/>
        <v>Error</v>
      </c>
    </row>
    <row r="64" spans="2:7" s="34" customFormat="1" x14ac:dyDescent="0.3">
      <c r="B64" s="178" t="s">
        <v>695</v>
      </c>
      <c r="C64" s="178"/>
      <c r="D64" s="178"/>
      <c r="E64" s="180" t="str">
        <f>IF('Rel.Conjunts-Sistemes'!B64="","",IF(COUNTIF(ConjuntsDades,'Rel.Conjunts-Sistemes'!B64)&gt;0,"OK","Conjunt de dades erroni"))</f>
        <v>OK</v>
      </c>
      <c r="F64" s="180" t="str">
        <f>IF('Rel.Conjunts-Sistemes'!C64="","",IF(COUNTIF(Sistemes,'Rel.Conjunts-Sistemes'!C64)&gt;0,"OK","Conjunt de dades erroni"))</f>
        <v/>
      </c>
      <c r="G64" s="180" t="str">
        <f t="shared" si="0"/>
        <v>Error</v>
      </c>
    </row>
    <row r="65" spans="2:7" s="34" customFormat="1" x14ac:dyDescent="0.3">
      <c r="B65" s="178" t="s">
        <v>697</v>
      </c>
      <c r="C65" s="178"/>
      <c r="D65" s="178"/>
      <c r="E65" s="180" t="str">
        <f>IF('Rel.Conjunts-Sistemes'!B65="","",IF(COUNTIF(ConjuntsDades,'Rel.Conjunts-Sistemes'!B65)&gt;0,"OK","Conjunt de dades erroni"))</f>
        <v>OK</v>
      </c>
      <c r="F65" s="180" t="str">
        <f>IF('Rel.Conjunts-Sistemes'!C65="","",IF(COUNTIF(Sistemes,'Rel.Conjunts-Sistemes'!C65)&gt;0,"OK","Conjunt de dades erroni"))</f>
        <v/>
      </c>
      <c r="G65" s="180" t="str">
        <f t="shared" si="0"/>
        <v>Error</v>
      </c>
    </row>
    <row r="66" spans="2:7" s="55" customFormat="1" x14ac:dyDescent="0.3">
      <c r="B66" s="178" t="s">
        <v>788</v>
      </c>
      <c r="C66" s="178"/>
      <c r="D66" s="178"/>
      <c r="E66" s="180" t="str">
        <f>IF('Rel.Conjunts-Sistemes'!B66="","",IF(COUNTIF(ConjuntsDades,'Rel.Conjunts-Sistemes'!B66)&gt;0,"OK","Conjunt de dades erroni"))</f>
        <v>OK</v>
      </c>
      <c r="F66" s="180" t="str">
        <f>IF('Rel.Conjunts-Sistemes'!C66="","",IF(COUNTIF(Sistemes,'Rel.Conjunts-Sistemes'!C66)&gt;0,"OK","Conjunt de dades erroni"))</f>
        <v/>
      </c>
      <c r="G66" s="180" t="str">
        <f t="shared" si="0"/>
        <v>Error</v>
      </c>
    </row>
    <row r="67" spans="2:7" x14ac:dyDescent="0.3">
      <c r="B67" s="181" t="s">
        <v>700</v>
      </c>
      <c r="C67" s="181"/>
      <c r="D67" s="181"/>
      <c r="E67" s="180" t="str">
        <f>IF('Rel.Conjunts-Sistemes'!B67="","",IF(COUNTIF(ConjuntsDades,'Rel.Conjunts-Sistemes'!B67)&gt;0,"OK","Conjunt de dades erroni"))</f>
        <v>OK</v>
      </c>
      <c r="F67" s="180" t="str">
        <f>IF('Rel.Conjunts-Sistemes'!C67="","",IF(COUNTIF(Sistemes,'Rel.Conjunts-Sistemes'!C67)&gt;0,"OK","Conjunt de dades erroni"))</f>
        <v/>
      </c>
      <c r="G67" s="180" t="str">
        <f t="shared" si="0"/>
        <v>Error</v>
      </c>
    </row>
    <row r="68" spans="2:7" x14ac:dyDescent="0.3">
      <c r="B68" s="181" t="s">
        <v>702</v>
      </c>
      <c r="C68" s="181"/>
      <c r="D68" s="181"/>
      <c r="E68" s="180" t="str">
        <f>IF('Rel.Conjunts-Sistemes'!B68="","",IF(COUNTIF(ConjuntsDades,'Rel.Conjunts-Sistemes'!B68)&gt;0,"OK","Conjunt de dades erroni"))</f>
        <v>OK</v>
      </c>
      <c r="F68" s="180" t="str">
        <f>IF('Rel.Conjunts-Sistemes'!C68="","",IF(COUNTIF(Sistemes,'Rel.Conjunts-Sistemes'!C68)&gt;0,"OK","Conjunt de dades erroni"))</f>
        <v/>
      </c>
      <c r="G68" s="180" t="str">
        <f t="shared" si="0"/>
        <v>Error</v>
      </c>
    </row>
    <row r="69" spans="2:7" x14ac:dyDescent="0.3">
      <c r="B69" s="181" t="s">
        <v>704</v>
      </c>
      <c r="C69" s="181"/>
      <c r="D69" s="181"/>
      <c r="E69" s="180" t="str">
        <f>IF('Rel.Conjunts-Sistemes'!B69="","",IF(COUNTIF(ConjuntsDades,'Rel.Conjunts-Sistemes'!B69)&gt;0,"OK","Conjunt de dades erroni"))</f>
        <v>OK</v>
      </c>
      <c r="F69" s="180" t="str">
        <f>IF('Rel.Conjunts-Sistemes'!C69="","",IF(COUNTIF(Sistemes,'Rel.Conjunts-Sistemes'!C69)&gt;0,"OK","Conjunt de dades erroni"))</f>
        <v/>
      </c>
      <c r="G69" s="180" t="str">
        <f t="shared" si="0"/>
        <v>Error</v>
      </c>
    </row>
    <row r="70" spans="2:7" x14ac:dyDescent="0.3">
      <c r="B70" s="181" t="s">
        <v>706</v>
      </c>
      <c r="C70" s="181"/>
      <c r="D70" s="181"/>
      <c r="E70" s="180" t="str">
        <f>IF('Rel.Conjunts-Sistemes'!B70="","",IF(COUNTIF(ConjuntsDades,'Rel.Conjunts-Sistemes'!B70)&gt;0,"OK","Conjunt de dades erroni"))</f>
        <v>OK</v>
      </c>
      <c r="F70" s="180" t="str">
        <f>IF('Rel.Conjunts-Sistemes'!C70="","",IF(COUNTIF(Sistemes,'Rel.Conjunts-Sistemes'!C70)&gt;0,"OK","Conjunt de dades erroni"))</f>
        <v/>
      </c>
      <c r="G70" s="180" t="str">
        <f t="shared" si="0"/>
        <v>Error</v>
      </c>
    </row>
    <row r="71" spans="2:7" x14ac:dyDescent="0.3">
      <c r="B71" s="181" t="s">
        <v>708</v>
      </c>
      <c r="C71" s="181"/>
      <c r="D71" s="181"/>
      <c r="E71" s="180" t="str">
        <f>IF('Rel.Conjunts-Sistemes'!B71="","",IF(COUNTIF(ConjuntsDades,'Rel.Conjunts-Sistemes'!B71)&gt;0,"OK","Conjunt de dades erroni"))</f>
        <v>OK</v>
      </c>
      <c r="F71" s="180" t="str">
        <f>IF('Rel.Conjunts-Sistemes'!C71="","",IF(COUNTIF(Sistemes,'Rel.Conjunts-Sistemes'!C71)&gt;0,"OK","Conjunt de dades erroni"))</f>
        <v/>
      </c>
      <c r="G71" s="180" t="str">
        <f t="shared" si="0"/>
        <v>Error</v>
      </c>
    </row>
    <row r="72" spans="2:7" x14ac:dyDescent="0.3">
      <c r="B72" s="181" t="s">
        <v>710</v>
      </c>
      <c r="C72" s="181"/>
      <c r="D72" s="181"/>
      <c r="E72" s="180" t="str">
        <f>IF('Rel.Conjunts-Sistemes'!B72="","",IF(COUNTIF(ConjuntsDades,'Rel.Conjunts-Sistemes'!B72)&gt;0,"OK","Conjunt de dades erroni"))</f>
        <v>OK</v>
      </c>
      <c r="F72" s="180" t="str">
        <f>IF('Rel.Conjunts-Sistemes'!C72="","",IF(COUNTIF(Sistemes,'Rel.Conjunts-Sistemes'!C72)&gt;0,"OK","Conjunt de dades erroni"))</f>
        <v/>
      </c>
      <c r="G72" s="180" t="str">
        <f t="shared" si="0"/>
        <v>Error</v>
      </c>
    </row>
    <row r="73" spans="2:7" ht="27.6" x14ac:dyDescent="0.3">
      <c r="B73" s="181" t="s">
        <v>712</v>
      </c>
      <c r="C73" s="181"/>
      <c r="D73" s="181"/>
      <c r="E73" s="180" t="str">
        <f>IF('Rel.Conjunts-Sistemes'!B73="","",IF(COUNTIF(ConjuntsDades,'Rel.Conjunts-Sistemes'!B73)&gt;0,"OK","Conjunt de dades erroni"))</f>
        <v>Conjunt de dades erroni</v>
      </c>
      <c r="F73" s="180" t="str">
        <f>IF('Rel.Conjunts-Sistemes'!C73="","",IF(COUNTIF(Sistemes,'Rel.Conjunts-Sistemes'!C73)&gt;0,"OK","Conjunt de dades erroni"))</f>
        <v/>
      </c>
      <c r="G73" s="180" t="str">
        <f t="shared" ref="G73:G127" si="1">IF(AND(E73="",F73=""),"",IF(AND(E73="OK",F73="OK"),"OK","Error"))</f>
        <v>Error</v>
      </c>
    </row>
    <row r="74" spans="2:7" x14ac:dyDescent="0.3">
      <c r="B74" s="181" t="s">
        <v>742</v>
      </c>
      <c r="C74" s="181"/>
      <c r="D74" s="181"/>
      <c r="E74" s="180" t="str">
        <f>IF('Rel.Conjunts-Sistemes'!B74="","",IF(COUNTIF(ConjuntsDades,'Rel.Conjunts-Sistemes'!B74)&gt;0,"OK","Conjunt de dades erroni"))</f>
        <v>OK</v>
      </c>
      <c r="F74" s="180" t="str">
        <f>IF('Rel.Conjunts-Sistemes'!C74="","",IF(COUNTIF(Sistemes,'Rel.Conjunts-Sistemes'!C74)&gt;0,"OK","Conjunt de dades erroni"))</f>
        <v/>
      </c>
      <c r="G74" s="180" t="str">
        <f t="shared" si="1"/>
        <v>Error</v>
      </c>
    </row>
    <row r="75" spans="2:7" x14ac:dyDescent="0.3">
      <c r="B75" s="181" t="s">
        <v>714</v>
      </c>
      <c r="C75" s="181"/>
      <c r="D75" s="181"/>
      <c r="E75" s="180" t="str">
        <f>IF('Rel.Conjunts-Sistemes'!B75="","",IF(COUNTIF(ConjuntsDades,'Rel.Conjunts-Sistemes'!B75)&gt;0,"OK","Conjunt de dades erroni"))</f>
        <v>OK</v>
      </c>
      <c r="F75" s="180" t="str">
        <f>IF('Rel.Conjunts-Sistemes'!C75="","",IF(COUNTIF(Sistemes,'Rel.Conjunts-Sistemes'!C75)&gt;0,"OK","Conjunt de dades erroni"))</f>
        <v/>
      </c>
      <c r="G75" s="180" t="str">
        <f t="shared" si="1"/>
        <v>Error</v>
      </c>
    </row>
    <row r="76" spans="2:7" x14ac:dyDescent="0.3">
      <c r="B76" s="181" t="s">
        <v>716</v>
      </c>
      <c r="C76" s="181"/>
      <c r="D76" s="181"/>
      <c r="E76" s="180" t="str">
        <f>IF('Rel.Conjunts-Sistemes'!B76="","",IF(COUNTIF(ConjuntsDades,'Rel.Conjunts-Sistemes'!B76)&gt;0,"OK","Conjunt de dades erroni"))</f>
        <v>OK</v>
      </c>
      <c r="F76" s="180" t="str">
        <f>IF('Rel.Conjunts-Sistemes'!C76="","",IF(COUNTIF(Sistemes,'Rel.Conjunts-Sistemes'!C76)&gt;0,"OK","Conjunt de dades erroni"))</f>
        <v/>
      </c>
      <c r="G76" s="180" t="str">
        <f t="shared" si="1"/>
        <v>Error</v>
      </c>
    </row>
    <row r="77" spans="2:7" ht="27.6" x14ac:dyDescent="0.3">
      <c r="B77" s="181" t="s">
        <v>718</v>
      </c>
      <c r="C77" s="181"/>
      <c r="D77" s="181"/>
      <c r="E77" s="180" t="str">
        <f>IF('Rel.Conjunts-Sistemes'!B77="","",IF(COUNTIF(ConjuntsDades,'Rel.Conjunts-Sistemes'!B77)&gt;0,"OK","Conjunt de dades erroni"))</f>
        <v>Conjunt de dades erroni</v>
      </c>
      <c r="F77" s="180" t="str">
        <f>IF('Rel.Conjunts-Sistemes'!C77="","",IF(COUNTIF(Sistemes,'Rel.Conjunts-Sistemes'!C77)&gt;0,"OK","Conjunt de dades erroni"))</f>
        <v/>
      </c>
      <c r="G77" s="180" t="str">
        <f t="shared" si="1"/>
        <v>Error</v>
      </c>
    </row>
    <row r="78" spans="2:7" x14ac:dyDescent="0.3">
      <c r="B78" s="181" t="s">
        <v>720</v>
      </c>
      <c r="C78" s="181"/>
      <c r="D78" s="181"/>
      <c r="E78" s="180" t="str">
        <f>IF('Rel.Conjunts-Sistemes'!B78="","",IF(COUNTIF(ConjuntsDades,'Rel.Conjunts-Sistemes'!B78)&gt;0,"OK","Conjunt de dades erroni"))</f>
        <v>OK</v>
      </c>
      <c r="F78" s="180" t="str">
        <f>IF('Rel.Conjunts-Sistemes'!C78="","",IF(COUNTIF(Sistemes,'Rel.Conjunts-Sistemes'!C78)&gt;0,"OK","Conjunt de dades erroni"))</f>
        <v/>
      </c>
      <c r="G78" s="180" t="str">
        <f t="shared" si="1"/>
        <v>Error</v>
      </c>
    </row>
    <row r="79" spans="2:7" x14ac:dyDescent="0.3">
      <c r="B79" s="182" t="s">
        <v>721</v>
      </c>
      <c r="C79" s="181"/>
      <c r="D79" s="181"/>
      <c r="E79" s="180" t="str">
        <f>IF('Rel.Conjunts-Sistemes'!B79="","",IF(COUNTIF(ConjuntsDades,'Rel.Conjunts-Sistemes'!B79)&gt;0,"OK","Conjunt de dades erroni"))</f>
        <v>OK</v>
      </c>
      <c r="F79" s="180" t="str">
        <f>IF('Rel.Conjunts-Sistemes'!C79="","",IF(COUNTIF(Sistemes,'Rel.Conjunts-Sistemes'!C79)&gt;0,"OK","Conjunt de dades erroni"))</f>
        <v/>
      </c>
      <c r="G79" s="180" t="str">
        <f t="shared" si="1"/>
        <v>Error</v>
      </c>
    </row>
    <row r="80" spans="2:7" ht="27.6" x14ac:dyDescent="0.3">
      <c r="B80" s="182" t="s">
        <v>790</v>
      </c>
      <c r="C80" s="181"/>
      <c r="D80" s="181"/>
      <c r="E80" s="180" t="str">
        <f>IF('Rel.Conjunts-Sistemes'!B80="","",IF(COUNTIF(ConjuntsDades,'Rel.Conjunts-Sistemes'!B80)&gt;0,"OK","Conjunt de dades erroni"))</f>
        <v>Conjunt de dades erroni</v>
      </c>
      <c r="F80" s="180" t="str">
        <f>IF('Rel.Conjunts-Sistemes'!C80="","",IF(COUNTIF(Sistemes,'Rel.Conjunts-Sistemes'!C80)&gt;0,"OK","Conjunt de dades erroni"))</f>
        <v/>
      </c>
      <c r="G80" s="180" t="str">
        <f t="shared" si="1"/>
        <v>Error</v>
      </c>
    </row>
    <row r="81" spans="2:7" x14ac:dyDescent="0.3">
      <c r="B81" s="182" t="s">
        <v>723</v>
      </c>
      <c r="C81" s="181"/>
      <c r="D81" s="181"/>
      <c r="E81" s="180" t="str">
        <f>IF('Rel.Conjunts-Sistemes'!B81="","",IF(COUNTIF(ConjuntsDades,'Rel.Conjunts-Sistemes'!B81)&gt;0,"OK","Conjunt de dades erroni"))</f>
        <v>OK</v>
      </c>
      <c r="F81" s="180" t="str">
        <f>IF('Rel.Conjunts-Sistemes'!C81="","",IF(COUNTIF(Sistemes,'Rel.Conjunts-Sistemes'!C81)&gt;0,"OK","Conjunt de dades erroni"))</f>
        <v/>
      </c>
      <c r="G81" s="180" t="str">
        <f t="shared" si="1"/>
        <v>Error</v>
      </c>
    </row>
    <row r="82" spans="2:7" x14ac:dyDescent="0.3">
      <c r="B82" s="182" t="s">
        <v>725</v>
      </c>
      <c r="C82" s="181"/>
      <c r="D82" s="181"/>
      <c r="E82" s="180" t="str">
        <f>IF('Rel.Conjunts-Sistemes'!B82="","",IF(COUNTIF(ConjuntsDades,'Rel.Conjunts-Sistemes'!B82)&gt;0,"OK","Conjunt de dades erroni"))</f>
        <v>OK</v>
      </c>
      <c r="F82" s="180" t="str">
        <f>IF('Rel.Conjunts-Sistemes'!C82="","",IF(COUNTIF(Sistemes,'Rel.Conjunts-Sistemes'!C82)&gt;0,"OK","Conjunt de dades erroni"))</f>
        <v/>
      </c>
      <c r="G82" s="180" t="str">
        <f t="shared" si="1"/>
        <v>Error</v>
      </c>
    </row>
    <row r="83" spans="2:7" x14ac:dyDescent="0.3">
      <c r="B83" s="182" t="s">
        <v>727</v>
      </c>
      <c r="C83" s="181"/>
      <c r="D83" s="181"/>
      <c r="E83" s="180" t="str">
        <f>IF('Rel.Conjunts-Sistemes'!B83="","",IF(COUNTIF(ConjuntsDades,'Rel.Conjunts-Sistemes'!B83)&gt;0,"OK","Conjunt de dades erroni"))</f>
        <v>OK</v>
      </c>
      <c r="F83" s="180" t="str">
        <f>IF('Rel.Conjunts-Sistemes'!C83="","",IF(COUNTIF(Sistemes,'Rel.Conjunts-Sistemes'!C83)&gt;0,"OK","Conjunt de dades erroni"))</f>
        <v/>
      </c>
      <c r="G83" s="180" t="str">
        <f t="shared" si="1"/>
        <v>Error</v>
      </c>
    </row>
    <row r="84" spans="2:7" x14ac:dyDescent="0.3">
      <c r="B84" s="183" t="s">
        <v>729</v>
      </c>
      <c r="C84" s="181"/>
      <c r="D84" s="181"/>
      <c r="E84" s="180" t="str">
        <f>IF('Rel.Conjunts-Sistemes'!B84="","",IF(COUNTIF(ConjuntsDades,'Rel.Conjunts-Sistemes'!B84)&gt;0,"OK","Conjunt de dades erroni"))</f>
        <v>OK</v>
      </c>
      <c r="F84" s="180" t="str">
        <f>IF('Rel.Conjunts-Sistemes'!C84="","",IF(COUNTIF(Sistemes,'Rel.Conjunts-Sistemes'!C84)&gt;0,"OK","Conjunt de dades erroni"))</f>
        <v/>
      </c>
      <c r="G84" s="180" t="str">
        <f t="shared" si="1"/>
        <v>Error</v>
      </c>
    </row>
    <row r="85" spans="2:7" x14ac:dyDescent="0.3">
      <c r="B85" s="183" t="s">
        <v>732</v>
      </c>
      <c r="C85" s="181"/>
      <c r="D85" s="181"/>
      <c r="E85" s="180" t="str">
        <f>IF('Rel.Conjunts-Sistemes'!B85="","",IF(COUNTIF(ConjuntsDades,'Rel.Conjunts-Sistemes'!B85)&gt;0,"OK","Conjunt de dades erroni"))</f>
        <v>OK</v>
      </c>
      <c r="F85" s="180" t="str">
        <f>IF('Rel.Conjunts-Sistemes'!C85="","",IF(COUNTIF(Sistemes,'Rel.Conjunts-Sistemes'!C85)&gt;0,"OK","Conjunt de dades erroni"))</f>
        <v/>
      </c>
      <c r="G85" s="180" t="str">
        <f t="shared" si="1"/>
        <v>Error</v>
      </c>
    </row>
    <row r="86" spans="2:7" x14ac:dyDescent="0.3">
      <c r="B86" s="183" t="s">
        <v>750</v>
      </c>
      <c r="C86" s="181"/>
      <c r="D86" s="181"/>
      <c r="E86" s="180" t="str">
        <f>IF('Rel.Conjunts-Sistemes'!B86="","",IF(COUNTIF(ConjuntsDades,'Rel.Conjunts-Sistemes'!B86)&gt;0,"OK","Conjunt de dades erroni"))</f>
        <v>OK</v>
      </c>
      <c r="F86" s="180" t="str">
        <f>IF('Rel.Conjunts-Sistemes'!C86="","",IF(COUNTIF(Sistemes,'Rel.Conjunts-Sistemes'!C86)&gt;0,"OK","Conjunt de dades erroni"))</f>
        <v/>
      </c>
      <c r="G86" s="180" t="str">
        <f t="shared" si="1"/>
        <v>Error</v>
      </c>
    </row>
    <row r="87" spans="2:7" x14ac:dyDescent="0.3">
      <c r="B87" s="183" t="s">
        <v>733</v>
      </c>
      <c r="C87" s="181"/>
      <c r="D87" s="181"/>
      <c r="E87" s="180" t="str">
        <f>IF('Rel.Conjunts-Sistemes'!B87="","",IF(COUNTIF(ConjuntsDades,'Rel.Conjunts-Sistemes'!B87)&gt;0,"OK","Conjunt de dades erroni"))</f>
        <v>OK</v>
      </c>
      <c r="F87" s="180" t="str">
        <f>IF('Rel.Conjunts-Sistemes'!C87="","",IF(COUNTIF(Sistemes,'Rel.Conjunts-Sistemes'!C87)&gt;0,"OK","Conjunt de dades erroni"))</f>
        <v/>
      </c>
      <c r="G87" s="180" t="str">
        <f t="shared" si="1"/>
        <v>Error</v>
      </c>
    </row>
    <row r="88" spans="2:7" ht="27.6" x14ac:dyDescent="0.3">
      <c r="B88" s="183" t="s">
        <v>735</v>
      </c>
      <c r="C88" s="181"/>
      <c r="D88" s="181"/>
      <c r="E88" s="180" t="str">
        <f>IF('Rel.Conjunts-Sistemes'!B88="","",IF(COUNTIF(ConjuntsDades,'Rel.Conjunts-Sistemes'!B88)&gt;0,"OK","Conjunt de dades erroni"))</f>
        <v>Conjunt de dades erroni</v>
      </c>
      <c r="F88" s="180" t="str">
        <f>IF('Rel.Conjunts-Sistemes'!C88="","",IF(COUNTIF(Sistemes,'Rel.Conjunts-Sistemes'!C88)&gt;0,"OK","Conjunt de dades erroni"))</f>
        <v/>
      </c>
      <c r="G88" s="180" t="str">
        <f t="shared" si="1"/>
        <v>Error</v>
      </c>
    </row>
    <row r="89" spans="2:7" x14ac:dyDescent="0.3">
      <c r="B89" s="183" t="s">
        <v>773</v>
      </c>
      <c r="C89" s="181"/>
      <c r="D89" s="181"/>
      <c r="E89" s="180" t="str">
        <f>IF('Rel.Conjunts-Sistemes'!B89="","",IF(COUNTIF(ConjuntsDades,'Rel.Conjunts-Sistemes'!B89)&gt;0,"OK","Conjunt de dades erroni"))</f>
        <v>OK</v>
      </c>
      <c r="F89" s="180" t="str">
        <f>IF('Rel.Conjunts-Sistemes'!C89="","",IF(COUNTIF(Sistemes,'Rel.Conjunts-Sistemes'!C89)&gt;0,"OK","Conjunt de dades erroni"))</f>
        <v/>
      </c>
      <c r="G89" s="180" t="str">
        <f t="shared" si="1"/>
        <v>Error</v>
      </c>
    </row>
    <row r="90" spans="2:7" x14ac:dyDescent="0.3">
      <c r="B90" s="183" t="s">
        <v>744</v>
      </c>
      <c r="C90" s="181"/>
      <c r="D90" s="181"/>
      <c r="E90" s="180" t="str">
        <f>IF('Rel.Conjunts-Sistemes'!B90="","",IF(COUNTIF(ConjuntsDades,'Rel.Conjunts-Sistemes'!B90)&gt;0,"OK","Conjunt de dades erroni"))</f>
        <v>OK</v>
      </c>
      <c r="F90" s="180" t="str">
        <f>IF('Rel.Conjunts-Sistemes'!C90="","",IF(COUNTIF(Sistemes,'Rel.Conjunts-Sistemes'!C90)&gt;0,"OK","Conjunt de dades erroni"))</f>
        <v/>
      </c>
      <c r="G90" s="180" t="str">
        <f t="shared" si="1"/>
        <v>Error</v>
      </c>
    </row>
    <row r="91" spans="2:7" x14ac:dyDescent="0.3">
      <c r="B91" s="183" t="s">
        <v>746</v>
      </c>
      <c r="C91" s="181"/>
      <c r="D91" s="181"/>
      <c r="E91" s="180" t="str">
        <f>IF('Rel.Conjunts-Sistemes'!B91="","",IF(COUNTIF(ConjuntsDades,'Rel.Conjunts-Sistemes'!B91)&gt;0,"OK","Conjunt de dades erroni"))</f>
        <v>OK</v>
      </c>
      <c r="F91" s="180" t="str">
        <f>IF('Rel.Conjunts-Sistemes'!C91="","",IF(COUNTIF(Sistemes,'Rel.Conjunts-Sistemes'!C91)&gt;0,"OK","Conjunt de dades erroni"))</f>
        <v/>
      </c>
      <c r="G91" s="180" t="str">
        <f t="shared" si="1"/>
        <v>Error</v>
      </c>
    </row>
    <row r="92" spans="2:7" ht="27.6" x14ac:dyDescent="0.3">
      <c r="B92" s="183" t="s">
        <v>748</v>
      </c>
      <c r="C92" s="181"/>
      <c r="D92" s="181"/>
      <c r="E92" s="180" t="str">
        <f>IF('Rel.Conjunts-Sistemes'!B92="","",IF(COUNTIF(ConjuntsDades,'Rel.Conjunts-Sistemes'!B92)&gt;0,"OK","Conjunt de dades erroni"))</f>
        <v>Conjunt de dades erroni</v>
      </c>
      <c r="F92" s="180" t="str">
        <f>IF('Rel.Conjunts-Sistemes'!C92="","",IF(COUNTIF(Sistemes,'Rel.Conjunts-Sistemes'!C92)&gt;0,"OK","Conjunt de dades erroni"))</f>
        <v/>
      </c>
      <c r="G92" s="180" t="str">
        <f t="shared" si="1"/>
        <v>Error</v>
      </c>
    </row>
    <row r="93" spans="2:7" x14ac:dyDescent="0.3">
      <c r="B93" s="183" t="s">
        <v>752</v>
      </c>
      <c r="C93" s="181"/>
      <c r="D93" s="181"/>
      <c r="E93" s="180" t="str">
        <f>IF('Rel.Conjunts-Sistemes'!B93="","",IF(COUNTIF(ConjuntsDades,'Rel.Conjunts-Sistemes'!B93)&gt;0,"OK","Conjunt de dades erroni"))</f>
        <v>OK</v>
      </c>
      <c r="F93" s="180" t="str">
        <f>IF('Rel.Conjunts-Sistemes'!C93="","",IF(COUNTIF(Sistemes,'Rel.Conjunts-Sistemes'!C93)&gt;0,"OK","Conjunt de dades erroni"))</f>
        <v/>
      </c>
      <c r="G93" s="180" t="str">
        <f t="shared" si="1"/>
        <v>Error</v>
      </c>
    </row>
    <row r="94" spans="2:7" x14ac:dyDescent="0.3">
      <c r="B94" s="183" t="s">
        <v>754</v>
      </c>
      <c r="C94" s="181"/>
      <c r="D94" s="181"/>
      <c r="E94" s="180" t="str">
        <f>IF('Rel.Conjunts-Sistemes'!B94="","",IF(COUNTIF(ConjuntsDades,'Rel.Conjunts-Sistemes'!B94)&gt;0,"OK","Conjunt de dades erroni"))</f>
        <v>OK</v>
      </c>
      <c r="F94" s="180" t="str">
        <f>IF('Rel.Conjunts-Sistemes'!C94="","",IF(COUNTIF(Sistemes,'Rel.Conjunts-Sistemes'!C94)&gt;0,"OK","Conjunt de dades erroni"))</f>
        <v/>
      </c>
      <c r="G94" s="180" t="str">
        <f t="shared" si="1"/>
        <v>Error</v>
      </c>
    </row>
    <row r="95" spans="2:7" x14ac:dyDescent="0.3">
      <c r="B95" s="183" t="s">
        <v>755</v>
      </c>
      <c r="C95" s="181"/>
      <c r="D95" s="181"/>
      <c r="E95" s="180" t="str">
        <f>IF('Rel.Conjunts-Sistemes'!B95="","",IF(COUNTIF(ConjuntsDades,'Rel.Conjunts-Sistemes'!B95)&gt;0,"OK","Conjunt de dades erroni"))</f>
        <v>OK</v>
      </c>
      <c r="F95" s="180" t="str">
        <f>IF('Rel.Conjunts-Sistemes'!C95="","",IF(COUNTIF(Sistemes,'Rel.Conjunts-Sistemes'!C95)&gt;0,"OK","Conjunt de dades erroni"))</f>
        <v/>
      </c>
      <c r="G95" s="180" t="str">
        <f t="shared" si="1"/>
        <v>Error</v>
      </c>
    </row>
    <row r="96" spans="2:7" x14ac:dyDescent="0.3">
      <c r="B96" s="183" t="s">
        <v>757</v>
      </c>
      <c r="C96" s="181"/>
      <c r="D96" s="181"/>
      <c r="E96" s="180" t="str">
        <f>IF('Rel.Conjunts-Sistemes'!B96="","",IF(COUNTIF(ConjuntsDades,'Rel.Conjunts-Sistemes'!B96)&gt;0,"OK","Conjunt de dades erroni"))</f>
        <v>OK</v>
      </c>
      <c r="F96" s="180" t="str">
        <f>IF('Rel.Conjunts-Sistemes'!C96="","",IF(COUNTIF(Sistemes,'Rel.Conjunts-Sistemes'!C96)&gt;0,"OK","Conjunt de dades erroni"))</f>
        <v/>
      </c>
      <c r="G96" s="180" t="str">
        <f t="shared" si="1"/>
        <v>Error</v>
      </c>
    </row>
    <row r="97" spans="2:7" x14ac:dyDescent="0.3">
      <c r="B97" s="183" t="s">
        <v>781</v>
      </c>
      <c r="C97" s="181"/>
      <c r="D97" s="181"/>
      <c r="E97" s="180" t="str">
        <f>IF('Rel.Conjunts-Sistemes'!B97="","",IF(COUNTIF(ConjuntsDades,'Rel.Conjunts-Sistemes'!B97)&gt;0,"OK","Conjunt de dades erroni"))</f>
        <v>OK</v>
      </c>
      <c r="F97" s="180" t="str">
        <f>IF('Rel.Conjunts-Sistemes'!C97="","",IF(COUNTIF(Sistemes,'Rel.Conjunts-Sistemes'!C97)&gt;0,"OK","Conjunt de dades erroni"))</f>
        <v/>
      </c>
      <c r="G97" s="180" t="str">
        <f t="shared" si="1"/>
        <v>Error</v>
      </c>
    </row>
    <row r="98" spans="2:7" x14ac:dyDescent="0.3">
      <c r="B98" s="183" t="s">
        <v>792</v>
      </c>
      <c r="C98" s="181"/>
      <c r="D98" s="181"/>
      <c r="E98" s="180" t="str">
        <f>IF('Rel.Conjunts-Sistemes'!B98="","",IF(COUNTIF(ConjuntsDades,'Rel.Conjunts-Sistemes'!B98)&gt;0,"OK","Conjunt de dades erroni"))</f>
        <v>OK</v>
      </c>
      <c r="F98" s="180" t="str">
        <f>IF('Rel.Conjunts-Sistemes'!C98="","",IF(COUNTIF(Sistemes,'Rel.Conjunts-Sistemes'!C98)&gt;0,"OK","Conjunt de dades erroni"))</f>
        <v/>
      </c>
      <c r="G98" s="180" t="str">
        <f t="shared" si="1"/>
        <v>Error</v>
      </c>
    </row>
    <row r="99" spans="2:7" ht="14.4" x14ac:dyDescent="0.3">
      <c r="B99" s="184" t="s">
        <v>759</v>
      </c>
      <c r="C99" s="181"/>
      <c r="D99" s="181"/>
      <c r="E99" s="180" t="str">
        <f>IF('Rel.Conjunts-Sistemes'!B99="","",IF(COUNTIF(ConjuntsDades,'Rel.Conjunts-Sistemes'!B99)&gt;0,"OK","Conjunt de dades erroni"))</f>
        <v>OK</v>
      </c>
      <c r="F99" s="180" t="str">
        <f>IF('Rel.Conjunts-Sistemes'!C99="","",IF(COUNTIF(Sistemes,'Rel.Conjunts-Sistemes'!C99)&gt;0,"OK","Conjunt de dades erroni"))</f>
        <v/>
      </c>
      <c r="G99" s="180" t="str">
        <f t="shared" si="1"/>
        <v>Error</v>
      </c>
    </row>
    <row r="100" spans="2:7" ht="14.4" x14ac:dyDescent="0.3">
      <c r="B100" s="184" t="s">
        <v>766</v>
      </c>
      <c r="C100" s="181"/>
      <c r="D100" s="181"/>
      <c r="E100" s="180" t="str">
        <f>IF('Rel.Conjunts-Sistemes'!B100="","",IF(COUNTIF(ConjuntsDades,'Rel.Conjunts-Sistemes'!B100)&gt;0,"OK","Conjunt de dades erroni"))</f>
        <v>OK</v>
      </c>
      <c r="F100" s="180" t="str">
        <f>IF('Rel.Conjunts-Sistemes'!C100="","",IF(COUNTIF(Sistemes,'Rel.Conjunts-Sistemes'!C100)&gt;0,"OK","Conjunt de dades erroni"))</f>
        <v/>
      </c>
      <c r="G100" s="180" t="str">
        <f t="shared" si="1"/>
        <v>Error</v>
      </c>
    </row>
    <row r="101" spans="2:7" ht="14.4" x14ac:dyDescent="0.3">
      <c r="B101" s="184" t="s">
        <v>768</v>
      </c>
      <c r="C101" s="181"/>
      <c r="D101" s="181"/>
      <c r="E101" s="180" t="str">
        <f>IF('Rel.Conjunts-Sistemes'!B101="","",IF(COUNTIF(ConjuntsDades,'Rel.Conjunts-Sistemes'!B101)&gt;0,"OK","Conjunt de dades erroni"))</f>
        <v>OK</v>
      </c>
      <c r="F101" s="180" t="str">
        <f>IF('Rel.Conjunts-Sistemes'!C101="","",IF(COUNTIF(Sistemes,'Rel.Conjunts-Sistemes'!C101)&gt;0,"OK","Conjunt de dades erroni"))</f>
        <v/>
      </c>
      <c r="G101" s="180" t="str">
        <f t="shared" si="1"/>
        <v>Error</v>
      </c>
    </row>
    <row r="102" spans="2:7" ht="14.4" x14ac:dyDescent="0.3">
      <c r="B102" s="184" t="s">
        <v>770</v>
      </c>
      <c r="C102" s="181"/>
      <c r="D102" s="181"/>
      <c r="E102" s="180" t="str">
        <f>IF('Rel.Conjunts-Sistemes'!B102="","",IF(COUNTIF(ConjuntsDades,'Rel.Conjunts-Sistemes'!B102)&gt;0,"OK","Conjunt de dades erroni"))</f>
        <v>OK</v>
      </c>
      <c r="F102" s="180" t="str">
        <f>IF('Rel.Conjunts-Sistemes'!C102="","",IF(COUNTIF(Sistemes,'Rel.Conjunts-Sistemes'!C102)&gt;0,"OK","Conjunt de dades erroni"))</f>
        <v/>
      </c>
      <c r="G102" s="180" t="str">
        <f t="shared" si="1"/>
        <v>Error</v>
      </c>
    </row>
    <row r="103" spans="2:7" ht="14.4" x14ac:dyDescent="0.3">
      <c r="B103" s="184" t="s">
        <v>793</v>
      </c>
      <c r="C103" s="181"/>
      <c r="D103" s="181"/>
      <c r="E103" s="180" t="str">
        <f>IF('Rel.Conjunts-Sistemes'!B103="","",IF(COUNTIF(ConjuntsDades,'Rel.Conjunts-Sistemes'!B103)&gt;0,"OK","Conjunt de dades erroni"))</f>
        <v>OK</v>
      </c>
      <c r="F103" s="180" t="str">
        <f>IF('Rel.Conjunts-Sistemes'!C103="","",IF(COUNTIF(Sistemes,'Rel.Conjunts-Sistemes'!C103)&gt;0,"OK","Conjunt de dades erroni"))</f>
        <v/>
      </c>
      <c r="G103" s="180" t="str">
        <f t="shared" si="1"/>
        <v>Error</v>
      </c>
    </row>
    <row r="104" spans="2:7" ht="27.6" x14ac:dyDescent="0.3">
      <c r="B104" s="184" t="s">
        <v>772</v>
      </c>
      <c r="C104" s="181"/>
      <c r="D104" s="181"/>
      <c r="E104" s="180" t="str">
        <f>IF('Rel.Conjunts-Sistemes'!B104="","",IF(COUNTIF(ConjuntsDades,'Rel.Conjunts-Sistemes'!B104)&gt;0,"OK","Conjunt de dades erroni"))</f>
        <v>Conjunt de dades erroni</v>
      </c>
      <c r="F104" s="180" t="str">
        <f>IF('Rel.Conjunts-Sistemes'!C104="","",IF(COUNTIF(Sistemes,'Rel.Conjunts-Sistemes'!C104)&gt;0,"OK","Conjunt de dades erroni"))</f>
        <v/>
      </c>
      <c r="G104" s="180" t="str">
        <f t="shared" si="1"/>
        <v>Error</v>
      </c>
    </row>
    <row r="105" spans="2:7" ht="14.4" x14ac:dyDescent="0.3">
      <c r="B105" s="184" t="s">
        <v>762</v>
      </c>
      <c r="C105" s="181"/>
      <c r="D105" s="181"/>
      <c r="E105" s="180" t="str">
        <f>IF('Rel.Conjunts-Sistemes'!B105="","",IF(COUNTIF(ConjuntsDades,'Rel.Conjunts-Sistemes'!B105)&gt;0,"OK","Conjunt de dades erroni"))</f>
        <v>OK</v>
      </c>
      <c r="F105" s="180" t="str">
        <f>IF('Rel.Conjunts-Sistemes'!C105="","",IF(COUNTIF(Sistemes,'Rel.Conjunts-Sistemes'!C105)&gt;0,"OK","Conjunt de dades erroni"))</f>
        <v/>
      </c>
      <c r="G105" s="180" t="str">
        <f t="shared" si="1"/>
        <v>Error</v>
      </c>
    </row>
    <row r="106" spans="2:7" ht="14.4" x14ac:dyDescent="0.3">
      <c r="B106" s="184" t="s">
        <v>764</v>
      </c>
      <c r="C106" s="181"/>
      <c r="D106" s="181"/>
      <c r="E106" s="180" t="str">
        <f>IF('Rel.Conjunts-Sistemes'!B106="","",IF(COUNTIF(ConjuntsDades,'Rel.Conjunts-Sistemes'!B106)&gt;0,"OK","Conjunt de dades erroni"))</f>
        <v>OK</v>
      </c>
      <c r="F106" s="180" t="str">
        <f>IF('Rel.Conjunts-Sistemes'!C106="","",IF(COUNTIF(Sistemes,'Rel.Conjunts-Sistemes'!C106)&gt;0,"OK","Conjunt de dades erroni"))</f>
        <v/>
      </c>
      <c r="G106" s="180" t="str">
        <f t="shared" si="1"/>
        <v>Error</v>
      </c>
    </row>
    <row r="107" spans="2:7" ht="27.6" x14ac:dyDescent="0.3">
      <c r="B107" s="184" t="s">
        <v>795</v>
      </c>
      <c r="C107" s="181"/>
      <c r="D107" s="181"/>
      <c r="E107" s="180" t="str">
        <f>IF('Rel.Conjunts-Sistemes'!B107="","",IF(COUNTIF(ConjuntsDades,'Rel.Conjunts-Sistemes'!B107)&gt;0,"OK","Conjunt de dades erroni"))</f>
        <v>Conjunt de dades erroni</v>
      </c>
      <c r="F107" s="180" t="str">
        <f>IF('Rel.Conjunts-Sistemes'!C107="","",IF(COUNTIF(Sistemes,'Rel.Conjunts-Sistemes'!C107)&gt;0,"OK","Conjunt de dades erroni"))</f>
        <v/>
      </c>
      <c r="G107" s="180" t="str">
        <f t="shared" si="1"/>
        <v>Error</v>
      </c>
    </row>
    <row r="108" spans="2:7" ht="14.4" x14ac:dyDescent="0.3">
      <c r="B108" s="184" t="s">
        <v>778</v>
      </c>
      <c r="C108" s="181"/>
      <c r="D108" s="181"/>
      <c r="E108" s="180" t="str">
        <f>IF('Rel.Conjunts-Sistemes'!B108="","",IF(COUNTIF(ConjuntsDades,'Rel.Conjunts-Sistemes'!B108)&gt;0,"OK","Conjunt de dades erroni"))</f>
        <v>OK</v>
      </c>
      <c r="F108" s="180" t="str">
        <f>IF('Rel.Conjunts-Sistemes'!C108="","",IF(COUNTIF(Sistemes,'Rel.Conjunts-Sistemes'!C108)&gt;0,"OK","Conjunt de dades erroni"))</f>
        <v/>
      </c>
      <c r="G108" s="180" t="str">
        <f t="shared" si="1"/>
        <v>Error</v>
      </c>
    </row>
    <row r="109" spans="2:7" ht="14.4" x14ac:dyDescent="0.3">
      <c r="B109" s="184" t="s">
        <v>797</v>
      </c>
      <c r="C109" s="181"/>
      <c r="D109" s="181"/>
      <c r="E109" s="180" t="str">
        <f>IF('Rel.Conjunts-Sistemes'!B109="","",IF(COUNTIF(ConjuntsDades,'Rel.Conjunts-Sistemes'!B109)&gt;0,"OK","Conjunt de dades erroni"))</f>
        <v>OK</v>
      </c>
      <c r="F109" s="180" t="str">
        <f>IF('Rel.Conjunts-Sistemes'!C109="","",IF(COUNTIF(Sistemes,'Rel.Conjunts-Sistemes'!C109)&gt;0,"OK","Conjunt de dades erroni"))</f>
        <v/>
      </c>
      <c r="G109" s="180" t="str">
        <f t="shared" si="1"/>
        <v>Error</v>
      </c>
    </row>
    <row r="110" spans="2:7" ht="27.6" x14ac:dyDescent="0.3">
      <c r="B110" s="184" t="s">
        <v>799</v>
      </c>
      <c r="C110" s="181"/>
      <c r="D110" s="181"/>
      <c r="E110" s="180" t="str">
        <f>IF('Rel.Conjunts-Sistemes'!B110="","",IF(COUNTIF(ConjuntsDades,'Rel.Conjunts-Sistemes'!B110)&gt;0,"OK","Conjunt de dades erroni"))</f>
        <v>Conjunt de dades erroni</v>
      </c>
      <c r="F110" s="180" t="str">
        <f>IF('Rel.Conjunts-Sistemes'!C110="","",IF(COUNTIF(Sistemes,'Rel.Conjunts-Sistemes'!C110)&gt;0,"OK","Conjunt de dades erroni"))</f>
        <v/>
      </c>
      <c r="G110" s="180" t="str">
        <f t="shared" si="1"/>
        <v>Error</v>
      </c>
    </row>
    <row r="111" spans="2:7" ht="27.6" x14ac:dyDescent="0.3">
      <c r="B111" s="185" t="s">
        <v>644</v>
      </c>
      <c r="C111" s="181"/>
      <c r="D111" s="181"/>
      <c r="E111" s="180" t="str">
        <f>IF('Rel.Conjunts-Sistemes'!B111="","",IF(COUNTIF(ConjuntsDades,'Rel.Conjunts-Sistemes'!B111)&gt;0,"OK","Conjunt de dades erroni"))</f>
        <v>Conjunt de dades erroni</v>
      </c>
      <c r="F111" s="180" t="str">
        <f>IF('Rel.Conjunts-Sistemes'!C111="","",IF(COUNTIF(Sistemes,'Rel.Conjunts-Sistemes'!C111)&gt;0,"OK","Conjunt de dades erroni"))</f>
        <v/>
      </c>
      <c r="G111" s="180" t="str">
        <f t="shared" si="1"/>
        <v>Error</v>
      </c>
    </row>
    <row r="112" spans="2:7" ht="14.4" x14ac:dyDescent="0.3">
      <c r="B112" s="184"/>
      <c r="C112" s="181"/>
      <c r="D112" s="181"/>
      <c r="E112" s="180" t="str">
        <f>IF('Rel.Conjunts-Sistemes'!B112="","",IF(COUNTIF(ConjuntsDades,'Rel.Conjunts-Sistemes'!B112)&gt;0,"OK","Conjunt de dades erroni"))</f>
        <v/>
      </c>
      <c r="F112" s="180" t="str">
        <f>IF('Rel.Conjunts-Sistemes'!C112="","",IF(COUNTIF(Sistemes,'Rel.Conjunts-Sistemes'!C112)&gt;0,"OK","Conjunt de dades erroni"))</f>
        <v/>
      </c>
      <c r="G112" s="180" t="str">
        <f t="shared" si="1"/>
        <v/>
      </c>
    </row>
    <row r="113" spans="2:7" ht="14.4" x14ac:dyDescent="0.3">
      <c r="B113" s="184"/>
      <c r="C113" s="181"/>
      <c r="D113" s="181"/>
      <c r="E113" s="180" t="str">
        <f>IF('Rel.Conjunts-Sistemes'!B113="","",IF(COUNTIF(ConjuntsDades,'Rel.Conjunts-Sistemes'!B113)&gt;0,"OK","Conjunt de dades erroni"))</f>
        <v/>
      </c>
      <c r="F113" s="180" t="str">
        <f>IF('Rel.Conjunts-Sistemes'!C113="","",IF(COUNTIF(Sistemes,'Rel.Conjunts-Sistemes'!C113)&gt;0,"OK","Conjunt de dades erroni"))</f>
        <v/>
      </c>
      <c r="G113" s="180" t="str">
        <f t="shared" si="1"/>
        <v/>
      </c>
    </row>
    <row r="114" spans="2:7" ht="14.4" x14ac:dyDescent="0.3">
      <c r="B114" s="184"/>
      <c r="C114" s="181"/>
      <c r="D114" s="181"/>
      <c r="E114" s="180" t="str">
        <f>IF('Rel.Conjunts-Sistemes'!B114="","",IF(COUNTIF(ConjuntsDades,'Rel.Conjunts-Sistemes'!B114)&gt;0,"OK","Conjunt de dades erroni"))</f>
        <v/>
      </c>
      <c r="F114" s="180" t="str">
        <f>IF('Rel.Conjunts-Sistemes'!C114="","",IF(COUNTIF(Sistemes,'Rel.Conjunts-Sistemes'!C114)&gt;0,"OK","Conjunt de dades erroni"))</f>
        <v/>
      </c>
      <c r="G114" s="180" t="str">
        <f t="shared" si="1"/>
        <v/>
      </c>
    </row>
    <row r="115" spans="2:7" ht="14.4" x14ac:dyDescent="0.3">
      <c r="B115" s="184"/>
      <c r="C115" s="181"/>
      <c r="D115" s="181"/>
      <c r="E115" s="180" t="str">
        <f>IF('Rel.Conjunts-Sistemes'!B115="","",IF(COUNTIF(ConjuntsDades,'Rel.Conjunts-Sistemes'!B115)&gt;0,"OK","Conjunt de dades erroni"))</f>
        <v/>
      </c>
      <c r="F115" s="180" t="str">
        <f>IF('Rel.Conjunts-Sistemes'!C115="","",IF(COUNTIF(Sistemes,'Rel.Conjunts-Sistemes'!C115)&gt;0,"OK","Conjunt de dades erroni"))</f>
        <v/>
      </c>
      <c r="G115" s="180" t="str">
        <f t="shared" si="1"/>
        <v/>
      </c>
    </row>
    <row r="116" spans="2:7" ht="14.4" x14ac:dyDescent="0.3">
      <c r="B116" s="184"/>
      <c r="C116" s="181"/>
      <c r="D116" s="181"/>
      <c r="E116" s="180" t="str">
        <f>IF('Rel.Conjunts-Sistemes'!B116="","",IF(COUNTIF(ConjuntsDades,'Rel.Conjunts-Sistemes'!B116)&gt;0,"OK","Conjunt de dades erroni"))</f>
        <v/>
      </c>
      <c r="F116" s="180" t="str">
        <f>IF('Rel.Conjunts-Sistemes'!C116="","",IF(COUNTIF(Sistemes,'Rel.Conjunts-Sistemes'!C116)&gt;0,"OK","Conjunt de dades erroni"))</f>
        <v/>
      </c>
      <c r="G116" s="180" t="str">
        <f t="shared" si="1"/>
        <v/>
      </c>
    </row>
    <row r="117" spans="2:7" ht="14.4" x14ac:dyDescent="0.3">
      <c r="B117" s="184"/>
      <c r="C117" s="181"/>
      <c r="D117" s="181"/>
      <c r="E117" s="180" t="str">
        <f>IF('Rel.Conjunts-Sistemes'!B117="","",IF(COUNTIF(ConjuntsDades,'Rel.Conjunts-Sistemes'!B117)&gt;0,"OK","Conjunt de dades erroni"))</f>
        <v/>
      </c>
      <c r="F117" s="180" t="str">
        <f>IF('Rel.Conjunts-Sistemes'!C117="","",IF(COUNTIF(Sistemes,'Rel.Conjunts-Sistemes'!C117)&gt;0,"OK","Conjunt de dades erroni"))</f>
        <v/>
      </c>
      <c r="G117" s="180" t="str">
        <f t="shared" si="1"/>
        <v/>
      </c>
    </row>
    <row r="118" spans="2:7" ht="14.4" x14ac:dyDescent="0.3">
      <c r="B118" s="184"/>
      <c r="C118" s="181"/>
      <c r="D118" s="181"/>
      <c r="E118" s="180" t="str">
        <f>IF('Rel.Conjunts-Sistemes'!B118="","",IF(COUNTIF(ConjuntsDades,'Rel.Conjunts-Sistemes'!B118)&gt;0,"OK","Conjunt de dades erroni"))</f>
        <v/>
      </c>
      <c r="F118" s="180" t="str">
        <f>IF('Rel.Conjunts-Sistemes'!C118="","",IF(COUNTIF(Sistemes,'Rel.Conjunts-Sistemes'!C118)&gt;0,"OK","Conjunt de dades erroni"))</f>
        <v/>
      </c>
      <c r="G118" s="180" t="str">
        <f t="shared" si="1"/>
        <v/>
      </c>
    </row>
    <row r="119" spans="2:7" ht="14.4" x14ac:dyDescent="0.3">
      <c r="B119" s="184"/>
      <c r="C119" s="181"/>
      <c r="D119" s="181"/>
      <c r="E119" s="180" t="str">
        <f>IF('Rel.Conjunts-Sistemes'!B119="","",IF(COUNTIF(ConjuntsDades,'Rel.Conjunts-Sistemes'!B119)&gt;0,"OK","Conjunt de dades erroni"))</f>
        <v/>
      </c>
      <c r="F119" s="180" t="str">
        <f>IF('Rel.Conjunts-Sistemes'!C119="","",IF(COUNTIF(Sistemes,'Rel.Conjunts-Sistemes'!C119)&gt;0,"OK","Conjunt de dades erroni"))</f>
        <v/>
      </c>
      <c r="G119" s="180" t="str">
        <f t="shared" si="1"/>
        <v/>
      </c>
    </row>
    <row r="120" spans="2:7" ht="14.4" x14ac:dyDescent="0.3">
      <c r="B120" s="184"/>
      <c r="C120" s="181"/>
      <c r="D120" s="181"/>
      <c r="E120" s="180" t="str">
        <f>IF('Rel.Conjunts-Sistemes'!B120="","",IF(COUNTIF(ConjuntsDades,'Rel.Conjunts-Sistemes'!B120)&gt;0,"OK","Conjunt de dades erroni"))</f>
        <v/>
      </c>
      <c r="F120" s="180" t="str">
        <f>IF('Rel.Conjunts-Sistemes'!C120="","",IF(COUNTIF(Sistemes,'Rel.Conjunts-Sistemes'!C120)&gt;0,"OK","Conjunt de dades erroni"))</f>
        <v/>
      </c>
      <c r="G120" s="180" t="str">
        <f t="shared" si="1"/>
        <v/>
      </c>
    </row>
    <row r="121" spans="2:7" ht="14.4" x14ac:dyDescent="0.3">
      <c r="B121" s="184"/>
      <c r="C121" s="181"/>
      <c r="D121" s="181"/>
      <c r="E121" s="180" t="str">
        <f>IF('Rel.Conjunts-Sistemes'!B121="","",IF(COUNTIF(ConjuntsDades,'Rel.Conjunts-Sistemes'!B121)&gt;0,"OK","Conjunt de dades erroni"))</f>
        <v/>
      </c>
      <c r="F121" s="180" t="str">
        <f>IF('Rel.Conjunts-Sistemes'!C121="","",IF(COUNTIF(Sistemes,'Rel.Conjunts-Sistemes'!C121)&gt;0,"OK","Conjunt de dades erroni"))</f>
        <v/>
      </c>
      <c r="G121" s="180" t="str">
        <f t="shared" si="1"/>
        <v/>
      </c>
    </row>
    <row r="122" spans="2:7" ht="14.4" x14ac:dyDescent="0.3">
      <c r="B122" s="184"/>
      <c r="C122" s="181"/>
      <c r="D122" s="181"/>
      <c r="E122" s="180" t="str">
        <f>IF('Rel.Conjunts-Sistemes'!B122="","",IF(COUNTIF(ConjuntsDades,'Rel.Conjunts-Sistemes'!B122)&gt;0,"OK","Conjunt de dades erroni"))</f>
        <v/>
      </c>
      <c r="F122" s="180" t="str">
        <f>IF('Rel.Conjunts-Sistemes'!C122="","",IF(COUNTIF(Sistemes,'Rel.Conjunts-Sistemes'!C122)&gt;0,"OK","Conjunt de dades erroni"))</f>
        <v/>
      </c>
      <c r="G122" s="180" t="str">
        <f t="shared" si="1"/>
        <v/>
      </c>
    </row>
    <row r="123" spans="2:7" ht="14.4" x14ac:dyDescent="0.3">
      <c r="B123" s="184"/>
      <c r="C123" s="181"/>
      <c r="D123" s="181"/>
      <c r="E123" s="180" t="str">
        <f>IF('Rel.Conjunts-Sistemes'!B123="","",IF(COUNTIF(ConjuntsDades,'Rel.Conjunts-Sistemes'!B123)&gt;0,"OK","Conjunt de dades erroni"))</f>
        <v/>
      </c>
      <c r="F123" s="180" t="str">
        <f>IF('Rel.Conjunts-Sistemes'!C123="","",IF(COUNTIF(Sistemes,'Rel.Conjunts-Sistemes'!C123)&gt;0,"OK","Conjunt de dades erroni"))</f>
        <v/>
      </c>
      <c r="G123" s="180" t="str">
        <f t="shared" si="1"/>
        <v/>
      </c>
    </row>
    <row r="124" spans="2:7" ht="14.4" x14ac:dyDescent="0.3">
      <c r="B124" s="184"/>
      <c r="C124" s="181"/>
      <c r="D124" s="181"/>
      <c r="E124" s="180" t="str">
        <f>IF('Rel.Conjunts-Sistemes'!B124="","",IF(COUNTIF(ConjuntsDades,'Rel.Conjunts-Sistemes'!B124)&gt;0,"OK","Conjunt de dades erroni"))</f>
        <v/>
      </c>
      <c r="F124" s="180" t="str">
        <f>IF('Rel.Conjunts-Sistemes'!C124="","",IF(COUNTIF(Sistemes,'Rel.Conjunts-Sistemes'!C124)&gt;0,"OK","Conjunt de dades erroni"))</f>
        <v/>
      </c>
      <c r="G124" s="180" t="str">
        <f t="shared" si="1"/>
        <v/>
      </c>
    </row>
    <row r="125" spans="2:7" ht="14.4" x14ac:dyDescent="0.3">
      <c r="B125" s="184"/>
      <c r="C125" s="181"/>
      <c r="D125" s="181"/>
      <c r="E125" s="180" t="str">
        <f>IF('Rel.Conjunts-Sistemes'!B125="","",IF(COUNTIF(ConjuntsDades,'Rel.Conjunts-Sistemes'!B125)&gt;0,"OK","Conjunt de dades erroni"))</f>
        <v/>
      </c>
      <c r="F125" s="180" t="str">
        <f>IF('Rel.Conjunts-Sistemes'!C125="","",IF(COUNTIF(Sistemes,'Rel.Conjunts-Sistemes'!C125)&gt;0,"OK","Conjunt de dades erroni"))</f>
        <v/>
      </c>
      <c r="G125" s="180" t="str">
        <f t="shared" si="1"/>
        <v/>
      </c>
    </row>
    <row r="126" spans="2:7" ht="14.4" x14ac:dyDescent="0.3">
      <c r="B126" s="184"/>
      <c r="C126" s="181"/>
      <c r="D126" s="181"/>
      <c r="E126" s="180" t="str">
        <f>IF('Rel.Conjunts-Sistemes'!B126="","",IF(COUNTIF(ConjuntsDades,'Rel.Conjunts-Sistemes'!B126)&gt;0,"OK","Conjunt de dades erroni"))</f>
        <v/>
      </c>
      <c r="F126" s="180" t="str">
        <f>IF('Rel.Conjunts-Sistemes'!C126="","",IF(COUNTIF(Sistemes,'Rel.Conjunts-Sistemes'!C126)&gt;0,"OK","Conjunt de dades erroni"))</f>
        <v/>
      </c>
      <c r="G126" s="180" t="str">
        <f t="shared" si="1"/>
        <v/>
      </c>
    </row>
    <row r="127" spans="2:7" ht="14.4" x14ac:dyDescent="0.3">
      <c r="B127" s="184"/>
      <c r="C127" s="181"/>
      <c r="D127" s="181"/>
      <c r="E127" s="180" t="str">
        <f>IF('Rel.Conjunts-Sistemes'!B127="","",IF(COUNTIF(ConjuntsDades,'Rel.Conjunts-Sistemes'!B127)&gt;0,"OK","Conjunt de dades erroni"))</f>
        <v/>
      </c>
      <c r="F127" s="180" t="str">
        <f>IF('Rel.Conjunts-Sistemes'!C127="","",IF(COUNTIF(Sistemes,'Rel.Conjunts-Sistemes'!C127)&gt;0,"OK","Conjunt de dades erroni"))</f>
        <v/>
      </c>
      <c r="G127" s="180" t="str">
        <f t="shared" si="1"/>
        <v/>
      </c>
    </row>
    <row r="128" spans="2:7" ht="14.4" x14ac:dyDescent="0.3">
      <c r="B128" s="184"/>
      <c r="C128" s="181"/>
      <c r="D128" s="181"/>
      <c r="E128" s="180" t="str">
        <f>IF('Rel.Conjunts-Sistemes'!B128="","",IF(COUNTIF(ConjuntsDades,'Rel.Conjunts-Sistemes'!B128)&gt;0,"OK","Conjunt de dades erroni"))</f>
        <v/>
      </c>
      <c r="F128" s="180" t="str">
        <f>IF('Rel.Conjunts-Sistemes'!C128="","",IF(COUNTIF(Sistemes,'Rel.Conjunts-Sistemes'!C128)&gt;0,"OK","Conjunt de dades erroni"))</f>
        <v/>
      </c>
      <c r="G128" s="180" t="str">
        <f>IF(AND(E128="",F128=""),"",IF(AND(E128="OK",F128="OK"),"OK","Error"))</f>
        <v/>
      </c>
    </row>
    <row r="129" spans="2:7" ht="14.4" x14ac:dyDescent="0.3">
      <c r="B129" s="184"/>
      <c r="C129" s="181"/>
      <c r="D129" s="181"/>
      <c r="E129" s="180" t="str">
        <f>IF('Rel.Conjunts-Sistemes'!B129="","",IF(COUNTIF(ConjuntsDades,'Rel.Conjunts-Sistemes'!B129)&gt;0,"OK","Conjunt de dades erroni"))</f>
        <v/>
      </c>
      <c r="F129" s="180" t="str">
        <f>IF('Rel.Conjunts-Sistemes'!C129="","",IF(COUNTIF(Sistemes,'Rel.Conjunts-Sistemes'!C129)&gt;0,"OK","Conjunt de dades erroni"))</f>
        <v/>
      </c>
      <c r="G129" s="180" t="str">
        <f t="shared" ref="G129:G192" si="2">IF(AND(E129="",F129=""),"",IF(AND(E129="OK",F129="OK"),"OK","Error"))</f>
        <v/>
      </c>
    </row>
    <row r="130" spans="2:7" ht="14.4" x14ac:dyDescent="0.3">
      <c r="B130" s="184"/>
      <c r="C130" s="181"/>
      <c r="D130" s="181"/>
      <c r="E130" s="180" t="str">
        <f>IF('Rel.Conjunts-Sistemes'!B130="","",IF(COUNTIF(ConjuntsDades,'Rel.Conjunts-Sistemes'!B130)&gt;0,"OK","Conjunt de dades erroni"))</f>
        <v/>
      </c>
      <c r="F130" s="180" t="str">
        <f>IF('Rel.Conjunts-Sistemes'!C130="","",IF(COUNTIF(Sistemes,'Rel.Conjunts-Sistemes'!C130)&gt;0,"OK","Conjunt de dades erroni"))</f>
        <v/>
      </c>
      <c r="G130" s="180" t="str">
        <f t="shared" si="2"/>
        <v/>
      </c>
    </row>
    <row r="131" spans="2:7" ht="14.4" x14ac:dyDescent="0.3">
      <c r="B131" s="184"/>
      <c r="C131" s="181"/>
      <c r="D131" s="181"/>
      <c r="E131" s="180" t="str">
        <f>IF('Rel.Conjunts-Sistemes'!B131="","",IF(COUNTIF(ConjuntsDades,'Rel.Conjunts-Sistemes'!B131)&gt;0,"OK","Conjunt de dades erroni"))</f>
        <v/>
      </c>
      <c r="F131" s="180" t="str">
        <f>IF('Rel.Conjunts-Sistemes'!C131="","",IF(COUNTIF(Sistemes,'Rel.Conjunts-Sistemes'!C131)&gt;0,"OK","Conjunt de dades erroni"))</f>
        <v/>
      </c>
      <c r="G131" s="180" t="str">
        <f t="shared" si="2"/>
        <v/>
      </c>
    </row>
    <row r="132" spans="2:7" ht="14.4" x14ac:dyDescent="0.3">
      <c r="B132" s="184"/>
      <c r="C132" s="181"/>
      <c r="D132" s="181"/>
      <c r="E132" s="180" t="str">
        <f>IF('Rel.Conjunts-Sistemes'!B132="","",IF(COUNTIF(ConjuntsDades,'Rel.Conjunts-Sistemes'!B132)&gt;0,"OK","Conjunt de dades erroni"))</f>
        <v/>
      </c>
      <c r="F132" s="180" t="str">
        <f>IF('Rel.Conjunts-Sistemes'!C132="","",IF(COUNTIF(Sistemes,'Rel.Conjunts-Sistemes'!C132)&gt;0,"OK","Conjunt de dades erroni"))</f>
        <v/>
      </c>
      <c r="G132" s="180" t="str">
        <f t="shared" si="2"/>
        <v/>
      </c>
    </row>
    <row r="133" spans="2:7" ht="14.4" x14ac:dyDescent="0.3">
      <c r="B133" s="184"/>
      <c r="C133" s="181"/>
      <c r="D133" s="181"/>
      <c r="E133" s="180" t="str">
        <f>IF('Rel.Conjunts-Sistemes'!B133="","",IF(COUNTIF(ConjuntsDades,'Rel.Conjunts-Sistemes'!B133)&gt;0,"OK","Conjunt de dades erroni"))</f>
        <v/>
      </c>
      <c r="F133" s="180" t="str">
        <f>IF('Rel.Conjunts-Sistemes'!C133="","",IF(COUNTIF(Sistemes,'Rel.Conjunts-Sistemes'!C133)&gt;0,"OK","Conjunt de dades erroni"))</f>
        <v/>
      </c>
      <c r="G133" s="180" t="str">
        <f t="shared" si="2"/>
        <v/>
      </c>
    </row>
    <row r="134" spans="2:7" ht="14.4" x14ac:dyDescent="0.3">
      <c r="B134" s="184"/>
      <c r="C134" s="181"/>
      <c r="D134" s="181"/>
      <c r="E134" s="180" t="str">
        <f>IF('Rel.Conjunts-Sistemes'!B134="","",IF(COUNTIF(ConjuntsDades,'Rel.Conjunts-Sistemes'!B134)&gt;0,"OK","Conjunt de dades erroni"))</f>
        <v/>
      </c>
      <c r="F134" s="180" t="str">
        <f>IF('Rel.Conjunts-Sistemes'!C134="","",IF(COUNTIF(Sistemes,'Rel.Conjunts-Sistemes'!C134)&gt;0,"OK","Conjunt de dades erroni"))</f>
        <v/>
      </c>
      <c r="G134" s="180" t="str">
        <f t="shared" si="2"/>
        <v/>
      </c>
    </row>
    <row r="135" spans="2:7" ht="14.4" x14ac:dyDescent="0.3">
      <c r="B135" s="184"/>
      <c r="C135" s="181"/>
      <c r="D135" s="181"/>
      <c r="E135" s="180" t="str">
        <f>IF('Rel.Conjunts-Sistemes'!B135="","",IF(COUNTIF(ConjuntsDades,'Rel.Conjunts-Sistemes'!B135)&gt;0,"OK","Conjunt de dades erroni"))</f>
        <v/>
      </c>
      <c r="F135" s="180" t="str">
        <f>IF('Rel.Conjunts-Sistemes'!C135="","",IF(COUNTIF(Sistemes,'Rel.Conjunts-Sistemes'!C135)&gt;0,"OK","Conjunt de dades erroni"))</f>
        <v/>
      </c>
      <c r="G135" s="180" t="str">
        <f t="shared" si="2"/>
        <v/>
      </c>
    </row>
    <row r="136" spans="2:7" ht="14.4" x14ac:dyDescent="0.3">
      <c r="B136" s="184"/>
      <c r="C136" s="181"/>
      <c r="D136" s="181"/>
      <c r="E136" s="180" t="str">
        <f>IF('Rel.Conjunts-Sistemes'!B136="","",IF(COUNTIF(ConjuntsDades,'Rel.Conjunts-Sistemes'!B136)&gt;0,"OK","Conjunt de dades erroni"))</f>
        <v/>
      </c>
      <c r="F136" s="180" t="str">
        <f>IF('Rel.Conjunts-Sistemes'!C136="","",IF(COUNTIF(Sistemes,'Rel.Conjunts-Sistemes'!C136)&gt;0,"OK","Conjunt de dades erroni"))</f>
        <v/>
      </c>
      <c r="G136" s="180" t="str">
        <f t="shared" si="2"/>
        <v/>
      </c>
    </row>
    <row r="137" spans="2:7" ht="14.4" x14ac:dyDescent="0.3">
      <c r="B137" s="184"/>
      <c r="C137" s="181"/>
      <c r="D137" s="181"/>
      <c r="E137" s="180" t="str">
        <f>IF('Rel.Conjunts-Sistemes'!B137="","",IF(COUNTIF(ConjuntsDades,'Rel.Conjunts-Sistemes'!B137)&gt;0,"OK","Conjunt de dades erroni"))</f>
        <v/>
      </c>
      <c r="F137" s="180" t="str">
        <f>IF('Rel.Conjunts-Sistemes'!C137="","",IF(COUNTIF(Sistemes,'Rel.Conjunts-Sistemes'!C137)&gt;0,"OK","Conjunt de dades erroni"))</f>
        <v/>
      </c>
      <c r="G137" s="180" t="str">
        <f t="shared" si="2"/>
        <v/>
      </c>
    </row>
    <row r="138" spans="2:7" ht="14.4" x14ac:dyDescent="0.3">
      <c r="B138" s="184"/>
      <c r="C138" s="181"/>
      <c r="D138" s="181"/>
      <c r="E138" s="180" t="str">
        <f>IF('Rel.Conjunts-Sistemes'!B138="","",IF(COUNTIF(ConjuntsDades,'Rel.Conjunts-Sistemes'!B138)&gt;0,"OK","Conjunt de dades erroni"))</f>
        <v/>
      </c>
      <c r="F138" s="180" t="str">
        <f>IF('Rel.Conjunts-Sistemes'!C138="","",IF(COUNTIF(Sistemes,'Rel.Conjunts-Sistemes'!C138)&gt;0,"OK","Conjunt de dades erroni"))</f>
        <v/>
      </c>
      <c r="G138" s="180" t="str">
        <f t="shared" si="2"/>
        <v/>
      </c>
    </row>
    <row r="139" spans="2:7" ht="14.4" x14ac:dyDescent="0.3">
      <c r="B139" s="184"/>
      <c r="C139" s="181"/>
      <c r="D139" s="181"/>
      <c r="E139" s="180" t="str">
        <f>IF('Rel.Conjunts-Sistemes'!B139="","",IF(COUNTIF(ConjuntsDades,'Rel.Conjunts-Sistemes'!B139)&gt;0,"OK","Conjunt de dades erroni"))</f>
        <v/>
      </c>
      <c r="F139" s="180" t="str">
        <f>IF('Rel.Conjunts-Sistemes'!C139="","",IF(COUNTIF(Sistemes,'Rel.Conjunts-Sistemes'!C139)&gt;0,"OK","Conjunt de dades erroni"))</f>
        <v/>
      </c>
      <c r="G139" s="180" t="str">
        <f t="shared" si="2"/>
        <v/>
      </c>
    </row>
    <row r="140" spans="2:7" ht="14.4" x14ac:dyDescent="0.3">
      <c r="B140" s="184"/>
      <c r="C140" s="181"/>
      <c r="D140" s="181"/>
      <c r="E140" s="180" t="str">
        <f>IF('Rel.Conjunts-Sistemes'!B140="","",IF(COUNTIF(ConjuntsDades,'Rel.Conjunts-Sistemes'!B140)&gt;0,"OK","Conjunt de dades erroni"))</f>
        <v/>
      </c>
      <c r="F140" s="180" t="str">
        <f>IF('Rel.Conjunts-Sistemes'!C140="","",IF(COUNTIF(Sistemes,'Rel.Conjunts-Sistemes'!C140)&gt;0,"OK","Conjunt de dades erroni"))</f>
        <v/>
      </c>
      <c r="G140" s="180" t="str">
        <f t="shared" si="2"/>
        <v/>
      </c>
    </row>
    <row r="141" spans="2:7" ht="14.4" x14ac:dyDescent="0.3">
      <c r="B141" s="184"/>
      <c r="C141" s="181"/>
      <c r="D141" s="181"/>
      <c r="E141" s="180" t="str">
        <f>IF('Rel.Conjunts-Sistemes'!B141="","",IF(COUNTIF(ConjuntsDades,'Rel.Conjunts-Sistemes'!B141)&gt;0,"OK","Conjunt de dades erroni"))</f>
        <v/>
      </c>
      <c r="F141" s="180" t="str">
        <f>IF('Rel.Conjunts-Sistemes'!C141="","",IF(COUNTIF(Sistemes,'Rel.Conjunts-Sistemes'!C141)&gt;0,"OK","Conjunt de dades erroni"))</f>
        <v/>
      </c>
      <c r="G141" s="180" t="str">
        <f t="shared" si="2"/>
        <v/>
      </c>
    </row>
    <row r="142" spans="2:7" ht="14.4" x14ac:dyDescent="0.3">
      <c r="B142" s="184"/>
      <c r="C142" s="181"/>
      <c r="D142" s="181"/>
      <c r="E142" s="180" t="str">
        <f>IF('Rel.Conjunts-Sistemes'!B142="","",IF(COUNTIF(ConjuntsDades,'Rel.Conjunts-Sistemes'!B142)&gt;0,"OK","Conjunt de dades erroni"))</f>
        <v/>
      </c>
      <c r="F142" s="180" t="str">
        <f>IF('Rel.Conjunts-Sistemes'!C142="","",IF(COUNTIF(Sistemes,'Rel.Conjunts-Sistemes'!C142)&gt;0,"OK","Conjunt de dades erroni"))</f>
        <v/>
      </c>
      <c r="G142" s="180" t="str">
        <f t="shared" si="2"/>
        <v/>
      </c>
    </row>
    <row r="143" spans="2:7" ht="14.4" x14ac:dyDescent="0.3">
      <c r="B143" s="184"/>
      <c r="C143" s="181"/>
      <c r="D143" s="181"/>
      <c r="E143" s="180" t="str">
        <f>IF('Rel.Conjunts-Sistemes'!B143="","",IF(COUNTIF(ConjuntsDades,'Rel.Conjunts-Sistemes'!B143)&gt;0,"OK","Conjunt de dades erroni"))</f>
        <v/>
      </c>
      <c r="F143" s="180" t="str">
        <f>IF('Rel.Conjunts-Sistemes'!C143="","",IF(COUNTIF(Sistemes,'Rel.Conjunts-Sistemes'!C143)&gt;0,"OK","Conjunt de dades erroni"))</f>
        <v/>
      </c>
      <c r="G143" s="180" t="str">
        <f t="shared" si="2"/>
        <v/>
      </c>
    </row>
    <row r="144" spans="2:7" ht="14.4" x14ac:dyDescent="0.3">
      <c r="B144" s="184"/>
      <c r="C144" s="181"/>
      <c r="D144" s="181"/>
      <c r="E144" s="180" t="str">
        <f>IF('Rel.Conjunts-Sistemes'!B144="","",IF(COUNTIF(ConjuntsDades,'Rel.Conjunts-Sistemes'!B144)&gt;0,"OK","Conjunt de dades erroni"))</f>
        <v/>
      </c>
      <c r="F144" s="180" t="str">
        <f>IF('Rel.Conjunts-Sistemes'!C144="","",IF(COUNTIF(Sistemes,'Rel.Conjunts-Sistemes'!C144)&gt;0,"OK","Conjunt de dades erroni"))</f>
        <v/>
      </c>
      <c r="G144" s="180" t="str">
        <f t="shared" si="2"/>
        <v/>
      </c>
    </row>
    <row r="145" spans="2:7" ht="14.4" x14ac:dyDescent="0.3">
      <c r="B145" s="184"/>
      <c r="C145" s="181"/>
      <c r="D145" s="181"/>
      <c r="E145" s="180" t="str">
        <f>IF('Rel.Conjunts-Sistemes'!B145="","",IF(COUNTIF(ConjuntsDades,'Rel.Conjunts-Sistemes'!B145)&gt;0,"OK","Conjunt de dades erroni"))</f>
        <v/>
      </c>
      <c r="F145" s="180" t="str">
        <f>IF('Rel.Conjunts-Sistemes'!C145="","",IF(COUNTIF(Sistemes,'Rel.Conjunts-Sistemes'!C145)&gt;0,"OK","Conjunt de dades erroni"))</f>
        <v/>
      </c>
      <c r="G145" s="180" t="str">
        <f t="shared" si="2"/>
        <v/>
      </c>
    </row>
    <row r="146" spans="2:7" ht="14.4" x14ac:dyDescent="0.3">
      <c r="B146" s="184"/>
      <c r="C146" s="181"/>
      <c r="D146" s="181"/>
      <c r="E146" s="180" t="str">
        <f>IF('Rel.Conjunts-Sistemes'!B146="","",IF(COUNTIF(ConjuntsDades,'Rel.Conjunts-Sistemes'!B146)&gt;0,"OK","Conjunt de dades erroni"))</f>
        <v/>
      </c>
      <c r="F146" s="180" t="str">
        <f>IF('Rel.Conjunts-Sistemes'!C146="","",IF(COUNTIF(Sistemes,'Rel.Conjunts-Sistemes'!C146)&gt;0,"OK","Conjunt de dades erroni"))</f>
        <v/>
      </c>
      <c r="G146" s="180" t="str">
        <f t="shared" si="2"/>
        <v/>
      </c>
    </row>
    <row r="147" spans="2:7" ht="14.4" x14ac:dyDescent="0.3">
      <c r="B147" s="184"/>
      <c r="C147" s="181"/>
      <c r="D147" s="181"/>
      <c r="E147" s="180" t="str">
        <f>IF('Rel.Conjunts-Sistemes'!B147="","",IF(COUNTIF(ConjuntsDades,'Rel.Conjunts-Sistemes'!B147)&gt;0,"OK","Conjunt de dades erroni"))</f>
        <v/>
      </c>
      <c r="F147" s="180" t="str">
        <f>IF('Rel.Conjunts-Sistemes'!C147="","",IF(COUNTIF(Sistemes,'Rel.Conjunts-Sistemes'!C147)&gt;0,"OK","Conjunt de dades erroni"))</f>
        <v/>
      </c>
      <c r="G147" s="180" t="str">
        <f t="shared" si="2"/>
        <v/>
      </c>
    </row>
    <row r="148" spans="2:7" ht="14.4" x14ac:dyDescent="0.3">
      <c r="B148" s="184"/>
      <c r="C148" s="181"/>
      <c r="D148" s="181"/>
      <c r="E148" s="180" t="str">
        <f>IF('Rel.Conjunts-Sistemes'!B148="","",IF(COUNTIF(ConjuntsDades,'Rel.Conjunts-Sistemes'!B148)&gt;0,"OK","Conjunt de dades erroni"))</f>
        <v/>
      </c>
      <c r="F148" s="180" t="str">
        <f>IF('Rel.Conjunts-Sistemes'!C148="","",IF(COUNTIF(Sistemes,'Rel.Conjunts-Sistemes'!C148)&gt;0,"OK","Conjunt de dades erroni"))</f>
        <v/>
      </c>
      <c r="G148" s="180" t="str">
        <f t="shared" si="2"/>
        <v/>
      </c>
    </row>
    <row r="149" spans="2:7" ht="14.4" x14ac:dyDescent="0.3">
      <c r="B149" s="184"/>
      <c r="C149" s="181"/>
      <c r="D149" s="181"/>
      <c r="E149" s="180" t="str">
        <f>IF('Rel.Conjunts-Sistemes'!B149="","",IF(COUNTIF(ConjuntsDades,'Rel.Conjunts-Sistemes'!B149)&gt;0,"OK","Conjunt de dades erroni"))</f>
        <v/>
      </c>
      <c r="F149" s="180" t="str">
        <f>IF('Rel.Conjunts-Sistemes'!C149="","",IF(COUNTIF(Sistemes,'Rel.Conjunts-Sistemes'!C149)&gt;0,"OK","Conjunt de dades erroni"))</f>
        <v/>
      </c>
      <c r="G149" s="180" t="str">
        <f t="shared" si="2"/>
        <v/>
      </c>
    </row>
    <row r="150" spans="2:7" ht="14.4" x14ac:dyDescent="0.3">
      <c r="B150" s="184"/>
      <c r="C150" s="181"/>
      <c r="D150" s="181"/>
      <c r="E150" s="180" t="str">
        <f>IF('Rel.Conjunts-Sistemes'!B150="","",IF(COUNTIF(ConjuntsDades,'Rel.Conjunts-Sistemes'!B150)&gt;0,"OK","Conjunt de dades erroni"))</f>
        <v/>
      </c>
      <c r="F150" s="180" t="str">
        <f>IF('Rel.Conjunts-Sistemes'!C150="","",IF(COUNTIF(Sistemes,'Rel.Conjunts-Sistemes'!C150)&gt;0,"OK","Conjunt de dades erroni"))</f>
        <v/>
      </c>
      <c r="G150" s="180" t="str">
        <f t="shared" si="2"/>
        <v/>
      </c>
    </row>
    <row r="151" spans="2:7" ht="14.4" x14ac:dyDescent="0.3">
      <c r="B151" s="184"/>
      <c r="C151" s="181"/>
      <c r="D151" s="181"/>
      <c r="E151" s="180" t="str">
        <f>IF('Rel.Conjunts-Sistemes'!B151="","",IF(COUNTIF(ConjuntsDades,'Rel.Conjunts-Sistemes'!B151)&gt;0,"OK","Conjunt de dades erroni"))</f>
        <v/>
      </c>
      <c r="F151" s="180" t="str">
        <f>IF('Rel.Conjunts-Sistemes'!C151="","",IF(COUNTIF(Sistemes,'Rel.Conjunts-Sistemes'!C151)&gt;0,"OK","Conjunt de dades erroni"))</f>
        <v/>
      </c>
      <c r="G151" s="180" t="str">
        <f t="shared" si="2"/>
        <v/>
      </c>
    </row>
    <row r="152" spans="2:7" ht="14.4" x14ac:dyDescent="0.3">
      <c r="B152" s="184"/>
      <c r="C152" s="181"/>
      <c r="D152" s="181"/>
      <c r="E152" s="180" t="str">
        <f>IF('Rel.Conjunts-Sistemes'!B152="","",IF(COUNTIF(ConjuntsDades,'Rel.Conjunts-Sistemes'!B152)&gt;0,"OK","Conjunt de dades erroni"))</f>
        <v/>
      </c>
      <c r="F152" s="180" t="str">
        <f>IF('Rel.Conjunts-Sistemes'!C152="","",IF(COUNTIF(Sistemes,'Rel.Conjunts-Sistemes'!C152)&gt;0,"OK","Conjunt de dades erroni"))</f>
        <v/>
      </c>
      <c r="G152" s="180" t="str">
        <f t="shared" si="2"/>
        <v/>
      </c>
    </row>
    <row r="153" spans="2:7" ht="14.4" x14ac:dyDescent="0.3">
      <c r="B153" s="184"/>
      <c r="C153" s="181"/>
      <c r="D153" s="181"/>
      <c r="E153" s="180" t="str">
        <f>IF('Rel.Conjunts-Sistemes'!B153="","",IF(COUNTIF(ConjuntsDades,'Rel.Conjunts-Sistemes'!B153)&gt;0,"OK","Conjunt de dades erroni"))</f>
        <v/>
      </c>
      <c r="F153" s="180" t="str">
        <f>IF('Rel.Conjunts-Sistemes'!C153="","",IF(COUNTIF(Sistemes,'Rel.Conjunts-Sistemes'!C153)&gt;0,"OK","Conjunt de dades erroni"))</f>
        <v/>
      </c>
      <c r="G153" s="180" t="str">
        <f t="shared" si="2"/>
        <v/>
      </c>
    </row>
    <row r="154" spans="2:7" ht="14.4" x14ac:dyDescent="0.3">
      <c r="B154" s="184"/>
      <c r="C154" s="181"/>
      <c r="D154" s="181"/>
      <c r="E154" s="180" t="str">
        <f>IF('Rel.Conjunts-Sistemes'!B154="","",IF(COUNTIF(ConjuntsDades,'Rel.Conjunts-Sistemes'!B154)&gt;0,"OK","Conjunt de dades erroni"))</f>
        <v/>
      </c>
      <c r="F154" s="180" t="str">
        <f>IF('Rel.Conjunts-Sistemes'!C154="","",IF(COUNTIF(Sistemes,'Rel.Conjunts-Sistemes'!C154)&gt;0,"OK","Conjunt de dades erroni"))</f>
        <v/>
      </c>
      <c r="G154" s="180" t="str">
        <f t="shared" si="2"/>
        <v/>
      </c>
    </row>
    <row r="155" spans="2:7" ht="14.4" x14ac:dyDescent="0.3">
      <c r="B155" s="184"/>
      <c r="C155" s="181"/>
      <c r="D155" s="181"/>
      <c r="E155" s="180" t="str">
        <f>IF('Rel.Conjunts-Sistemes'!B155="","",IF(COUNTIF(ConjuntsDades,'Rel.Conjunts-Sistemes'!B155)&gt;0,"OK","Conjunt de dades erroni"))</f>
        <v/>
      </c>
      <c r="F155" s="180" t="str">
        <f>IF('Rel.Conjunts-Sistemes'!C155="","",IF(COUNTIF(Sistemes,'Rel.Conjunts-Sistemes'!C155)&gt;0,"OK","Conjunt de dades erroni"))</f>
        <v/>
      </c>
      <c r="G155" s="180" t="str">
        <f t="shared" si="2"/>
        <v/>
      </c>
    </row>
    <row r="156" spans="2:7" ht="14.4" x14ac:dyDescent="0.3">
      <c r="B156" s="184"/>
      <c r="C156" s="181"/>
      <c r="D156" s="181"/>
      <c r="E156" s="180" t="str">
        <f>IF('Rel.Conjunts-Sistemes'!B156="","",IF(COUNTIF(ConjuntsDades,'Rel.Conjunts-Sistemes'!B156)&gt;0,"OK","Conjunt de dades erroni"))</f>
        <v/>
      </c>
      <c r="F156" s="180" t="str">
        <f>IF('Rel.Conjunts-Sistemes'!C156="","",IF(COUNTIF(Sistemes,'Rel.Conjunts-Sistemes'!C156)&gt;0,"OK","Conjunt de dades erroni"))</f>
        <v/>
      </c>
      <c r="G156" s="180" t="str">
        <f t="shared" si="2"/>
        <v/>
      </c>
    </row>
    <row r="157" spans="2:7" ht="14.4" x14ac:dyDescent="0.3">
      <c r="B157" s="184"/>
      <c r="C157" s="181"/>
      <c r="D157" s="181"/>
      <c r="E157" s="180" t="str">
        <f>IF('Rel.Conjunts-Sistemes'!B157="","",IF(COUNTIF(ConjuntsDades,'Rel.Conjunts-Sistemes'!B157)&gt;0,"OK","Conjunt de dades erroni"))</f>
        <v/>
      </c>
      <c r="F157" s="180" t="str">
        <f>IF('Rel.Conjunts-Sistemes'!C157="","",IF(COUNTIF(Sistemes,'Rel.Conjunts-Sistemes'!C157)&gt;0,"OK","Conjunt de dades erroni"))</f>
        <v/>
      </c>
      <c r="G157" s="180" t="str">
        <f t="shared" si="2"/>
        <v/>
      </c>
    </row>
    <row r="158" spans="2:7" ht="14.4" x14ac:dyDescent="0.3">
      <c r="B158" s="184"/>
      <c r="C158" s="181"/>
      <c r="D158" s="181"/>
      <c r="E158" s="180" t="str">
        <f>IF('Rel.Conjunts-Sistemes'!B158="","",IF(COUNTIF(ConjuntsDades,'Rel.Conjunts-Sistemes'!B158)&gt;0,"OK","Conjunt de dades erroni"))</f>
        <v/>
      </c>
      <c r="F158" s="180" t="str">
        <f>IF('Rel.Conjunts-Sistemes'!C158="","",IF(COUNTIF(Sistemes,'Rel.Conjunts-Sistemes'!C158)&gt;0,"OK","Conjunt de dades erroni"))</f>
        <v/>
      </c>
      <c r="G158" s="180" t="str">
        <f t="shared" si="2"/>
        <v/>
      </c>
    </row>
    <row r="159" spans="2:7" ht="14.4" x14ac:dyDescent="0.3">
      <c r="B159" s="184"/>
      <c r="C159" s="181"/>
      <c r="D159" s="181"/>
      <c r="E159" s="180" t="str">
        <f>IF('Rel.Conjunts-Sistemes'!B159="","",IF(COUNTIF(ConjuntsDades,'Rel.Conjunts-Sistemes'!B159)&gt;0,"OK","Conjunt de dades erroni"))</f>
        <v/>
      </c>
      <c r="F159" s="180" t="str">
        <f>IF('Rel.Conjunts-Sistemes'!C159="","",IF(COUNTIF(Sistemes,'Rel.Conjunts-Sistemes'!C159)&gt;0,"OK","Conjunt de dades erroni"))</f>
        <v/>
      </c>
      <c r="G159" s="180" t="str">
        <f t="shared" si="2"/>
        <v/>
      </c>
    </row>
    <row r="160" spans="2:7" ht="14.4" x14ac:dyDescent="0.3">
      <c r="B160" s="184"/>
      <c r="C160" s="181"/>
      <c r="D160" s="181"/>
      <c r="E160" s="180" t="str">
        <f>IF('Rel.Conjunts-Sistemes'!B160="","",IF(COUNTIF(ConjuntsDades,'Rel.Conjunts-Sistemes'!B160)&gt;0,"OK","Conjunt de dades erroni"))</f>
        <v/>
      </c>
      <c r="F160" s="180" t="str">
        <f>IF('Rel.Conjunts-Sistemes'!C160="","",IF(COUNTIF(Sistemes,'Rel.Conjunts-Sistemes'!C160)&gt;0,"OK","Conjunt de dades erroni"))</f>
        <v/>
      </c>
      <c r="G160" s="180" t="str">
        <f t="shared" si="2"/>
        <v/>
      </c>
    </row>
    <row r="161" spans="2:7" ht="14.4" x14ac:dyDescent="0.3">
      <c r="B161" s="184"/>
      <c r="C161" s="181"/>
      <c r="D161" s="181"/>
      <c r="E161" s="180" t="str">
        <f>IF('Rel.Conjunts-Sistemes'!B161="","",IF(COUNTIF(ConjuntsDades,'Rel.Conjunts-Sistemes'!B161)&gt;0,"OK","Conjunt de dades erroni"))</f>
        <v/>
      </c>
      <c r="F161" s="180" t="str">
        <f>IF('Rel.Conjunts-Sistemes'!C161="","",IF(COUNTIF(Sistemes,'Rel.Conjunts-Sistemes'!C161)&gt;0,"OK","Conjunt de dades erroni"))</f>
        <v/>
      </c>
      <c r="G161" s="180" t="str">
        <f t="shared" si="2"/>
        <v/>
      </c>
    </row>
    <row r="162" spans="2:7" ht="14.4" x14ac:dyDescent="0.3">
      <c r="B162" s="184"/>
      <c r="C162" s="181"/>
      <c r="D162" s="181"/>
      <c r="E162" s="180" t="str">
        <f>IF('Rel.Conjunts-Sistemes'!B162="","",IF(COUNTIF(ConjuntsDades,'Rel.Conjunts-Sistemes'!B162)&gt;0,"OK","Conjunt de dades erroni"))</f>
        <v/>
      </c>
      <c r="F162" s="180" t="str">
        <f>IF('Rel.Conjunts-Sistemes'!C162="","",IF(COUNTIF(Sistemes,'Rel.Conjunts-Sistemes'!C162)&gt;0,"OK","Conjunt de dades erroni"))</f>
        <v/>
      </c>
      <c r="G162" s="180" t="str">
        <f t="shared" si="2"/>
        <v/>
      </c>
    </row>
    <row r="163" spans="2:7" ht="14.4" x14ac:dyDescent="0.3">
      <c r="B163" s="184"/>
      <c r="C163" s="181"/>
      <c r="D163" s="181"/>
      <c r="E163" s="180" t="str">
        <f>IF('Rel.Conjunts-Sistemes'!B163="","",IF(COUNTIF(ConjuntsDades,'Rel.Conjunts-Sistemes'!B163)&gt;0,"OK","Conjunt de dades erroni"))</f>
        <v/>
      </c>
      <c r="F163" s="180" t="str">
        <f>IF('Rel.Conjunts-Sistemes'!C163="","",IF(COUNTIF(Sistemes,'Rel.Conjunts-Sistemes'!C163)&gt;0,"OK","Conjunt de dades erroni"))</f>
        <v/>
      </c>
      <c r="G163" s="180" t="str">
        <f t="shared" si="2"/>
        <v/>
      </c>
    </row>
    <row r="164" spans="2:7" ht="14.4" x14ac:dyDescent="0.3">
      <c r="B164" s="184"/>
      <c r="C164" s="181"/>
      <c r="D164" s="181"/>
      <c r="E164" s="180" t="str">
        <f>IF('Rel.Conjunts-Sistemes'!B164="","",IF(COUNTIF(ConjuntsDades,'Rel.Conjunts-Sistemes'!B164)&gt;0,"OK","Conjunt de dades erroni"))</f>
        <v/>
      </c>
      <c r="F164" s="180" t="str">
        <f>IF('Rel.Conjunts-Sistemes'!C164="","",IF(COUNTIF(Sistemes,'Rel.Conjunts-Sistemes'!C164)&gt;0,"OK","Conjunt de dades erroni"))</f>
        <v/>
      </c>
      <c r="G164" s="180" t="str">
        <f t="shared" si="2"/>
        <v/>
      </c>
    </row>
    <row r="165" spans="2:7" ht="14.4" x14ac:dyDescent="0.3">
      <c r="B165" s="184"/>
      <c r="C165" s="181"/>
      <c r="D165" s="181"/>
      <c r="E165" s="180" t="str">
        <f>IF('Rel.Conjunts-Sistemes'!B165="","",IF(COUNTIF(ConjuntsDades,'Rel.Conjunts-Sistemes'!B165)&gt;0,"OK","Conjunt de dades erroni"))</f>
        <v/>
      </c>
      <c r="F165" s="180" t="str">
        <f>IF('Rel.Conjunts-Sistemes'!C165="","",IF(COUNTIF(Sistemes,'Rel.Conjunts-Sistemes'!C165)&gt;0,"OK","Conjunt de dades erroni"))</f>
        <v/>
      </c>
      <c r="G165" s="180" t="str">
        <f t="shared" si="2"/>
        <v/>
      </c>
    </row>
    <row r="166" spans="2:7" ht="14.4" x14ac:dyDescent="0.3">
      <c r="B166" s="184"/>
      <c r="C166" s="181"/>
      <c r="D166" s="181"/>
      <c r="E166" s="180" t="str">
        <f>IF('Rel.Conjunts-Sistemes'!B166="","",IF(COUNTIF(ConjuntsDades,'Rel.Conjunts-Sistemes'!B166)&gt;0,"OK","Conjunt de dades erroni"))</f>
        <v/>
      </c>
      <c r="F166" s="180" t="str">
        <f>IF('Rel.Conjunts-Sistemes'!C166="","",IF(COUNTIF(Sistemes,'Rel.Conjunts-Sistemes'!C166)&gt;0,"OK","Conjunt de dades erroni"))</f>
        <v/>
      </c>
      <c r="G166" s="180" t="str">
        <f t="shared" si="2"/>
        <v/>
      </c>
    </row>
    <row r="167" spans="2:7" ht="14.4" x14ac:dyDescent="0.3">
      <c r="B167" s="184"/>
      <c r="C167" s="181"/>
      <c r="D167" s="181"/>
      <c r="E167" s="180" t="str">
        <f>IF('Rel.Conjunts-Sistemes'!B167="","",IF(COUNTIF(ConjuntsDades,'Rel.Conjunts-Sistemes'!B167)&gt;0,"OK","Conjunt de dades erroni"))</f>
        <v/>
      </c>
      <c r="F167" s="180" t="str">
        <f>IF('Rel.Conjunts-Sistemes'!C167="","",IF(COUNTIF(Sistemes,'Rel.Conjunts-Sistemes'!C167)&gt;0,"OK","Conjunt de dades erroni"))</f>
        <v/>
      </c>
      <c r="G167" s="180" t="str">
        <f t="shared" si="2"/>
        <v/>
      </c>
    </row>
    <row r="168" spans="2:7" ht="14.4" x14ac:dyDescent="0.3">
      <c r="B168" s="184"/>
      <c r="C168" s="181"/>
      <c r="D168" s="181"/>
      <c r="E168" s="180" t="str">
        <f>IF('Rel.Conjunts-Sistemes'!B168="","",IF(COUNTIF(ConjuntsDades,'Rel.Conjunts-Sistemes'!B168)&gt;0,"OK","Conjunt de dades erroni"))</f>
        <v/>
      </c>
      <c r="F168" s="180" t="str">
        <f>IF('Rel.Conjunts-Sistemes'!C168="","",IF(COUNTIF(Sistemes,'Rel.Conjunts-Sistemes'!C168)&gt;0,"OK","Conjunt de dades erroni"))</f>
        <v/>
      </c>
      <c r="G168" s="180" t="str">
        <f t="shared" si="2"/>
        <v/>
      </c>
    </row>
    <row r="169" spans="2:7" ht="14.4" x14ac:dyDescent="0.3">
      <c r="B169" s="184"/>
      <c r="C169" s="181"/>
      <c r="D169" s="181"/>
      <c r="E169" s="180" t="str">
        <f>IF('Rel.Conjunts-Sistemes'!B169="","",IF(COUNTIF(ConjuntsDades,'Rel.Conjunts-Sistemes'!B169)&gt;0,"OK","Conjunt de dades erroni"))</f>
        <v/>
      </c>
      <c r="F169" s="180" t="str">
        <f>IF('Rel.Conjunts-Sistemes'!C169="","",IF(COUNTIF(Sistemes,'Rel.Conjunts-Sistemes'!C169)&gt;0,"OK","Conjunt de dades erroni"))</f>
        <v/>
      </c>
      <c r="G169" s="180" t="str">
        <f t="shared" si="2"/>
        <v/>
      </c>
    </row>
    <row r="170" spans="2:7" ht="14.4" x14ac:dyDescent="0.3">
      <c r="B170" s="184"/>
      <c r="C170" s="181"/>
      <c r="D170" s="181"/>
      <c r="E170" s="180" t="str">
        <f>IF('Rel.Conjunts-Sistemes'!B170="","",IF(COUNTIF(ConjuntsDades,'Rel.Conjunts-Sistemes'!B170)&gt;0,"OK","Conjunt de dades erroni"))</f>
        <v/>
      </c>
      <c r="F170" s="180" t="str">
        <f>IF('Rel.Conjunts-Sistemes'!C170="","",IF(COUNTIF(Sistemes,'Rel.Conjunts-Sistemes'!C170)&gt;0,"OK","Conjunt de dades erroni"))</f>
        <v/>
      </c>
      <c r="G170" s="180" t="str">
        <f t="shared" si="2"/>
        <v/>
      </c>
    </row>
    <row r="171" spans="2:7" ht="14.4" x14ac:dyDescent="0.3">
      <c r="B171" s="184"/>
      <c r="C171" s="181"/>
      <c r="D171" s="181"/>
      <c r="E171" s="180" t="str">
        <f>IF('Rel.Conjunts-Sistemes'!B171="","",IF(COUNTIF(ConjuntsDades,'Rel.Conjunts-Sistemes'!B171)&gt;0,"OK","Conjunt de dades erroni"))</f>
        <v/>
      </c>
      <c r="F171" s="180" t="str">
        <f>IF('Rel.Conjunts-Sistemes'!C171="","",IF(COUNTIF(Sistemes,'Rel.Conjunts-Sistemes'!C171)&gt;0,"OK","Conjunt de dades erroni"))</f>
        <v/>
      </c>
      <c r="G171" s="180" t="str">
        <f t="shared" si="2"/>
        <v/>
      </c>
    </row>
    <row r="172" spans="2:7" ht="14.4" x14ac:dyDescent="0.3">
      <c r="B172" s="184"/>
      <c r="C172" s="181"/>
      <c r="D172" s="181"/>
      <c r="E172" s="180" t="str">
        <f>IF('Rel.Conjunts-Sistemes'!B172="","",IF(COUNTIF(ConjuntsDades,'Rel.Conjunts-Sistemes'!B172)&gt;0,"OK","Conjunt de dades erroni"))</f>
        <v/>
      </c>
      <c r="F172" s="180" t="str">
        <f>IF('Rel.Conjunts-Sistemes'!C172="","",IF(COUNTIF(Sistemes,'Rel.Conjunts-Sistemes'!C172)&gt;0,"OK","Conjunt de dades erroni"))</f>
        <v/>
      </c>
      <c r="G172" s="180" t="str">
        <f t="shared" si="2"/>
        <v/>
      </c>
    </row>
    <row r="173" spans="2:7" ht="14.4" x14ac:dyDescent="0.3">
      <c r="B173" s="184"/>
      <c r="C173" s="181"/>
      <c r="D173" s="181"/>
      <c r="E173" s="180" t="str">
        <f>IF('Rel.Conjunts-Sistemes'!B173="","",IF(COUNTIF(ConjuntsDades,'Rel.Conjunts-Sistemes'!B173)&gt;0,"OK","Conjunt de dades erroni"))</f>
        <v/>
      </c>
      <c r="F173" s="180" t="str">
        <f>IF('Rel.Conjunts-Sistemes'!C173="","",IF(COUNTIF(Sistemes,'Rel.Conjunts-Sistemes'!C173)&gt;0,"OK","Conjunt de dades erroni"))</f>
        <v/>
      </c>
      <c r="G173" s="180" t="str">
        <f t="shared" si="2"/>
        <v/>
      </c>
    </row>
    <row r="174" spans="2:7" ht="14.4" x14ac:dyDescent="0.3">
      <c r="B174" s="184"/>
      <c r="C174" s="181"/>
      <c r="D174" s="181"/>
      <c r="E174" s="180" t="str">
        <f>IF('Rel.Conjunts-Sistemes'!B174="","",IF(COUNTIF(ConjuntsDades,'Rel.Conjunts-Sistemes'!B174)&gt;0,"OK","Conjunt de dades erroni"))</f>
        <v/>
      </c>
      <c r="F174" s="180" t="str">
        <f>IF('Rel.Conjunts-Sistemes'!C174="","",IF(COUNTIF(Sistemes,'Rel.Conjunts-Sistemes'!C174)&gt;0,"OK","Conjunt de dades erroni"))</f>
        <v/>
      </c>
      <c r="G174" s="180" t="str">
        <f t="shared" si="2"/>
        <v/>
      </c>
    </row>
    <row r="175" spans="2:7" ht="14.4" x14ac:dyDescent="0.3">
      <c r="B175" s="184"/>
      <c r="C175" s="181"/>
      <c r="D175" s="181"/>
      <c r="E175" s="180" t="str">
        <f>IF('Rel.Conjunts-Sistemes'!B175="","",IF(COUNTIF(ConjuntsDades,'Rel.Conjunts-Sistemes'!B175)&gt;0,"OK","Conjunt de dades erroni"))</f>
        <v/>
      </c>
      <c r="F175" s="180" t="str">
        <f>IF('Rel.Conjunts-Sistemes'!C175="","",IF(COUNTIF(Sistemes,'Rel.Conjunts-Sistemes'!C175)&gt;0,"OK","Conjunt de dades erroni"))</f>
        <v/>
      </c>
      <c r="G175" s="180" t="str">
        <f t="shared" si="2"/>
        <v/>
      </c>
    </row>
    <row r="176" spans="2:7" ht="14.4" x14ac:dyDescent="0.3">
      <c r="B176" s="184"/>
      <c r="C176" s="181"/>
      <c r="D176" s="181"/>
      <c r="E176" s="180" t="str">
        <f>IF('Rel.Conjunts-Sistemes'!B176="","",IF(COUNTIF(ConjuntsDades,'Rel.Conjunts-Sistemes'!B176)&gt;0,"OK","Conjunt de dades erroni"))</f>
        <v/>
      </c>
      <c r="F176" s="180" t="str">
        <f>IF('Rel.Conjunts-Sistemes'!C176="","",IF(COUNTIF(Sistemes,'Rel.Conjunts-Sistemes'!C176)&gt;0,"OK","Conjunt de dades erroni"))</f>
        <v/>
      </c>
      <c r="G176" s="180" t="str">
        <f t="shared" si="2"/>
        <v/>
      </c>
    </row>
    <row r="177" spans="2:7" ht="14.4" x14ac:dyDescent="0.3">
      <c r="B177" s="184"/>
      <c r="C177" s="181"/>
      <c r="D177" s="181"/>
      <c r="E177" s="180" t="str">
        <f>IF('Rel.Conjunts-Sistemes'!B177="","",IF(COUNTIF(ConjuntsDades,'Rel.Conjunts-Sistemes'!B177)&gt;0,"OK","Conjunt de dades erroni"))</f>
        <v/>
      </c>
      <c r="F177" s="180" t="str">
        <f>IF('Rel.Conjunts-Sistemes'!C177="","",IF(COUNTIF(Sistemes,'Rel.Conjunts-Sistemes'!C177)&gt;0,"OK","Conjunt de dades erroni"))</f>
        <v/>
      </c>
      <c r="G177" s="180" t="str">
        <f t="shared" si="2"/>
        <v/>
      </c>
    </row>
    <row r="178" spans="2:7" ht="14.4" x14ac:dyDescent="0.3">
      <c r="B178" s="184"/>
      <c r="C178" s="181"/>
      <c r="D178" s="181"/>
      <c r="E178" s="180" t="str">
        <f>IF('Rel.Conjunts-Sistemes'!B178="","",IF(COUNTIF(ConjuntsDades,'Rel.Conjunts-Sistemes'!B178)&gt;0,"OK","Conjunt de dades erroni"))</f>
        <v/>
      </c>
      <c r="F178" s="180" t="str">
        <f>IF('Rel.Conjunts-Sistemes'!C178="","",IF(COUNTIF(Sistemes,'Rel.Conjunts-Sistemes'!C178)&gt;0,"OK","Conjunt de dades erroni"))</f>
        <v/>
      </c>
      <c r="G178" s="180" t="str">
        <f t="shared" si="2"/>
        <v/>
      </c>
    </row>
    <row r="179" spans="2:7" ht="14.4" x14ac:dyDescent="0.3">
      <c r="B179" s="184"/>
      <c r="C179" s="181"/>
      <c r="D179" s="181"/>
      <c r="E179" s="180" t="str">
        <f>IF('Rel.Conjunts-Sistemes'!B179="","",IF(COUNTIF(ConjuntsDades,'Rel.Conjunts-Sistemes'!B179)&gt;0,"OK","Conjunt de dades erroni"))</f>
        <v/>
      </c>
      <c r="F179" s="180" t="str">
        <f>IF('Rel.Conjunts-Sistemes'!C179="","",IF(COUNTIF(Sistemes,'Rel.Conjunts-Sistemes'!C179)&gt;0,"OK","Conjunt de dades erroni"))</f>
        <v/>
      </c>
      <c r="G179" s="180" t="str">
        <f t="shared" si="2"/>
        <v/>
      </c>
    </row>
    <row r="180" spans="2:7" ht="14.4" x14ac:dyDescent="0.3">
      <c r="B180" s="184"/>
      <c r="C180" s="181"/>
      <c r="D180" s="181"/>
      <c r="E180" s="180" t="str">
        <f>IF('Rel.Conjunts-Sistemes'!B180="","",IF(COUNTIF(ConjuntsDades,'Rel.Conjunts-Sistemes'!B180)&gt;0,"OK","Conjunt de dades erroni"))</f>
        <v/>
      </c>
      <c r="F180" s="180" t="str">
        <f>IF('Rel.Conjunts-Sistemes'!C180="","",IF(COUNTIF(Sistemes,'Rel.Conjunts-Sistemes'!C180)&gt;0,"OK","Conjunt de dades erroni"))</f>
        <v/>
      </c>
      <c r="G180" s="180" t="str">
        <f t="shared" si="2"/>
        <v/>
      </c>
    </row>
    <row r="181" spans="2:7" ht="14.4" x14ac:dyDescent="0.3">
      <c r="B181" s="184"/>
      <c r="C181" s="181"/>
      <c r="D181" s="181"/>
      <c r="E181" s="180" t="str">
        <f>IF('Rel.Conjunts-Sistemes'!B181="","",IF(COUNTIF(ConjuntsDades,'Rel.Conjunts-Sistemes'!B181)&gt;0,"OK","Conjunt de dades erroni"))</f>
        <v/>
      </c>
      <c r="F181" s="180" t="str">
        <f>IF('Rel.Conjunts-Sistemes'!C181="","",IF(COUNTIF(Sistemes,'Rel.Conjunts-Sistemes'!C181)&gt;0,"OK","Conjunt de dades erroni"))</f>
        <v/>
      </c>
      <c r="G181" s="180" t="str">
        <f t="shared" si="2"/>
        <v/>
      </c>
    </row>
    <row r="182" spans="2:7" ht="14.4" x14ac:dyDescent="0.3">
      <c r="B182" s="184"/>
      <c r="C182" s="181"/>
      <c r="D182" s="181"/>
      <c r="E182" s="180" t="str">
        <f>IF('Rel.Conjunts-Sistemes'!B182="","",IF(COUNTIF(ConjuntsDades,'Rel.Conjunts-Sistemes'!B182)&gt;0,"OK","Conjunt de dades erroni"))</f>
        <v/>
      </c>
      <c r="F182" s="180" t="str">
        <f>IF('Rel.Conjunts-Sistemes'!C182="","",IF(COUNTIF(Sistemes,'Rel.Conjunts-Sistemes'!C182)&gt;0,"OK","Conjunt de dades erroni"))</f>
        <v/>
      </c>
      <c r="G182" s="180" t="str">
        <f t="shared" si="2"/>
        <v/>
      </c>
    </row>
    <row r="183" spans="2:7" ht="14.4" x14ac:dyDescent="0.3">
      <c r="B183" s="184"/>
      <c r="C183" s="181"/>
      <c r="D183" s="181"/>
      <c r="E183" s="180" t="str">
        <f>IF('Rel.Conjunts-Sistemes'!B183="","",IF(COUNTIF(ConjuntsDades,'Rel.Conjunts-Sistemes'!B183)&gt;0,"OK","Conjunt de dades erroni"))</f>
        <v/>
      </c>
      <c r="F183" s="180" t="str">
        <f>IF('Rel.Conjunts-Sistemes'!C183="","",IF(COUNTIF(Sistemes,'Rel.Conjunts-Sistemes'!C183)&gt;0,"OK","Conjunt de dades erroni"))</f>
        <v/>
      </c>
      <c r="G183" s="180" t="str">
        <f t="shared" si="2"/>
        <v/>
      </c>
    </row>
    <row r="184" spans="2:7" ht="14.4" x14ac:dyDescent="0.3">
      <c r="B184" s="184"/>
      <c r="C184" s="181"/>
      <c r="D184" s="181"/>
      <c r="E184" s="180" t="str">
        <f>IF('Rel.Conjunts-Sistemes'!B184="","",IF(COUNTIF(ConjuntsDades,'Rel.Conjunts-Sistemes'!B184)&gt;0,"OK","Conjunt de dades erroni"))</f>
        <v/>
      </c>
      <c r="F184" s="180" t="str">
        <f>IF('Rel.Conjunts-Sistemes'!C184="","",IF(COUNTIF(Sistemes,'Rel.Conjunts-Sistemes'!C184)&gt;0,"OK","Conjunt de dades erroni"))</f>
        <v/>
      </c>
      <c r="G184" s="180" t="str">
        <f t="shared" si="2"/>
        <v/>
      </c>
    </row>
    <row r="185" spans="2:7" ht="14.4" x14ac:dyDescent="0.3">
      <c r="B185" s="184"/>
      <c r="C185" s="181"/>
      <c r="D185" s="181"/>
      <c r="E185" s="180" t="str">
        <f>IF('Rel.Conjunts-Sistemes'!B185="","",IF(COUNTIF(ConjuntsDades,'Rel.Conjunts-Sistemes'!B185)&gt;0,"OK","Conjunt de dades erroni"))</f>
        <v/>
      </c>
      <c r="F185" s="180" t="str">
        <f>IF('Rel.Conjunts-Sistemes'!C185="","",IF(COUNTIF(Sistemes,'Rel.Conjunts-Sistemes'!C185)&gt;0,"OK","Conjunt de dades erroni"))</f>
        <v/>
      </c>
      <c r="G185" s="180" t="str">
        <f t="shared" si="2"/>
        <v/>
      </c>
    </row>
    <row r="186" spans="2:7" ht="14.4" x14ac:dyDescent="0.3">
      <c r="B186" s="184"/>
      <c r="C186" s="181"/>
      <c r="D186" s="181"/>
      <c r="E186" s="180" t="str">
        <f>IF('Rel.Conjunts-Sistemes'!B186="","",IF(COUNTIF(ConjuntsDades,'Rel.Conjunts-Sistemes'!B186)&gt;0,"OK","Conjunt de dades erroni"))</f>
        <v/>
      </c>
      <c r="F186" s="180" t="str">
        <f>IF('Rel.Conjunts-Sistemes'!C186="","",IF(COUNTIF(Sistemes,'Rel.Conjunts-Sistemes'!C186)&gt;0,"OK","Conjunt de dades erroni"))</f>
        <v/>
      </c>
      <c r="G186" s="180" t="str">
        <f t="shared" si="2"/>
        <v/>
      </c>
    </row>
    <row r="187" spans="2:7" ht="14.4" x14ac:dyDescent="0.3">
      <c r="B187" s="184"/>
      <c r="C187" s="181"/>
      <c r="D187" s="181"/>
      <c r="E187" s="180" t="str">
        <f>IF('Rel.Conjunts-Sistemes'!B187="","",IF(COUNTIF(ConjuntsDades,'Rel.Conjunts-Sistemes'!B187)&gt;0,"OK","Conjunt de dades erroni"))</f>
        <v/>
      </c>
      <c r="F187" s="180" t="str">
        <f>IF('Rel.Conjunts-Sistemes'!C187="","",IF(COUNTIF(Sistemes,'Rel.Conjunts-Sistemes'!C187)&gt;0,"OK","Conjunt de dades erroni"))</f>
        <v/>
      </c>
      <c r="G187" s="180" t="str">
        <f t="shared" si="2"/>
        <v/>
      </c>
    </row>
    <row r="188" spans="2:7" ht="14.4" x14ac:dyDescent="0.3">
      <c r="B188" s="184"/>
      <c r="C188" s="181"/>
      <c r="D188" s="181"/>
      <c r="E188" s="180" t="str">
        <f>IF('Rel.Conjunts-Sistemes'!B188="","",IF(COUNTIF(ConjuntsDades,'Rel.Conjunts-Sistemes'!B188)&gt;0,"OK","Conjunt de dades erroni"))</f>
        <v/>
      </c>
      <c r="F188" s="180" t="str">
        <f>IF('Rel.Conjunts-Sistemes'!C188="","",IF(COUNTIF(Sistemes,'Rel.Conjunts-Sistemes'!C188)&gt;0,"OK","Conjunt de dades erroni"))</f>
        <v/>
      </c>
      <c r="G188" s="180" t="str">
        <f t="shared" si="2"/>
        <v/>
      </c>
    </row>
    <row r="189" spans="2:7" ht="14.4" x14ac:dyDescent="0.3">
      <c r="B189" s="184"/>
      <c r="C189" s="181"/>
      <c r="D189" s="181"/>
      <c r="E189" s="180" t="str">
        <f>IF('Rel.Conjunts-Sistemes'!B189="","",IF(COUNTIF(ConjuntsDades,'Rel.Conjunts-Sistemes'!B189)&gt;0,"OK","Conjunt de dades erroni"))</f>
        <v/>
      </c>
      <c r="F189" s="180" t="str">
        <f>IF('Rel.Conjunts-Sistemes'!C189="","",IF(COUNTIF(Sistemes,'Rel.Conjunts-Sistemes'!C189)&gt;0,"OK","Conjunt de dades erroni"))</f>
        <v/>
      </c>
      <c r="G189" s="180" t="str">
        <f t="shared" si="2"/>
        <v/>
      </c>
    </row>
    <row r="190" spans="2:7" ht="14.4" x14ac:dyDescent="0.3">
      <c r="B190" s="184"/>
      <c r="C190" s="181"/>
      <c r="D190" s="181"/>
      <c r="E190" s="180" t="str">
        <f>IF('Rel.Conjunts-Sistemes'!B190="","",IF(COUNTIF(ConjuntsDades,'Rel.Conjunts-Sistemes'!B190)&gt;0,"OK","Conjunt de dades erroni"))</f>
        <v/>
      </c>
      <c r="F190" s="180" t="str">
        <f>IF('Rel.Conjunts-Sistemes'!C190="","",IF(COUNTIF(Sistemes,'Rel.Conjunts-Sistemes'!C190)&gt;0,"OK","Conjunt de dades erroni"))</f>
        <v/>
      </c>
      <c r="G190" s="180" t="str">
        <f t="shared" si="2"/>
        <v/>
      </c>
    </row>
    <row r="191" spans="2:7" ht="14.4" x14ac:dyDescent="0.3">
      <c r="B191" s="184"/>
      <c r="C191" s="181"/>
      <c r="D191" s="181"/>
      <c r="E191" s="180" t="str">
        <f>IF('Rel.Conjunts-Sistemes'!B191="","",IF(COUNTIF(ConjuntsDades,'Rel.Conjunts-Sistemes'!B191)&gt;0,"OK","Conjunt de dades erroni"))</f>
        <v/>
      </c>
      <c r="F191" s="180" t="str">
        <f>IF('Rel.Conjunts-Sistemes'!C191="","",IF(COUNTIF(Sistemes,'Rel.Conjunts-Sistemes'!C191)&gt;0,"OK","Conjunt de dades erroni"))</f>
        <v/>
      </c>
      <c r="G191" s="180" t="str">
        <f t="shared" si="2"/>
        <v/>
      </c>
    </row>
    <row r="192" spans="2:7" ht="14.4" x14ac:dyDescent="0.3">
      <c r="B192" s="184"/>
      <c r="C192" s="181"/>
      <c r="D192" s="181"/>
      <c r="E192" s="180" t="str">
        <f>IF('Rel.Conjunts-Sistemes'!B192="","",IF(COUNTIF(ConjuntsDades,'Rel.Conjunts-Sistemes'!B192)&gt;0,"OK","Conjunt de dades erroni"))</f>
        <v/>
      </c>
      <c r="F192" s="180" t="str">
        <f>IF('Rel.Conjunts-Sistemes'!C192="","",IF(COUNTIF(Sistemes,'Rel.Conjunts-Sistemes'!C192)&gt;0,"OK","Conjunt de dades erroni"))</f>
        <v/>
      </c>
      <c r="G192" s="180" t="str">
        <f t="shared" si="2"/>
        <v/>
      </c>
    </row>
    <row r="193" spans="2:7" ht="14.4" x14ac:dyDescent="0.3">
      <c r="B193" s="184"/>
      <c r="C193" s="181"/>
      <c r="D193" s="181"/>
      <c r="E193" s="180" t="str">
        <f>IF('Rel.Conjunts-Sistemes'!B193="","",IF(COUNTIF(ConjuntsDades,'Rel.Conjunts-Sistemes'!B193)&gt;0,"OK","Conjunt de dades erroni"))</f>
        <v/>
      </c>
      <c r="F193" s="180" t="str">
        <f>IF('Rel.Conjunts-Sistemes'!C193="","",IF(COUNTIF(Sistemes,'Rel.Conjunts-Sistemes'!C193)&gt;0,"OK","Conjunt de dades erroni"))</f>
        <v/>
      </c>
      <c r="G193" s="180" t="str">
        <f t="shared" ref="G193:G200" si="3">IF(AND(E193="",F193=""),"",IF(AND(E193="OK",F193="OK"),"OK","Error"))</f>
        <v/>
      </c>
    </row>
    <row r="194" spans="2:7" ht="14.4" x14ac:dyDescent="0.3">
      <c r="B194" s="184"/>
      <c r="C194" s="181"/>
      <c r="D194" s="181"/>
      <c r="E194" s="180" t="str">
        <f>IF('Rel.Conjunts-Sistemes'!B194="","",IF(COUNTIF(ConjuntsDades,'Rel.Conjunts-Sistemes'!B194)&gt;0,"OK","Conjunt de dades erroni"))</f>
        <v/>
      </c>
      <c r="F194" s="180" t="str">
        <f>IF('Rel.Conjunts-Sistemes'!C194="","",IF(COUNTIF(Sistemes,'Rel.Conjunts-Sistemes'!C194)&gt;0,"OK","Conjunt de dades erroni"))</f>
        <v/>
      </c>
      <c r="G194" s="180" t="str">
        <f t="shared" si="3"/>
        <v/>
      </c>
    </row>
    <row r="195" spans="2:7" ht="14.4" x14ac:dyDescent="0.3">
      <c r="B195" s="184"/>
      <c r="C195" s="181"/>
      <c r="D195" s="181"/>
      <c r="E195" s="180" t="str">
        <f>IF('Rel.Conjunts-Sistemes'!B195="","",IF(COUNTIF(ConjuntsDades,'Rel.Conjunts-Sistemes'!B195)&gt;0,"OK","Conjunt de dades erroni"))</f>
        <v/>
      </c>
      <c r="F195" s="180" t="str">
        <f>IF('Rel.Conjunts-Sistemes'!C195="","",IF(COUNTIF(Sistemes,'Rel.Conjunts-Sistemes'!C195)&gt;0,"OK","Conjunt de dades erroni"))</f>
        <v/>
      </c>
      <c r="G195" s="180" t="str">
        <f t="shared" si="3"/>
        <v/>
      </c>
    </row>
    <row r="196" spans="2:7" ht="14.4" x14ac:dyDescent="0.3">
      <c r="B196" s="184"/>
      <c r="C196" s="181"/>
      <c r="D196" s="181"/>
      <c r="E196" s="180" t="str">
        <f>IF('Rel.Conjunts-Sistemes'!B196="","",IF(COUNTIF(ConjuntsDades,'Rel.Conjunts-Sistemes'!B196)&gt;0,"OK","Conjunt de dades erroni"))</f>
        <v/>
      </c>
      <c r="F196" s="180" t="str">
        <f>IF('Rel.Conjunts-Sistemes'!C196="","",IF(COUNTIF(Sistemes,'Rel.Conjunts-Sistemes'!C196)&gt;0,"OK","Conjunt de dades erroni"))</f>
        <v/>
      </c>
      <c r="G196" s="180" t="str">
        <f t="shared" si="3"/>
        <v/>
      </c>
    </row>
    <row r="197" spans="2:7" ht="14.4" x14ac:dyDescent="0.3">
      <c r="B197" s="184"/>
      <c r="C197" s="181"/>
      <c r="D197" s="181"/>
      <c r="E197" s="180" t="str">
        <f>IF('Rel.Conjunts-Sistemes'!B197="","",IF(COUNTIF(ConjuntsDades,'Rel.Conjunts-Sistemes'!B197)&gt;0,"OK","Conjunt de dades erroni"))</f>
        <v/>
      </c>
      <c r="F197" s="180" t="str">
        <f>IF('Rel.Conjunts-Sistemes'!C197="","",IF(COUNTIF(Sistemes,'Rel.Conjunts-Sistemes'!C197)&gt;0,"OK","Conjunt de dades erroni"))</f>
        <v/>
      </c>
      <c r="G197" s="180" t="str">
        <f t="shared" si="3"/>
        <v/>
      </c>
    </row>
    <row r="198" spans="2:7" ht="14.4" x14ac:dyDescent="0.3">
      <c r="B198" s="184"/>
      <c r="C198" s="181"/>
      <c r="D198" s="181"/>
      <c r="E198" s="180" t="str">
        <f>IF('Rel.Conjunts-Sistemes'!B198="","",IF(COUNTIF(ConjuntsDades,'Rel.Conjunts-Sistemes'!B198)&gt;0,"OK","Conjunt de dades erroni"))</f>
        <v/>
      </c>
      <c r="F198" s="180" t="str">
        <f>IF('Rel.Conjunts-Sistemes'!C198="","",IF(COUNTIF(Sistemes,'Rel.Conjunts-Sistemes'!C198)&gt;0,"OK","Conjunt de dades erroni"))</f>
        <v/>
      </c>
      <c r="G198" s="180" t="str">
        <f t="shared" si="3"/>
        <v/>
      </c>
    </row>
    <row r="199" spans="2:7" ht="14.4" x14ac:dyDescent="0.3">
      <c r="B199" s="184"/>
      <c r="C199" s="181"/>
      <c r="D199" s="181"/>
      <c r="E199" s="180" t="str">
        <f>IF('Rel.Conjunts-Sistemes'!B199="","",IF(COUNTIF(ConjuntsDades,'Rel.Conjunts-Sistemes'!B199)&gt;0,"OK","Conjunt de dades erroni"))</f>
        <v/>
      </c>
      <c r="F199" s="180" t="str">
        <f>IF('Rel.Conjunts-Sistemes'!C199="","",IF(COUNTIF(Sistemes,'Rel.Conjunts-Sistemes'!C199)&gt;0,"OK","Conjunt de dades erroni"))</f>
        <v/>
      </c>
      <c r="G199" s="180" t="str">
        <f t="shared" si="3"/>
        <v/>
      </c>
    </row>
    <row r="200" spans="2:7" ht="14.4" x14ac:dyDescent="0.3">
      <c r="B200" s="184"/>
      <c r="C200" s="181"/>
      <c r="D200" s="181"/>
      <c r="E200" s="180" t="str">
        <f>IF('Rel.Conjunts-Sistemes'!B200="","",IF(COUNTIF(ConjuntsDades,'Rel.Conjunts-Sistemes'!B200)&gt;0,"OK","Conjunt de dades erroni"))</f>
        <v/>
      </c>
      <c r="F200" s="180" t="str">
        <f>IF('Rel.Conjunts-Sistemes'!C200="","",IF(COUNTIF(Sistemes,'Rel.Conjunts-Sistemes'!C200)&gt;0,"OK","Conjunt de dades erroni"))</f>
        <v/>
      </c>
      <c r="G200" s="180" t="str">
        <f t="shared" si="3"/>
        <v/>
      </c>
    </row>
  </sheetData>
  <sheetProtection formatCells="0" formatColumns="0" formatRows="0" insertColumns="0" insertRows="0" insertHyperlinks="0" deleteColumns="0" deleteRows="0" sort="0" autoFilter="0" pivotTables="0"/>
  <dataValidations count="3">
    <dataValidation type="list" allowBlank="1" showInputMessage="1" showErrorMessage="1" sqref="D67:D68" xr:uid="{B019EAD9-559A-4532-85DD-07B48FA7AD8D}">
      <formula1>Atribut</formula1>
    </dataValidation>
    <dataValidation type="list" allowBlank="1" showInputMessage="1" showErrorMessage="1" sqref="B9:B200" xr:uid="{AC24EDCE-090A-4A0B-A1C7-6DD58C31223D}">
      <formula1>LlistaConjunts</formula1>
    </dataValidation>
    <dataValidation type="list" allowBlank="1" showInputMessage="1" showErrorMessage="1" sqref="C9:C200" xr:uid="{5F7A77DE-1C8F-480D-8D42-161938172FE2}">
      <formula1>LlistaSistemes</formula1>
    </dataValidation>
  </dataValidations>
  <pageMargins left="0.7" right="0.7" top="0.75" bottom="0.75" header="0.3" footer="0.3"/>
  <headerFooter>
    <oddFooter>&amp;L_x000D_&amp;1#&amp;"Calibri"&amp;9&amp;KCF022B C2 – Uso Restringit</oddFooter>
  </headerFooter>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99E3A0-F2F3-46B7-8389-25CA0CBE80E6}">
  <dimension ref="A1:O52"/>
  <sheetViews>
    <sheetView zoomScale="115" zoomScaleNormal="115" workbookViewId="0">
      <pane ySplit="5" topLeftCell="A6" activePane="bottomLeft" state="frozen"/>
      <selection pane="bottomLeft" activeCell="B2" sqref="B2"/>
    </sheetView>
  </sheetViews>
  <sheetFormatPr baseColWidth="10" defaultColWidth="11.44140625" defaultRowHeight="14.4" x14ac:dyDescent="0.3"/>
  <cols>
    <col min="1" max="1" width="1.5546875" customWidth="1"/>
    <col min="3" max="3" width="4.5546875" style="42" customWidth="1"/>
    <col min="4" max="4" width="41.5546875" style="209" customWidth="1"/>
    <col min="5" max="5" width="9" style="97" customWidth="1"/>
    <col min="6" max="6" width="34.5546875" style="215" customWidth="1"/>
    <col min="8" max="15" width="11.5546875" style="4"/>
  </cols>
  <sheetData>
    <row r="1" spans="1:15" s="13" customFormat="1" ht="13.8" x14ac:dyDescent="0.3">
      <c r="A1" s="12"/>
      <c r="B1" s="12"/>
      <c r="C1" s="23"/>
      <c r="D1" s="14"/>
      <c r="E1" s="14"/>
      <c r="F1" s="54"/>
      <c r="H1" s="15"/>
      <c r="I1" s="16"/>
    </row>
    <row r="2" spans="1:15" s="13" customFormat="1" ht="13.8" x14ac:dyDescent="0.3">
      <c r="A2" s="12"/>
      <c r="B2" s="12"/>
      <c r="C2" s="23"/>
      <c r="D2" s="14"/>
      <c r="E2" s="14"/>
      <c r="F2" s="54"/>
      <c r="H2" s="15"/>
      <c r="I2" s="16"/>
    </row>
    <row r="3" spans="1:15" s="13" customFormat="1" ht="13.8" x14ac:dyDescent="0.3">
      <c r="A3" s="12"/>
      <c r="B3" s="12"/>
      <c r="C3" s="23"/>
      <c r="D3" s="14"/>
      <c r="E3" s="14"/>
      <c r="F3" s="54"/>
      <c r="H3" s="15"/>
      <c r="I3" s="16"/>
    </row>
    <row r="4" spans="1:15" s="13" customFormat="1" ht="13.8" x14ac:dyDescent="0.3">
      <c r="A4" s="12"/>
      <c r="B4" s="12"/>
      <c r="C4" s="23"/>
      <c r="D4" s="14"/>
      <c r="E4" s="14"/>
      <c r="F4" s="54"/>
      <c r="H4" s="15"/>
      <c r="I4" s="16"/>
    </row>
    <row r="5" spans="1:15" s="20" customFormat="1" ht="24" thickBot="1" x14ac:dyDescent="0.5">
      <c r="B5" s="21" t="s">
        <v>220</v>
      </c>
      <c r="C5" s="21"/>
      <c r="D5" s="196"/>
      <c r="E5" s="21"/>
      <c r="F5" s="211"/>
      <c r="G5" s="21"/>
      <c r="H5" s="22"/>
      <c r="I5" s="22"/>
      <c r="J5" s="21"/>
      <c r="K5" s="21"/>
      <c r="L5" s="21"/>
      <c r="M5" s="21"/>
      <c r="N5" s="21"/>
      <c r="O5" s="21"/>
    </row>
    <row r="6" spans="1:15" s="20" customFormat="1" ht="24" thickTop="1" x14ac:dyDescent="0.45">
      <c r="B6" s="38"/>
      <c r="C6" s="36"/>
      <c r="D6" s="197"/>
      <c r="E6" s="36"/>
      <c r="F6" s="212"/>
      <c r="G6" s="36"/>
      <c r="H6" s="37"/>
      <c r="I6" s="37"/>
      <c r="J6" s="36"/>
      <c r="K6" s="36"/>
      <c r="L6" s="36"/>
      <c r="M6" s="36"/>
      <c r="N6" s="36"/>
      <c r="O6" s="36"/>
    </row>
    <row r="7" spans="1:15" ht="15.6" x14ac:dyDescent="0.3">
      <c r="B7" s="4"/>
      <c r="C7" s="195" t="s">
        <v>225</v>
      </c>
      <c r="D7" s="198"/>
      <c r="E7" s="199"/>
      <c r="F7" s="213"/>
      <c r="G7" s="4"/>
    </row>
    <row r="8" spans="1:15" x14ac:dyDescent="0.3">
      <c r="B8" s="4"/>
      <c r="C8" s="43"/>
      <c r="D8" s="200" t="s">
        <v>226</v>
      </c>
      <c r="E8" s="201">
        <f>COUNTA(Sistemes)</f>
        <v>40</v>
      </c>
      <c r="F8" s="213"/>
      <c r="G8" s="4"/>
    </row>
    <row r="9" spans="1:15" ht="24" x14ac:dyDescent="0.3">
      <c r="B9" s="4"/>
      <c r="C9" s="43"/>
      <c r="D9" s="200" t="s">
        <v>222</v>
      </c>
      <c r="E9" s="202">
        <f>AVERAGE(Sistemes!C7:N7)</f>
        <v>0.17500000000000002</v>
      </c>
      <c r="F9" s="214" t="str">
        <f>IF(E9&lt;0.9,"Falta un "&amp;INT((1-E9)*1000)/10&amp;"% de la informació descriptiva dels sistemes de dades identificats","")</f>
        <v>Falta un 82,5% de la informació descriptiva dels sistemes de dades identificats</v>
      </c>
      <c r="G9" s="4"/>
    </row>
    <row r="10" spans="1:15" ht="24" x14ac:dyDescent="0.3">
      <c r="B10" s="4"/>
      <c r="C10" s="43"/>
      <c r="D10" s="200" t="s">
        <v>957</v>
      </c>
      <c r="E10" s="203">
        <f>E11/E8</f>
        <v>0.1</v>
      </c>
      <c r="F10" s="214" t="str">
        <f>IF(E8&gt;E11,"Hi ha "&amp;E8-E11&amp;" sistemes sense cap Conjunt de dades identificat")</f>
        <v>Hi ha 36 sistemes sense cap Conjunt de dades identificat</v>
      </c>
      <c r="G10" s="4"/>
    </row>
    <row r="11" spans="1:15" x14ac:dyDescent="0.3">
      <c r="B11" s="4"/>
      <c r="C11" s="43"/>
      <c r="D11" s="210" t="s">
        <v>414</v>
      </c>
      <c r="E11" s="204" cm="1">
        <f t="array" ref="E11">ROWS(_xlfn.UNIQUE(_xlfn._xlws.FILTER(Rel_Sistemes_Conjunts,ControlRelacions="OK")))</f>
        <v>4</v>
      </c>
      <c r="F11" s="213"/>
      <c r="G11" s="4"/>
    </row>
    <row r="12" spans="1:15" ht="28.8" x14ac:dyDescent="0.3">
      <c r="B12" s="4"/>
      <c r="C12" s="43"/>
      <c r="D12" s="210" t="s">
        <v>960</v>
      </c>
      <c r="E12" s="204">
        <f>E8-E11</f>
        <v>36</v>
      </c>
      <c r="F12" s="213"/>
      <c r="G12" s="4"/>
    </row>
    <row r="13" spans="1:15" x14ac:dyDescent="0.3">
      <c r="B13" s="4"/>
      <c r="C13" s="43"/>
      <c r="D13" s="198"/>
      <c r="E13" s="199"/>
      <c r="F13" s="213"/>
      <c r="G13" s="4"/>
    </row>
    <row r="14" spans="1:15" x14ac:dyDescent="0.3">
      <c r="B14" s="4"/>
      <c r="C14" s="43"/>
      <c r="D14" s="198"/>
      <c r="E14" s="199"/>
      <c r="F14" s="213"/>
      <c r="G14" s="4"/>
    </row>
    <row r="15" spans="1:15" ht="15.6" x14ac:dyDescent="0.3">
      <c r="B15" s="4"/>
      <c r="C15" s="195" t="s">
        <v>50</v>
      </c>
      <c r="D15" s="198"/>
      <c r="E15" s="199"/>
      <c r="F15" s="213"/>
      <c r="G15" s="4"/>
    </row>
    <row r="16" spans="1:15" x14ac:dyDescent="0.3">
      <c r="B16" s="4"/>
      <c r="C16" s="43"/>
      <c r="D16" s="200" t="s">
        <v>221</v>
      </c>
      <c r="E16" s="201">
        <f>COUNTA(Dominis)</f>
        <v>36</v>
      </c>
      <c r="F16" s="213"/>
      <c r="G16" s="4"/>
    </row>
    <row r="17" spans="2:7" x14ac:dyDescent="0.3">
      <c r="B17" s="4"/>
      <c r="C17" s="43"/>
      <c r="D17" s="200" t="s">
        <v>222</v>
      </c>
      <c r="E17" s="202">
        <f>AVERAGE('Dominis de dades'!C6:E6)</f>
        <v>0.97222222222222221</v>
      </c>
      <c r="F17" s="214" t="str">
        <f>IF(E17&lt;0.9,"Falta un "&amp;INT((1-E17)*1000)/10&amp;"% de la informació descriptiva dels dominis de dades identificats","")</f>
        <v/>
      </c>
      <c r="G17" s="4"/>
    </row>
    <row r="18" spans="2:7" ht="24" x14ac:dyDescent="0.3">
      <c r="B18" s="4"/>
      <c r="C18" s="43"/>
      <c r="D18" s="200" t="s">
        <v>958</v>
      </c>
      <c r="E18" s="202">
        <f>E19/E16</f>
        <v>0.80555555555555558</v>
      </c>
      <c r="F18" s="214" t="str">
        <f>IF(E16&gt;E19,"Hi ha "&amp;E16-E19&amp;" dominis de dades sense cap conjunt de dades identificat")</f>
        <v>Hi ha 7 dominis de dades sense cap conjunt de dades identificat</v>
      </c>
      <c r="G18" s="4"/>
    </row>
    <row r="19" spans="2:7" x14ac:dyDescent="0.3">
      <c r="B19" s="4"/>
      <c r="C19" s="43"/>
      <c r="D19" s="210" t="s">
        <v>223</v>
      </c>
      <c r="E19" s="204">
        <f>COUNTA(_xlfn.UNIQUE(Dominis_a_ConjuntsDades))-1</f>
        <v>29</v>
      </c>
      <c r="F19" s="214"/>
      <c r="G19" s="4"/>
    </row>
    <row r="20" spans="2:7" x14ac:dyDescent="0.3">
      <c r="B20" s="4"/>
      <c r="C20" s="43"/>
      <c r="D20" s="210" t="s">
        <v>416</v>
      </c>
      <c r="E20" s="204">
        <f>E16-E19</f>
        <v>7</v>
      </c>
      <c r="F20" s="214"/>
      <c r="G20" s="4"/>
    </row>
    <row r="21" spans="2:7" x14ac:dyDescent="0.3">
      <c r="B21" s="4"/>
      <c r="C21" s="43"/>
      <c r="D21" s="198"/>
      <c r="E21" s="205"/>
      <c r="F21" s="214"/>
      <c r="G21" s="4"/>
    </row>
    <row r="22" spans="2:7" x14ac:dyDescent="0.3">
      <c r="B22" s="4"/>
      <c r="C22" s="43"/>
      <c r="D22" s="198"/>
      <c r="E22" s="205"/>
      <c r="F22" s="214"/>
      <c r="G22" s="4"/>
    </row>
    <row r="23" spans="2:7" ht="15.6" x14ac:dyDescent="0.3">
      <c r="B23" s="4"/>
      <c r="C23" s="195" t="s">
        <v>143</v>
      </c>
      <c r="D23" s="198"/>
      <c r="E23" s="199"/>
      <c r="F23" s="213"/>
      <c r="G23" s="4"/>
    </row>
    <row r="24" spans="2:7" x14ac:dyDescent="0.3">
      <c r="B24" s="4"/>
      <c r="C24" s="43"/>
      <c r="D24" s="200" t="s">
        <v>415</v>
      </c>
      <c r="E24" s="201">
        <f>COUNTA(ConjuntsDades)</f>
        <v>111</v>
      </c>
      <c r="F24" s="213"/>
      <c r="G24" s="4"/>
    </row>
    <row r="25" spans="2:7" ht="24" x14ac:dyDescent="0.3">
      <c r="B25" s="4"/>
      <c r="C25" s="43"/>
      <c r="D25" s="200" t="s">
        <v>222</v>
      </c>
      <c r="E25" s="202">
        <f>AVERAGE('Conjunts de dades'!C6:AB6)</f>
        <v>0.11607761607761607</v>
      </c>
      <c r="F25" s="214" t="str">
        <f>IF(E25&lt;0.9,"Falta un "&amp;INT((1-E25)*1000)/10&amp;"% de la informació descriptiva dels conjunts de dades identificats")</f>
        <v>Falta un 88,3% de la informació descriptiva dels conjunts de dades identificats</v>
      </c>
      <c r="G25" s="4"/>
    </row>
    <row r="26" spans="2:7" ht="28.8" x14ac:dyDescent="0.3">
      <c r="B26" s="4"/>
      <c r="C26" s="43"/>
      <c r="D26" s="200" t="s">
        <v>963</v>
      </c>
      <c r="E26" s="202">
        <f>E27/E24</f>
        <v>6.3063063063063057E-2</v>
      </c>
      <c r="F26" s="214" t="str">
        <f>IF(E26&lt;0.9,"Hi ha un "&amp;INT((1-E26)*1000)/10&amp;"% de conjunts de dades no relacionades amb sistemes de dades")</f>
        <v>Hi ha un 93,6% de conjunts de dades no relacionades amb sistemes de dades</v>
      </c>
      <c r="G26" s="4"/>
    </row>
    <row r="27" spans="2:7" ht="28.8" x14ac:dyDescent="0.3">
      <c r="B27" s="4"/>
      <c r="C27" s="43"/>
      <c r="D27" s="200" t="s">
        <v>961</v>
      </c>
      <c r="E27" s="201">
        <f>COUNTIF('Rel.Conjunts-Sistemes'!G:G,"OK")</f>
        <v>7</v>
      </c>
      <c r="F27" s="213"/>
      <c r="G27" s="4"/>
    </row>
    <row r="28" spans="2:7" ht="28.8" x14ac:dyDescent="0.3">
      <c r="B28" s="4"/>
      <c r="C28" s="43"/>
      <c r="D28" s="210" t="s">
        <v>962</v>
      </c>
      <c r="E28" s="206">
        <f>COUNTIF('Rel.Conjunts-Sistemes'!G:G,"Error")</f>
        <v>96</v>
      </c>
      <c r="F28" s="214"/>
      <c r="G28" s="4"/>
    </row>
    <row r="29" spans="2:7" x14ac:dyDescent="0.3">
      <c r="B29" s="4"/>
      <c r="C29" s="43"/>
      <c r="D29" s="198"/>
      <c r="E29" s="199"/>
      <c r="F29" s="214"/>
      <c r="G29" s="4"/>
    </row>
    <row r="30" spans="2:7" x14ac:dyDescent="0.3">
      <c r="B30" s="80"/>
      <c r="C30" s="80"/>
      <c r="D30" s="207"/>
      <c r="E30" s="208"/>
      <c r="F30" s="207"/>
      <c r="G30" s="4"/>
    </row>
    <row r="31" spans="2:7" x14ac:dyDescent="0.3">
      <c r="B31" s="80"/>
      <c r="C31" s="80"/>
      <c r="D31" s="207"/>
      <c r="E31" s="208"/>
      <c r="F31" s="207"/>
      <c r="G31" s="4"/>
    </row>
    <row r="32" spans="2:7" x14ac:dyDescent="0.3">
      <c r="B32" s="80"/>
      <c r="C32" s="80"/>
      <c r="D32" s="207"/>
      <c r="E32" s="208"/>
      <c r="F32" s="207"/>
      <c r="G32" s="4"/>
    </row>
    <row r="33" spans="2:15" x14ac:dyDescent="0.3">
      <c r="B33" s="80"/>
      <c r="C33" s="80"/>
      <c r="D33" s="207"/>
      <c r="E33" s="208"/>
      <c r="F33" s="207"/>
      <c r="G33" s="4"/>
    </row>
    <row r="34" spans="2:15" s="79" customFormat="1" x14ac:dyDescent="0.3">
      <c r="B34" s="80"/>
      <c r="C34" s="80"/>
      <c r="D34" s="207"/>
      <c r="E34" s="208"/>
      <c r="F34" s="207"/>
      <c r="G34" s="80"/>
      <c r="H34" s="80"/>
      <c r="I34" s="80"/>
      <c r="J34" s="80"/>
      <c r="K34" s="80"/>
      <c r="L34" s="80"/>
      <c r="M34" s="80"/>
      <c r="N34" s="80"/>
      <c r="O34" s="80"/>
    </row>
    <row r="35" spans="2:15" s="79" customFormat="1" x14ac:dyDescent="0.3">
      <c r="B35" s="80"/>
      <c r="C35" s="80"/>
      <c r="D35" s="207"/>
      <c r="E35" s="208"/>
      <c r="F35" s="207"/>
      <c r="G35" s="80"/>
      <c r="H35" s="80"/>
      <c r="I35" s="80"/>
      <c r="J35" s="80"/>
      <c r="K35" s="80"/>
      <c r="L35" s="80"/>
      <c r="M35" s="80"/>
      <c r="N35" s="80"/>
      <c r="O35" s="80"/>
    </row>
    <row r="36" spans="2:15" x14ac:dyDescent="0.3">
      <c r="B36" s="80"/>
      <c r="C36" s="80"/>
      <c r="D36" s="207"/>
      <c r="E36" s="208"/>
      <c r="F36" s="207"/>
      <c r="G36" s="4"/>
      <c r="I36"/>
    </row>
    <row r="37" spans="2:15" x14ac:dyDescent="0.3">
      <c r="B37" s="80"/>
      <c r="C37" s="80"/>
      <c r="D37" s="207"/>
      <c r="E37" s="208"/>
      <c r="F37" s="207"/>
      <c r="G37" s="4"/>
      <c r="I37"/>
    </row>
    <row r="38" spans="2:15" s="79" customFormat="1" x14ac:dyDescent="0.3">
      <c r="B38" s="80"/>
      <c r="C38" s="80"/>
      <c r="D38" s="207"/>
      <c r="E38" s="208"/>
      <c r="F38" s="207"/>
      <c r="G38" s="80"/>
      <c r="H38" s="80"/>
      <c r="I38" s="80"/>
      <c r="J38" s="80"/>
      <c r="K38" s="80"/>
      <c r="L38" s="80"/>
      <c r="M38" s="80"/>
      <c r="N38" s="80"/>
      <c r="O38" s="80"/>
    </row>
    <row r="39" spans="2:15" s="79" customFormat="1" x14ac:dyDescent="0.3">
      <c r="B39" s="80"/>
      <c r="C39" s="80"/>
      <c r="D39" s="207"/>
      <c r="E39" s="208"/>
      <c r="F39" s="207"/>
      <c r="G39" s="80"/>
      <c r="H39" s="80"/>
      <c r="I39" s="80"/>
      <c r="J39" s="80"/>
      <c r="K39" s="80"/>
      <c r="L39" s="80"/>
      <c r="M39" s="80"/>
      <c r="N39" s="80"/>
      <c r="O39" s="80"/>
    </row>
    <row r="40" spans="2:15" s="79" customFormat="1" x14ac:dyDescent="0.3">
      <c r="B40" s="80"/>
      <c r="C40" s="80"/>
      <c r="D40" s="207"/>
      <c r="E40" s="208"/>
      <c r="F40" s="207"/>
      <c r="G40" s="80"/>
      <c r="H40" s="80"/>
      <c r="I40" s="80"/>
      <c r="J40" s="80"/>
      <c r="K40" s="80"/>
      <c r="L40" s="80"/>
      <c r="M40" s="80"/>
      <c r="N40" s="80"/>
      <c r="O40" s="80"/>
    </row>
    <row r="41" spans="2:15" s="79" customFormat="1" x14ac:dyDescent="0.3">
      <c r="B41" s="80"/>
      <c r="C41" s="80"/>
      <c r="D41" s="207"/>
      <c r="E41" s="208"/>
      <c r="F41" s="207"/>
      <c r="G41" s="80"/>
      <c r="H41" s="80"/>
      <c r="I41" s="80"/>
      <c r="J41" s="80"/>
      <c r="K41" s="80"/>
      <c r="L41" s="80"/>
      <c r="M41" s="80"/>
      <c r="N41" s="80"/>
      <c r="O41" s="80"/>
    </row>
    <row r="42" spans="2:15" s="79" customFormat="1" x14ac:dyDescent="0.3">
      <c r="B42" s="80"/>
      <c r="C42" s="80"/>
      <c r="D42" s="207"/>
      <c r="E42" s="208"/>
      <c r="F42" s="207"/>
      <c r="G42" s="80"/>
      <c r="H42" s="80"/>
      <c r="I42" s="80"/>
      <c r="J42" s="80"/>
      <c r="K42" s="80"/>
      <c r="L42" s="80"/>
      <c r="M42" s="80"/>
      <c r="N42" s="80"/>
      <c r="O42" s="80"/>
    </row>
    <row r="43" spans="2:15" s="79" customFormat="1" x14ac:dyDescent="0.3">
      <c r="B43" s="80"/>
      <c r="C43" s="80"/>
      <c r="D43" s="207"/>
      <c r="E43" s="208"/>
      <c r="F43" s="207"/>
      <c r="G43" s="80"/>
      <c r="H43" s="80"/>
      <c r="I43" s="80"/>
      <c r="J43" s="80"/>
      <c r="K43" s="80"/>
      <c r="L43" s="80"/>
      <c r="M43" s="80"/>
      <c r="N43" s="80"/>
      <c r="O43" s="80"/>
    </row>
    <row r="44" spans="2:15" s="79" customFormat="1" x14ac:dyDescent="0.3">
      <c r="B44" s="80"/>
      <c r="C44" s="80"/>
      <c r="D44" s="207"/>
      <c r="E44" s="208"/>
      <c r="F44" s="207"/>
      <c r="G44" s="80"/>
      <c r="H44" s="80"/>
      <c r="J44" s="80"/>
      <c r="K44" s="80"/>
      <c r="L44" s="80"/>
      <c r="M44" s="80"/>
      <c r="N44" s="80"/>
      <c r="O44" s="80"/>
    </row>
    <row r="45" spans="2:15" s="79" customFormat="1" x14ac:dyDescent="0.3">
      <c r="B45" s="80"/>
      <c r="C45" s="80"/>
      <c r="D45" s="207"/>
      <c r="E45" s="208"/>
      <c r="F45" s="207"/>
      <c r="G45" s="80"/>
      <c r="H45" s="80"/>
      <c r="J45" s="80"/>
      <c r="K45" s="80"/>
      <c r="L45" s="80"/>
      <c r="M45" s="80"/>
      <c r="N45" s="80"/>
      <c r="O45" s="80"/>
    </row>
    <row r="46" spans="2:15" s="79" customFormat="1" x14ac:dyDescent="0.3">
      <c r="B46" s="80"/>
      <c r="C46" s="80"/>
      <c r="D46" s="207"/>
      <c r="E46" s="208"/>
      <c r="F46" s="207"/>
      <c r="G46" s="80"/>
      <c r="H46" s="80"/>
      <c r="J46" s="80"/>
      <c r="K46" s="80"/>
      <c r="L46" s="80"/>
      <c r="M46" s="80"/>
      <c r="N46" s="80"/>
      <c r="O46" s="80"/>
    </row>
    <row r="47" spans="2:15" s="79" customFormat="1" x14ac:dyDescent="0.3">
      <c r="B47" s="80"/>
      <c r="C47" s="80"/>
      <c r="D47" s="207"/>
      <c r="E47" s="208"/>
      <c r="F47" s="207"/>
      <c r="G47" s="80"/>
      <c r="H47" s="80"/>
      <c r="J47" s="80"/>
      <c r="K47" s="80"/>
      <c r="L47" s="80"/>
      <c r="M47" s="80"/>
      <c r="N47" s="80"/>
      <c r="O47" s="80"/>
    </row>
    <row r="48" spans="2:15" s="79" customFormat="1" x14ac:dyDescent="0.3">
      <c r="B48" s="80"/>
      <c r="C48" s="80"/>
      <c r="D48" s="207"/>
      <c r="E48" s="208"/>
      <c r="F48" s="207"/>
      <c r="G48" s="80"/>
      <c r="H48" s="80"/>
      <c r="J48" s="80"/>
      <c r="K48" s="80"/>
      <c r="L48" s="80"/>
      <c r="M48" s="80"/>
      <c r="N48" s="80"/>
      <c r="O48" s="80"/>
    </row>
    <row r="49" spans="2:15" s="79" customFormat="1" x14ac:dyDescent="0.3">
      <c r="B49" s="80"/>
      <c r="C49" s="80"/>
      <c r="D49" s="207"/>
      <c r="E49" s="208"/>
      <c r="F49" s="207"/>
      <c r="G49" s="80"/>
      <c r="H49" s="80"/>
      <c r="J49" s="80"/>
      <c r="K49" s="80"/>
      <c r="L49" s="80"/>
      <c r="M49" s="80"/>
      <c r="N49" s="80"/>
      <c r="O49" s="80"/>
    </row>
    <row r="50" spans="2:15" x14ac:dyDescent="0.3">
      <c r="B50" s="4"/>
      <c r="C50" s="4"/>
      <c r="D50" s="198"/>
      <c r="E50" s="199"/>
      <c r="F50" s="198"/>
      <c r="G50" s="4"/>
    </row>
    <row r="51" spans="2:15" x14ac:dyDescent="0.3">
      <c r="C51"/>
      <c r="F51" s="209"/>
    </row>
    <row r="52" spans="2:15" x14ac:dyDescent="0.3">
      <c r="C52"/>
      <c r="F52" s="209"/>
    </row>
  </sheetData>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45C348-C002-477B-8645-C4345BAC0AEC}">
  <dimension ref="A1:E168"/>
  <sheetViews>
    <sheetView tabSelected="1" zoomScale="85" zoomScaleNormal="85" workbookViewId="0">
      <pane ySplit="4" topLeftCell="A19" activePane="bottomLeft" state="frozen"/>
      <selection activeCell="N1" sqref="N1:N9"/>
      <selection pane="bottomLeft" activeCell="C58" sqref="C58"/>
    </sheetView>
  </sheetViews>
  <sheetFormatPr baseColWidth="10" defaultColWidth="11.44140625" defaultRowHeight="14.4" x14ac:dyDescent="0.3"/>
  <cols>
    <col min="1" max="1" width="2.5546875" style="4" customWidth="1"/>
    <col min="2" max="2" width="30.5546875" style="84" customWidth="1"/>
    <col min="3" max="3" width="85.5546875" style="62" customWidth="1"/>
    <col min="4" max="4" width="17.44140625" style="62" customWidth="1"/>
    <col min="5" max="5" width="9.5546875" style="70" customWidth="1"/>
    <col min="8" max="8" width="25.33203125" customWidth="1"/>
    <col min="9" max="9" width="102" customWidth="1"/>
  </cols>
  <sheetData>
    <row r="1" spans="1:5" s="13" customFormat="1" ht="13.8" x14ac:dyDescent="0.3">
      <c r="A1" s="12"/>
      <c r="B1" s="81"/>
      <c r="C1" s="90"/>
      <c r="D1" s="91"/>
      <c r="E1" s="14"/>
    </row>
    <row r="2" spans="1:5" s="13" customFormat="1" ht="13.8" x14ac:dyDescent="0.3">
      <c r="A2" s="12"/>
      <c r="B2" s="81"/>
      <c r="C2" s="90"/>
      <c r="D2" s="91"/>
      <c r="E2" s="14"/>
    </row>
    <row r="3" spans="1:5" s="13" customFormat="1" ht="28.8" customHeight="1" x14ac:dyDescent="0.3">
      <c r="A3" s="12"/>
      <c r="B3" s="81"/>
      <c r="C3" s="90"/>
      <c r="D3" s="91"/>
      <c r="E3" s="14"/>
    </row>
    <row r="4" spans="1:5" s="20" customFormat="1" ht="24" thickBot="1" x14ac:dyDescent="0.5">
      <c r="B4" s="82" t="s">
        <v>227</v>
      </c>
      <c r="C4" s="82"/>
      <c r="D4" s="82"/>
      <c r="E4" s="21"/>
    </row>
    <row r="5" spans="1:5" s="4" customFormat="1" ht="26.4" thickTop="1" x14ac:dyDescent="0.3">
      <c r="B5" s="73"/>
      <c r="C5" s="73"/>
      <c r="D5" s="73"/>
      <c r="E5" s="70"/>
    </row>
    <row r="6" spans="1:5" s="4" customFormat="1" ht="25.8" x14ac:dyDescent="0.3">
      <c r="B6" s="73"/>
      <c r="C6" s="73"/>
      <c r="D6" s="73"/>
      <c r="E6" s="70"/>
    </row>
    <row r="7" spans="1:5" s="4" customFormat="1" ht="21" x14ac:dyDescent="0.3">
      <c r="B7" s="83" t="s">
        <v>328</v>
      </c>
      <c r="C7" s="92"/>
      <c r="D7" s="64" t="s">
        <v>228</v>
      </c>
      <c r="E7" s="70"/>
    </row>
    <row r="8" spans="1:5" s="4" customFormat="1" ht="28.8" x14ac:dyDescent="0.3">
      <c r="B8" s="111" t="s">
        <v>2</v>
      </c>
      <c r="C8" s="110" t="s">
        <v>229</v>
      </c>
      <c r="D8" s="93" t="s">
        <v>215</v>
      </c>
      <c r="E8" s="70"/>
    </row>
    <row r="9" spans="1:5" s="4" customFormat="1" ht="28.8" x14ac:dyDescent="0.3">
      <c r="B9" s="111" t="s">
        <v>3</v>
      </c>
      <c r="C9" s="110" t="s">
        <v>521</v>
      </c>
      <c r="D9" s="93" t="s">
        <v>215</v>
      </c>
      <c r="E9" s="70"/>
    </row>
    <row r="10" spans="1:5" ht="28.8" x14ac:dyDescent="0.3">
      <c r="B10" s="111" t="s">
        <v>4</v>
      </c>
      <c r="C10" s="110" t="s">
        <v>421</v>
      </c>
      <c r="D10" s="93" t="s">
        <v>215</v>
      </c>
      <c r="E10" s="68"/>
    </row>
    <row r="11" spans="1:5" ht="28.8" x14ac:dyDescent="0.3">
      <c r="B11" s="111" t="s">
        <v>184</v>
      </c>
      <c r="C11" s="110" t="s">
        <v>422</v>
      </c>
      <c r="D11" s="93" t="s">
        <v>215</v>
      </c>
      <c r="E11" s="68"/>
    </row>
    <row r="12" spans="1:5" ht="144" x14ac:dyDescent="0.3">
      <c r="B12" s="111" t="s">
        <v>5</v>
      </c>
      <c r="C12" s="110" t="s">
        <v>937</v>
      </c>
      <c r="D12" s="93" t="s">
        <v>230</v>
      </c>
      <c r="E12" s="68"/>
    </row>
    <row r="13" spans="1:5" ht="158.4" x14ac:dyDescent="0.3">
      <c r="B13" s="111" t="s">
        <v>6</v>
      </c>
      <c r="C13" s="110" t="s">
        <v>938</v>
      </c>
      <c r="D13" s="93" t="s">
        <v>230</v>
      </c>
      <c r="E13" s="68"/>
    </row>
    <row r="14" spans="1:5" x14ac:dyDescent="0.3">
      <c r="B14" s="111" t="s">
        <v>8</v>
      </c>
      <c r="C14" s="110" t="s">
        <v>231</v>
      </c>
      <c r="D14" s="93" t="s">
        <v>230</v>
      </c>
      <c r="E14" s="68"/>
    </row>
    <row r="15" spans="1:5" ht="28.8" x14ac:dyDescent="0.3">
      <c r="B15" s="111" t="s">
        <v>9</v>
      </c>
      <c r="C15" s="110" t="s">
        <v>232</v>
      </c>
      <c r="D15" s="93" t="s">
        <v>216</v>
      </c>
      <c r="E15" s="68"/>
    </row>
    <row r="16" spans="1:5" x14ac:dyDescent="0.3">
      <c r="B16" s="111" t="s">
        <v>10</v>
      </c>
      <c r="C16" s="110" t="s">
        <v>425</v>
      </c>
      <c r="D16" s="93" t="s">
        <v>424</v>
      </c>
      <c r="E16" s="68"/>
    </row>
    <row r="17" spans="1:5" ht="28.8" x14ac:dyDescent="0.3">
      <c r="B17" s="111" t="s">
        <v>11</v>
      </c>
      <c r="C17" s="110" t="s">
        <v>426</v>
      </c>
      <c r="D17" s="93" t="s">
        <v>215</v>
      </c>
      <c r="E17" s="68"/>
    </row>
    <row r="18" spans="1:5" x14ac:dyDescent="0.3">
      <c r="B18" s="111" t="s">
        <v>12</v>
      </c>
      <c r="C18" s="110" t="s">
        <v>423</v>
      </c>
      <c r="D18" s="93" t="s">
        <v>215</v>
      </c>
      <c r="E18" s="68"/>
    </row>
    <row r="19" spans="1:5" ht="28.8" x14ac:dyDescent="0.3">
      <c r="A19" s="2"/>
      <c r="B19" s="111" t="s">
        <v>13</v>
      </c>
      <c r="C19" s="110" t="s">
        <v>233</v>
      </c>
      <c r="D19" s="93" t="s">
        <v>230</v>
      </c>
      <c r="E19" s="68"/>
    </row>
    <row r="20" spans="1:5" x14ac:dyDescent="0.3">
      <c r="A20" s="2"/>
      <c r="B20" s="111" t="s">
        <v>14</v>
      </c>
      <c r="C20" s="110" t="s">
        <v>234</v>
      </c>
      <c r="D20" s="93" t="s">
        <v>230</v>
      </c>
      <c r="E20" s="68"/>
    </row>
    <row r="21" spans="1:5" x14ac:dyDescent="0.3">
      <c r="B21" s="111" t="s">
        <v>15</v>
      </c>
      <c r="C21" s="110" t="s">
        <v>235</v>
      </c>
      <c r="D21" s="93" t="s">
        <v>215</v>
      </c>
      <c r="E21" s="68"/>
    </row>
    <row r="22" spans="1:5" x14ac:dyDescent="0.3">
      <c r="A22" s="2"/>
      <c r="B22" s="111" t="s">
        <v>16</v>
      </c>
      <c r="C22" s="110" t="s">
        <v>236</v>
      </c>
      <c r="D22" s="93" t="s">
        <v>215</v>
      </c>
      <c r="E22" s="68"/>
    </row>
    <row r="23" spans="1:5" x14ac:dyDescent="0.3">
      <c r="A23" s="2"/>
      <c r="B23" s="111" t="s">
        <v>17</v>
      </c>
      <c r="C23" s="110" t="s">
        <v>237</v>
      </c>
      <c r="D23" s="93" t="s">
        <v>215</v>
      </c>
      <c r="E23" s="68"/>
    </row>
    <row r="24" spans="1:5" ht="43.2" x14ac:dyDescent="0.3">
      <c r="A24" s="2"/>
      <c r="B24" s="111" t="s">
        <v>573</v>
      </c>
      <c r="C24" s="110" t="s">
        <v>575</v>
      </c>
      <c r="D24" s="93" t="s">
        <v>572</v>
      </c>
      <c r="E24" s="68"/>
    </row>
    <row r="25" spans="1:5" x14ac:dyDescent="0.3">
      <c r="B25" s="85"/>
      <c r="C25" s="5"/>
      <c r="D25" s="5"/>
    </row>
    <row r="26" spans="1:5" x14ac:dyDescent="0.3">
      <c r="B26" s="85"/>
      <c r="C26" s="5"/>
      <c r="D26" s="5"/>
    </row>
    <row r="27" spans="1:5" ht="21" x14ac:dyDescent="0.3">
      <c r="B27" s="109" t="s">
        <v>50</v>
      </c>
      <c r="C27" s="108"/>
      <c r="D27" s="64" t="s">
        <v>228</v>
      </c>
      <c r="E27" s="68"/>
    </row>
    <row r="28" spans="1:5" ht="28.8" x14ac:dyDescent="0.3">
      <c r="B28" s="107" t="s">
        <v>52</v>
      </c>
      <c r="C28" s="106" t="s">
        <v>417</v>
      </c>
      <c r="D28" s="93" t="s">
        <v>215</v>
      </c>
      <c r="E28" s="68"/>
    </row>
    <row r="29" spans="1:5" ht="28.8" x14ac:dyDescent="0.3">
      <c r="B29" s="105" t="s">
        <v>3</v>
      </c>
      <c r="C29" s="104" t="s">
        <v>418</v>
      </c>
      <c r="D29" s="93" t="s">
        <v>215</v>
      </c>
      <c r="E29" s="68"/>
    </row>
    <row r="30" spans="1:5" ht="28.8" x14ac:dyDescent="0.3">
      <c r="B30" s="105" t="s">
        <v>397</v>
      </c>
      <c r="C30" s="104" t="s">
        <v>419</v>
      </c>
      <c r="D30" s="93" t="s">
        <v>215</v>
      </c>
      <c r="E30" s="68"/>
    </row>
    <row r="31" spans="1:5" ht="28.8" x14ac:dyDescent="0.3">
      <c r="B31" s="105" t="s">
        <v>53</v>
      </c>
      <c r="C31" s="104" t="s">
        <v>420</v>
      </c>
      <c r="D31" s="93" t="s">
        <v>215</v>
      </c>
      <c r="E31" s="68"/>
    </row>
    <row r="32" spans="1:5" ht="43.2" x14ac:dyDescent="0.3">
      <c r="A32" s="2"/>
      <c r="B32" s="111" t="s">
        <v>573</v>
      </c>
      <c r="C32" s="110" t="s">
        <v>574</v>
      </c>
      <c r="D32" s="112" t="s">
        <v>572</v>
      </c>
      <c r="E32" s="68"/>
    </row>
    <row r="33" spans="1:5" x14ac:dyDescent="0.3">
      <c r="A33" s="68"/>
      <c r="B33" s="87"/>
      <c r="C33" s="87"/>
      <c r="D33" s="87"/>
      <c r="E33" s="68"/>
    </row>
    <row r="34" spans="1:5" x14ac:dyDescent="0.3">
      <c r="A34" s="68"/>
      <c r="B34" s="87"/>
      <c r="C34" s="87"/>
      <c r="D34" s="87"/>
      <c r="E34" s="68"/>
    </row>
    <row r="35" spans="1:5" ht="21" x14ac:dyDescent="0.3">
      <c r="B35" s="109" t="s">
        <v>143</v>
      </c>
      <c r="C35" s="108"/>
      <c r="D35" s="64" t="s">
        <v>228</v>
      </c>
      <c r="E35" s="68"/>
    </row>
    <row r="36" spans="1:5" x14ac:dyDescent="0.3">
      <c r="A36" s="2"/>
      <c r="B36" s="105" t="s">
        <v>144</v>
      </c>
      <c r="C36" s="104" t="s">
        <v>427</v>
      </c>
      <c r="D36" s="93" t="s">
        <v>215</v>
      </c>
      <c r="E36" s="68"/>
    </row>
    <row r="37" spans="1:5" ht="43.2" x14ac:dyDescent="0.3">
      <c r="A37" s="2"/>
      <c r="B37" s="105" t="s">
        <v>3</v>
      </c>
      <c r="C37" s="104" t="s">
        <v>238</v>
      </c>
      <c r="D37" s="93" t="s">
        <v>215</v>
      </c>
      <c r="E37" s="68"/>
    </row>
    <row r="38" spans="1:5" ht="28.8" x14ac:dyDescent="0.3">
      <c r="A38" s="2"/>
      <c r="B38" s="105" t="s">
        <v>52</v>
      </c>
      <c r="C38" s="104" t="s">
        <v>239</v>
      </c>
      <c r="D38" s="93" t="s">
        <v>215</v>
      </c>
      <c r="E38" s="68"/>
    </row>
    <row r="39" spans="1:5" ht="43.2" x14ac:dyDescent="0.3">
      <c r="A39" s="2"/>
      <c r="B39" s="105" t="s">
        <v>53</v>
      </c>
      <c r="C39" s="103" t="s">
        <v>428</v>
      </c>
      <c r="D39" s="72" t="s">
        <v>240</v>
      </c>
      <c r="E39" s="68"/>
    </row>
    <row r="40" spans="1:5" ht="201.6" x14ac:dyDescent="0.3">
      <c r="A40" s="2"/>
      <c r="B40" s="105" t="s">
        <v>552</v>
      </c>
      <c r="C40" s="103" t="s">
        <v>613</v>
      </c>
      <c r="D40" s="104" t="s">
        <v>230</v>
      </c>
      <c r="E40" s="68"/>
    </row>
    <row r="41" spans="1:5" ht="115.2" x14ac:dyDescent="0.3">
      <c r="A41" s="2"/>
      <c r="B41" s="105" t="s">
        <v>587</v>
      </c>
      <c r="C41" s="103" t="s">
        <v>633</v>
      </c>
      <c r="D41" s="104" t="s">
        <v>230</v>
      </c>
      <c r="E41" s="68"/>
    </row>
    <row r="42" spans="1:5" ht="100.8" x14ac:dyDescent="0.3">
      <c r="A42" s="2"/>
      <c r="B42" s="105" t="s">
        <v>599</v>
      </c>
      <c r="C42" s="72" t="s">
        <v>640</v>
      </c>
      <c r="D42" s="104" t="s">
        <v>424</v>
      </c>
      <c r="E42" s="68"/>
    </row>
    <row r="43" spans="1:5" ht="86.4" x14ac:dyDescent="0.3">
      <c r="A43" s="2"/>
      <c r="B43" s="105" t="s">
        <v>598</v>
      </c>
      <c r="C43" s="103" t="s">
        <v>616</v>
      </c>
      <c r="D43" s="104" t="s">
        <v>424</v>
      </c>
      <c r="E43" s="68"/>
    </row>
    <row r="44" spans="1:5" ht="72" x14ac:dyDescent="0.3">
      <c r="A44" s="2"/>
      <c r="B44" s="105" t="s">
        <v>614</v>
      </c>
      <c r="C44" s="103" t="s">
        <v>615</v>
      </c>
      <c r="D44" s="104" t="s">
        <v>424</v>
      </c>
      <c r="E44" s="68"/>
    </row>
    <row r="45" spans="1:5" ht="100.8" x14ac:dyDescent="0.3">
      <c r="A45" s="2"/>
      <c r="B45" s="105" t="s">
        <v>608</v>
      </c>
      <c r="C45" s="103" t="s">
        <v>617</v>
      </c>
      <c r="D45" s="104" t="s">
        <v>424</v>
      </c>
      <c r="E45" s="68"/>
    </row>
    <row r="46" spans="1:5" ht="100.8" x14ac:dyDescent="0.3">
      <c r="A46" s="2"/>
      <c r="B46" s="105" t="s">
        <v>600</v>
      </c>
      <c r="C46" s="103" t="s">
        <v>618</v>
      </c>
      <c r="D46" s="104" t="s">
        <v>424</v>
      </c>
      <c r="E46" s="68"/>
    </row>
    <row r="47" spans="1:5" ht="86.4" x14ac:dyDescent="0.3">
      <c r="A47" s="2"/>
      <c r="B47" s="105" t="s">
        <v>601</v>
      </c>
      <c r="C47" s="103" t="s">
        <v>619</v>
      </c>
      <c r="D47" s="104" t="s">
        <v>424</v>
      </c>
      <c r="E47" s="68"/>
    </row>
    <row r="48" spans="1:5" ht="100.8" x14ac:dyDescent="0.3">
      <c r="A48" s="2"/>
      <c r="B48" s="105" t="s">
        <v>634</v>
      </c>
      <c r="C48" s="103" t="s">
        <v>620</v>
      </c>
      <c r="D48" s="104" t="s">
        <v>424</v>
      </c>
      <c r="E48" s="68"/>
    </row>
    <row r="49" spans="1:5" ht="43.2" x14ac:dyDescent="0.3">
      <c r="A49" s="2"/>
      <c r="B49" s="105" t="s">
        <v>588</v>
      </c>
      <c r="C49" s="103" t="s">
        <v>241</v>
      </c>
      <c r="D49" s="104" t="s">
        <v>215</v>
      </c>
      <c r="E49" s="68"/>
    </row>
    <row r="50" spans="1:5" ht="43.2" x14ac:dyDescent="0.3">
      <c r="A50" s="2"/>
      <c r="B50" s="105" t="s">
        <v>636</v>
      </c>
      <c r="C50" s="103" t="s">
        <v>242</v>
      </c>
      <c r="D50" s="104" t="s">
        <v>215</v>
      </c>
      <c r="E50" s="68"/>
    </row>
    <row r="51" spans="1:5" ht="28.8" x14ac:dyDescent="0.3">
      <c r="A51" s="2"/>
      <c r="B51" s="105" t="s">
        <v>602</v>
      </c>
      <c r="C51" s="103" t="s">
        <v>604</v>
      </c>
      <c r="D51" s="104" t="s">
        <v>215</v>
      </c>
      <c r="E51" s="68"/>
    </row>
    <row r="52" spans="1:5" ht="28.8" x14ac:dyDescent="0.3">
      <c r="A52" s="2"/>
      <c r="B52" s="105" t="s">
        <v>637</v>
      </c>
      <c r="C52" s="103" t="s">
        <v>606</v>
      </c>
      <c r="D52" s="104" t="s">
        <v>215</v>
      </c>
      <c r="E52" s="68"/>
    </row>
    <row r="53" spans="1:5" ht="28.8" x14ac:dyDescent="0.3">
      <c r="A53" s="2"/>
      <c r="B53" s="105" t="s">
        <v>603</v>
      </c>
      <c r="C53" s="103" t="s">
        <v>605</v>
      </c>
      <c r="D53" s="104" t="s">
        <v>215</v>
      </c>
      <c r="E53" s="68"/>
    </row>
    <row r="54" spans="1:5" ht="28.8" x14ac:dyDescent="0.3">
      <c r="A54" s="2"/>
      <c r="B54" s="105" t="s">
        <v>638</v>
      </c>
      <c r="C54" s="103" t="s">
        <v>607</v>
      </c>
      <c r="D54" s="104" t="s">
        <v>215</v>
      </c>
      <c r="E54" s="68"/>
    </row>
    <row r="55" spans="1:5" ht="129.6" x14ac:dyDescent="0.3">
      <c r="A55" s="2"/>
      <c r="B55" s="105" t="s">
        <v>560</v>
      </c>
      <c r="C55" s="104" t="s">
        <v>562</v>
      </c>
      <c r="D55" s="59" t="s">
        <v>230</v>
      </c>
      <c r="E55" s="68"/>
    </row>
    <row r="56" spans="1:5" x14ac:dyDescent="0.3">
      <c r="A56" s="2"/>
      <c r="B56" s="105" t="s">
        <v>163</v>
      </c>
      <c r="C56" s="104" t="s">
        <v>429</v>
      </c>
      <c r="D56" s="59" t="s">
        <v>230</v>
      </c>
      <c r="E56" s="68"/>
    </row>
    <row r="57" spans="1:5" x14ac:dyDescent="0.3">
      <c r="A57" s="2"/>
      <c r="B57" s="105" t="s">
        <v>159</v>
      </c>
      <c r="C57" s="104" t="s">
        <v>430</v>
      </c>
      <c r="D57" s="59" t="s">
        <v>230</v>
      </c>
      <c r="E57" s="68"/>
    </row>
    <row r="58" spans="1:5" x14ac:dyDescent="0.3">
      <c r="A58" s="2"/>
      <c r="B58" s="105" t="s">
        <v>546</v>
      </c>
      <c r="C58" t="s">
        <v>589</v>
      </c>
      <c r="D58" s="59" t="s">
        <v>230</v>
      </c>
      <c r="E58" s="68"/>
    </row>
    <row r="59" spans="1:5" x14ac:dyDescent="0.3">
      <c r="A59" s="2"/>
      <c r="B59" s="105" t="s">
        <v>527</v>
      </c>
      <c r="C59" s="104" t="s">
        <v>564</v>
      </c>
      <c r="D59" s="59" t="s">
        <v>230</v>
      </c>
      <c r="E59" s="68"/>
    </row>
    <row r="60" spans="1:5" x14ac:dyDescent="0.3">
      <c r="A60" s="2"/>
      <c r="B60" s="105" t="s">
        <v>535</v>
      </c>
      <c r="C60" s="104" t="s">
        <v>565</v>
      </c>
      <c r="D60" s="59" t="s">
        <v>230</v>
      </c>
      <c r="E60" s="68"/>
    </row>
    <row r="61" spans="1:5" x14ac:dyDescent="0.3">
      <c r="A61" s="2"/>
      <c r="B61" s="105" t="s">
        <v>533</v>
      </c>
      <c r="C61" s="104" t="s">
        <v>566</v>
      </c>
      <c r="D61" s="112" t="s">
        <v>215</v>
      </c>
      <c r="E61" s="68"/>
    </row>
    <row r="62" spans="1:5" x14ac:dyDescent="0.3">
      <c r="A62" s="2"/>
      <c r="B62" s="105" t="s">
        <v>164</v>
      </c>
      <c r="C62" s="104" t="s">
        <v>431</v>
      </c>
      <c r="D62" s="112" t="s">
        <v>215</v>
      </c>
      <c r="E62" s="68"/>
    </row>
    <row r="63" spans="1:5" ht="144" x14ac:dyDescent="0.3">
      <c r="A63" s="2"/>
      <c r="B63" s="105" t="s">
        <v>583</v>
      </c>
      <c r="C63" s="104" t="s">
        <v>949</v>
      </c>
      <c r="D63" s="112"/>
      <c r="E63" s="68"/>
    </row>
    <row r="64" spans="1:5" x14ac:dyDescent="0.3">
      <c r="A64" s="2"/>
      <c r="B64" s="129" t="s">
        <v>580</v>
      </c>
      <c r="C64" s="104" t="s">
        <v>621</v>
      </c>
      <c r="D64" s="104" t="s">
        <v>230</v>
      </c>
      <c r="E64" s="68"/>
    </row>
    <row r="65" spans="1:5" x14ac:dyDescent="0.3">
      <c r="A65" s="2"/>
      <c r="B65" s="129" t="s">
        <v>112</v>
      </c>
      <c r="C65" s="104" t="s">
        <v>622</v>
      </c>
      <c r="D65" s="104" t="s">
        <v>230</v>
      </c>
      <c r="E65" s="68"/>
    </row>
    <row r="66" spans="1:5" x14ac:dyDescent="0.3">
      <c r="A66" s="2"/>
      <c r="B66" s="129" t="s">
        <v>581</v>
      </c>
      <c r="C66" s="104" t="s">
        <v>623</v>
      </c>
      <c r="D66" s="104" t="s">
        <v>230</v>
      </c>
      <c r="E66" s="68"/>
    </row>
    <row r="67" spans="1:5" x14ac:dyDescent="0.3">
      <c r="A67" s="2"/>
      <c r="B67" s="129" t="s">
        <v>582</v>
      </c>
      <c r="C67" s="104" t="s">
        <v>624</v>
      </c>
      <c r="D67" s="104" t="s">
        <v>230</v>
      </c>
      <c r="E67" s="68"/>
    </row>
    <row r="68" spans="1:5" x14ac:dyDescent="0.3">
      <c r="A68" s="2"/>
      <c r="B68" s="129" t="s">
        <v>333</v>
      </c>
      <c r="C68" s="104" t="s">
        <v>625</v>
      </c>
      <c r="D68" s="104" t="s">
        <v>230</v>
      </c>
      <c r="E68" s="68"/>
    </row>
    <row r="69" spans="1:5" x14ac:dyDescent="0.3">
      <c r="A69" s="2"/>
      <c r="B69" s="129" t="s">
        <v>590</v>
      </c>
      <c r="C69" s="104" t="s">
        <v>626</v>
      </c>
      <c r="D69" s="104" t="s">
        <v>230</v>
      </c>
      <c r="E69" s="68"/>
    </row>
    <row r="70" spans="1:5" ht="28.8" x14ac:dyDescent="0.3">
      <c r="A70" s="2"/>
      <c r="B70" s="129" t="s">
        <v>584</v>
      </c>
      <c r="C70" s="104" t="s">
        <v>627</v>
      </c>
      <c r="D70" s="104" t="s">
        <v>230</v>
      </c>
      <c r="E70" s="68"/>
    </row>
    <row r="71" spans="1:5" x14ac:dyDescent="0.3">
      <c r="A71" s="2"/>
      <c r="B71" s="129" t="s">
        <v>585</v>
      </c>
      <c r="C71" s="104" t="s">
        <v>628</v>
      </c>
      <c r="D71" s="104" t="s">
        <v>230</v>
      </c>
      <c r="E71" s="68"/>
    </row>
    <row r="72" spans="1:5" x14ac:dyDescent="0.3">
      <c r="A72" s="2"/>
      <c r="B72" s="129" t="s">
        <v>450</v>
      </c>
      <c r="C72" s="104" t="s">
        <v>629</v>
      </c>
      <c r="D72" s="104" t="s">
        <v>230</v>
      </c>
      <c r="E72" s="68"/>
    </row>
    <row r="73" spans="1:5" x14ac:dyDescent="0.3">
      <c r="A73" s="2"/>
      <c r="B73" s="129" t="s">
        <v>586</v>
      </c>
      <c r="C73" s="104" t="s">
        <v>630</v>
      </c>
      <c r="D73" s="104" t="s">
        <v>230</v>
      </c>
      <c r="E73" s="68"/>
    </row>
    <row r="74" spans="1:5" ht="28.8" x14ac:dyDescent="0.3">
      <c r="A74" s="2"/>
      <c r="B74" s="129" t="s">
        <v>591</v>
      </c>
      <c r="C74" s="104" t="s">
        <v>631</v>
      </c>
      <c r="D74" s="104" t="s">
        <v>230</v>
      </c>
      <c r="E74" s="68"/>
    </row>
    <row r="75" spans="1:5" ht="28.8" x14ac:dyDescent="0.3">
      <c r="A75" s="2"/>
      <c r="B75" s="129" t="s">
        <v>592</v>
      </c>
      <c r="C75" s="104" t="s">
        <v>639</v>
      </c>
      <c r="D75" s="104" t="s">
        <v>230</v>
      </c>
      <c r="E75" s="68"/>
    </row>
    <row r="76" spans="1:5" ht="28.8" x14ac:dyDescent="0.3">
      <c r="A76" s="2"/>
      <c r="B76" s="129" t="s">
        <v>593</v>
      </c>
      <c r="C76" s="104" t="s">
        <v>632</v>
      </c>
      <c r="D76" s="104" t="s">
        <v>230</v>
      </c>
      <c r="E76" s="68"/>
    </row>
    <row r="77" spans="1:5" ht="28.8" x14ac:dyDescent="0.3">
      <c r="A77" s="2"/>
      <c r="B77" s="129" t="s">
        <v>948</v>
      </c>
      <c r="C77" s="59" t="s">
        <v>950</v>
      </c>
      <c r="D77" s="112" t="s">
        <v>572</v>
      </c>
      <c r="E77" s="68"/>
    </row>
    <row r="78" spans="1:5" x14ac:dyDescent="0.3">
      <c r="A78" s="2"/>
      <c r="B78" s="105" t="s">
        <v>534</v>
      </c>
      <c r="C78" s="104" t="s">
        <v>563</v>
      </c>
      <c r="D78" s="112" t="s">
        <v>215</v>
      </c>
      <c r="E78" s="68"/>
    </row>
    <row r="79" spans="1:5" ht="43.2" x14ac:dyDescent="0.3">
      <c r="A79" s="2"/>
      <c r="B79" s="105" t="s">
        <v>576</v>
      </c>
      <c r="C79" s="59" t="s">
        <v>579</v>
      </c>
      <c r="D79" s="112" t="s">
        <v>572</v>
      </c>
      <c r="E79" s="68"/>
    </row>
    <row r="80" spans="1:5" ht="43.2" x14ac:dyDescent="0.3">
      <c r="A80" s="2"/>
      <c r="B80" s="105" t="s">
        <v>577</v>
      </c>
      <c r="C80" s="104" t="s">
        <v>578</v>
      </c>
      <c r="D80" s="112" t="s">
        <v>572</v>
      </c>
      <c r="E80" s="68"/>
    </row>
    <row r="81" spans="2:4" x14ac:dyDescent="0.3">
      <c r="B81" s="85"/>
      <c r="C81" s="5"/>
      <c r="D81" s="5"/>
    </row>
    <row r="82" spans="2:4" x14ac:dyDescent="0.3">
      <c r="B82" s="85"/>
      <c r="C82" s="5"/>
      <c r="D82" s="5"/>
    </row>
    <row r="83" spans="2:4" x14ac:dyDescent="0.3">
      <c r="B83" s="85"/>
      <c r="C83" s="5"/>
      <c r="D83" s="5"/>
    </row>
    <row r="84" spans="2:4" ht="21" x14ac:dyDescent="0.3">
      <c r="B84" s="67" t="s">
        <v>147</v>
      </c>
      <c r="C84" s="64"/>
      <c r="D84" s="64" t="s">
        <v>228</v>
      </c>
    </row>
    <row r="85" spans="2:4" ht="28.8" x14ac:dyDescent="0.3">
      <c r="B85" s="86" t="s">
        <v>148</v>
      </c>
      <c r="C85" s="72" t="s">
        <v>243</v>
      </c>
      <c r="D85" s="93" t="s">
        <v>215</v>
      </c>
    </row>
    <row r="86" spans="2:4" ht="28.8" x14ac:dyDescent="0.3">
      <c r="B86" s="86" t="s">
        <v>3</v>
      </c>
      <c r="C86" s="72" t="s">
        <v>244</v>
      </c>
      <c r="D86" s="93" t="s">
        <v>215</v>
      </c>
    </row>
    <row r="87" spans="2:4" x14ac:dyDescent="0.3">
      <c r="B87" s="86" t="s">
        <v>149</v>
      </c>
      <c r="C87" s="72" t="s">
        <v>245</v>
      </c>
      <c r="D87" s="72" t="s">
        <v>230</v>
      </c>
    </row>
    <row r="88" spans="2:4" ht="43.2" x14ac:dyDescent="0.3">
      <c r="B88" s="86" t="s">
        <v>150</v>
      </c>
      <c r="C88" s="72" t="s">
        <v>246</v>
      </c>
      <c r="D88" s="72" t="s">
        <v>247</v>
      </c>
    </row>
    <row r="89" spans="2:4" x14ac:dyDescent="0.3">
      <c r="B89" s="86" t="s">
        <v>7</v>
      </c>
      <c r="C89" s="72" t="s">
        <v>248</v>
      </c>
      <c r="D89" s="72" t="s">
        <v>230</v>
      </c>
    </row>
    <row r="90" spans="2:4" ht="43.2" x14ac:dyDescent="0.3">
      <c r="B90" s="86" t="s">
        <v>151</v>
      </c>
      <c r="C90" s="72" t="s">
        <v>249</v>
      </c>
      <c r="D90" s="72" t="s">
        <v>250</v>
      </c>
    </row>
    <row r="91" spans="2:4" x14ac:dyDescent="0.3">
      <c r="B91" s="86" t="s">
        <v>152</v>
      </c>
      <c r="C91" s="72" t="s">
        <v>251</v>
      </c>
      <c r="D91" s="72" t="s">
        <v>230</v>
      </c>
    </row>
    <row r="92" spans="2:4" ht="28.8" x14ac:dyDescent="0.3">
      <c r="B92" s="86" t="s">
        <v>54</v>
      </c>
      <c r="C92" s="72" t="s">
        <v>252</v>
      </c>
      <c r="D92" s="72" t="s">
        <v>230</v>
      </c>
    </row>
    <row r="93" spans="2:4" ht="28.8" x14ac:dyDescent="0.3">
      <c r="B93" s="86" t="s">
        <v>153</v>
      </c>
      <c r="C93" s="72" t="s">
        <v>253</v>
      </c>
      <c r="D93" s="93" t="s">
        <v>215</v>
      </c>
    </row>
    <row r="94" spans="2:4" ht="28.8" x14ac:dyDescent="0.3">
      <c r="B94" s="86" t="s">
        <v>154</v>
      </c>
      <c r="C94" s="72" t="s">
        <v>254</v>
      </c>
      <c r="D94" s="93" t="s">
        <v>215</v>
      </c>
    </row>
    <row r="95" spans="2:4" ht="28.8" x14ac:dyDescent="0.3">
      <c r="B95" s="86" t="s">
        <v>155</v>
      </c>
      <c r="C95" s="72" t="s">
        <v>255</v>
      </c>
      <c r="D95" s="93" t="s">
        <v>215</v>
      </c>
    </row>
    <row r="96" spans="2:4" x14ac:dyDescent="0.3">
      <c r="B96" s="86" t="s">
        <v>156</v>
      </c>
      <c r="C96" s="72" t="s">
        <v>256</v>
      </c>
      <c r="D96" s="93" t="s">
        <v>215</v>
      </c>
    </row>
    <row r="97" spans="2:4" ht="28.8" x14ac:dyDescent="0.3">
      <c r="B97" s="86" t="s">
        <v>157</v>
      </c>
      <c r="C97" s="72" t="s">
        <v>257</v>
      </c>
      <c r="D97" s="93" t="s">
        <v>215</v>
      </c>
    </row>
    <row r="98" spans="2:4" x14ac:dyDescent="0.3">
      <c r="B98" s="86" t="s">
        <v>158</v>
      </c>
      <c r="C98" s="72" t="s">
        <v>258</v>
      </c>
      <c r="D98" s="93" t="s">
        <v>215</v>
      </c>
    </row>
    <row r="99" spans="2:4" x14ac:dyDescent="0.3">
      <c r="B99" s="86" t="s">
        <v>159</v>
      </c>
      <c r="C99" s="72" t="s">
        <v>259</v>
      </c>
      <c r="D99" s="72" t="s">
        <v>230</v>
      </c>
    </row>
    <row r="100" spans="2:4" x14ac:dyDescent="0.3">
      <c r="B100" s="86" t="s">
        <v>160</v>
      </c>
      <c r="C100" s="72" t="s">
        <v>260</v>
      </c>
      <c r="D100" s="93" t="s">
        <v>215</v>
      </c>
    </row>
    <row r="101" spans="2:4" ht="28.8" x14ac:dyDescent="0.3">
      <c r="B101" s="86" t="s">
        <v>161</v>
      </c>
      <c r="C101" s="72" t="s">
        <v>261</v>
      </c>
      <c r="D101" s="93" t="s">
        <v>215</v>
      </c>
    </row>
    <row r="102" spans="2:4" x14ac:dyDescent="0.3">
      <c r="B102" s="86" t="s">
        <v>162</v>
      </c>
      <c r="C102" s="72" t="s">
        <v>262</v>
      </c>
      <c r="D102" s="93" t="s">
        <v>215</v>
      </c>
    </row>
    <row r="103" spans="2:4" x14ac:dyDescent="0.3">
      <c r="B103" s="86" t="s">
        <v>13</v>
      </c>
      <c r="C103" s="72" t="s">
        <v>263</v>
      </c>
      <c r="D103" s="72" t="s">
        <v>230</v>
      </c>
    </row>
    <row r="104" spans="2:4" x14ac:dyDescent="0.3">
      <c r="B104" s="86" t="s">
        <v>163</v>
      </c>
      <c r="C104" s="72" t="s">
        <v>264</v>
      </c>
      <c r="D104" s="93" t="s">
        <v>215</v>
      </c>
    </row>
    <row r="105" spans="2:4" x14ac:dyDescent="0.3">
      <c r="B105" s="86" t="s">
        <v>265</v>
      </c>
      <c r="C105" s="72" t="s">
        <v>266</v>
      </c>
      <c r="D105" s="93" t="s">
        <v>215</v>
      </c>
    </row>
    <row r="106" spans="2:4" x14ac:dyDescent="0.3">
      <c r="B106" s="86" t="s">
        <v>159</v>
      </c>
      <c r="C106" s="72" t="s">
        <v>267</v>
      </c>
      <c r="D106" s="93" t="s">
        <v>215</v>
      </c>
    </row>
    <row r="107" spans="2:4" x14ac:dyDescent="0.3">
      <c r="B107" s="86" t="s">
        <v>164</v>
      </c>
      <c r="C107" s="72" t="s">
        <v>268</v>
      </c>
      <c r="D107" s="93" t="s">
        <v>215</v>
      </c>
    </row>
    <row r="110" spans="2:4" ht="42" x14ac:dyDescent="0.3">
      <c r="B110" s="67" t="s">
        <v>185</v>
      </c>
      <c r="C110" s="64"/>
      <c r="D110" s="64" t="s">
        <v>228</v>
      </c>
    </row>
    <row r="111" spans="2:4" ht="28.8" x14ac:dyDescent="0.3">
      <c r="B111" s="86" t="s">
        <v>186</v>
      </c>
      <c r="C111" s="72" t="s">
        <v>269</v>
      </c>
      <c r="D111" s="72" t="s">
        <v>230</v>
      </c>
    </row>
    <row r="112" spans="2:4" ht="28.8" x14ac:dyDescent="0.3">
      <c r="B112" s="86" t="s">
        <v>187</v>
      </c>
      <c r="C112" s="72" t="s">
        <v>270</v>
      </c>
      <c r="D112" s="72" t="s">
        <v>230</v>
      </c>
    </row>
    <row r="113" spans="2:4" ht="28.8" x14ac:dyDescent="0.3">
      <c r="B113" s="86" t="s">
        <v>188</v>
      </c>
      <c r="C113" s="72" t="s">
        <v>271</v>
      </c>
      <c r="D113" s="93" t="s">
        <v>215</v>
      </c>
    </row>
    <row r="116" spans="2:4" ht="21" x14ac:dyDescent="0.3">
      <c r="B116" s="67" t="s">
        <v>224</v>
      </c>
      <c r="C116" s="64"/>
      <c r="D116" s="64" t="s">
        <v>228</v>
      </c>
    </row>
    <row r="117" spans="2:4" ht="28.8" x14ac:dyDescent="0.3">
      <c r="B117" s="86" t="s">
        <v>194</v>
      </c>
      <c r="C117" s="72" t="s">
        <v>272</v>
      </c>
      <c r="D117" s="93" t="s">
        <v>215</v>
      </c>
    </row>
    <row r="118" spans="2:4" ht="28.8" x14ac:dyDescent="0.3">
      <c r="B118" s="86" t="s">
        <v>195</v>
      </c>
      <c r="C118" s="72" t="s">
        <v>273</v>
      </c>
      <c r="D118" s="93" t="s">
        <v>215</v>
      </c>
    </row>
    <row r="119" spans="2:4" ht="28.8" x14ac:dyDescent="0.3">
      <c r="B119" s="86" t="s">
        <v>187</v>
      </c>
      <c r="C119" s="72" t="s">
        <v>274</v>
      </c>
      <c r="D119" s="93" t="s">
        <v>215</v>
      </c>
    </row>
    <row r="120" spans="2:4" ht="28.8" x14ac:dyDescent="0.3">
      <c r="B120" s="86" t="s">
        <v>196</v>
      </c>
      <c r="C120" s="72" t="s">
        <v>275</v>
      </c>
      <c r="D120" s="72" t="s">
        <v>276</v>
      </c>
    </row>
    <row r="121" spans="2:4" x14ac:dyDescent="0.3">
      <c r="B121" s="86" t="s">
        <v>197</v>
      </c>
      <c r="C121" s="72" t="s">
        <v>277</v>
      </c>
      <c r="D121" s="72" t="s">
        <v>230</v>
      </c>
    </row>
    <row r="122" spans="2:4" x14ac:dyDescent="0.3">
      <c r="B122" s="86" t="s">
        <v>198</v>
      </c>
      <c r="C122" s="72" t="s">
        <v>278</v>
      </c>
      <c r="D122" s="72" t="s">
        <v>230</v>
      </c>
    </row>
    <row r="123" spans="2:4" x14ac:dyDescent="0.3">
      <c r="B123" s="86" t="s">
        <v>199</v>
      </c>
      <c r="C123" s="72" t="s">
        <v>279</v>
      </c>
      <c r="D123" s="72" t="s">
        <v>230</v>
      </c>
    </row>
    <row r="124" spans="2:4" x14ac:dyDescent="0.3">
      <c r="B124" s="86" t="s">
        <v>200</v>
      </c>
      <c r="C124" s="72" t="s">
        <v>280</v>
      </c>
      <c r="D124" s="72" t="s">
        <v>230</v>
      </c>
    </row>
    <row r="125" spans="2:4" ht="28.8" x14ac:dyDescent="0.3">
      <c r="B125" s="86" t="s">
        <v>201</v>
      </c>
      <c r="C125" s="72" t="s">
        <v>281</v>
      </c>
      <c r="D125" s="93" t="s">
        <v>215</v>
      </c>
    </row>
    <row r="126" spans="2:4" ht="28.8" x14ac:dyDescent="0.3">
      <c r="B126" s="86" t="s">
        <v>202</v>
      </c>
      <c r="C126" s="72" t="s">
        <v>282</v>
      </c>
      <c r="D126" s="93" t="s">
        <v>215</v>
      </c>
    </row>
    <row r="127" spans="2:4" x14ac:dyDescent="0.3">
      <c r="B127" s="86" t="s">
        <v>203</v>
      </c>
      <c r="C127" s="72" t="s">
        <v>283</v>
      </c>
      <c r="D127" s="72" t="s">
        <v>230</v>
      </c>
    </row>
    <row r="128" spans="2:4" x14ac:dyDescent="0.3">
      <c r="B128" s="86" t="s">
        <v>204</v>
      </c>
      <c r="C128" s="72" t="s">
        <v>284</v>
      </c>
      <c r="D128" s="93" t="s">
        <v>215</v>
      </c>
    </row>
    <row r="129" spans="2:4" x14ac:dyDescent="0.3">
      <c r="B129" s="86" t="s">
        <v>205</v>
      </c>
      <c r="C129" s="72" t="s">
        <v>285</v>
      </c>
      <c r="D129" s="93" t="s">
        <v>215</v>
      </c>
    </row>
    <row r="130" spans="2:4" x14ac:dyDescent="0.3">
      <c r="B130" s="86" t="s">
        <v>206</v>
      </c>
      <c r="C130" s="72" t="s">
        <v>286</v>
      </c>
      <c r="D130" s="93" t="s">
        <v>215</v>
      </c>
    </row>
    <row r="131" spans="2:4" x14ac:dyDescent="0.3">
      <c r="B131" s="86" t="s">
        <v>207</v>
      </c>
      <c r="C131" s="72" t="s">
        <v>287</v>
      </c>
      <c r="D131" s="93" t="s">
        <v>215</v>
      </c>
    </row>
    <row r="132" spans="2:4" x14ac:dyDescent="0.3">
      <c r="B132" s="86" t="s">
        <v>208</v>
      </c>
      <c r="C132" s="72"/>
      <c r="D132" s="93" t="s">
        <v>215</v>
      </c>
    </row>
    <row r="133" spans="2:4" x14ac:dyDescent="0.3">
      <c r="B133" s="86" t="s">
        <v>209</v>
      </c>
      <c r="C133" s="72"/>
      <c r="D133" s="93" t="s">
        <v>215</v>
      </c>
    </row>
    <row r="134" spans="2:4" x14ac:dyDescent="0.3">
      <c r="B134" s="86" t="s">
        <v>210</v>
      </c>
      <c r="C134" s="72"/>
      <c r="D134" s="93" t="s">
        <v>215</v>
      </c>
    </row>
    <row r="135" spans="2:4" x14ac:dyDescent="0.3">
      <c r="B135" s="86" t="s">
        <v>211</v>
      </c>
      <c r="C135" s="72"/>
      <c r="D135" s="93" t="s">
        <v>215</v>
      </c>
    </row>
    <row r="136" spans="2:4" x14ac:dyDescent="0.3">
      <c r="B136" s="86" t="s">
        <v>212</v>
      </c>
      <c r="C136" s="72"/>
      <c r="D136" s="93" t="s">
        <v>215</v>
      </c>
    </row>
    <row r="137" spans="2:4" x14ac:dyDescent="0.3">
      <c r="B137" s="86" t="s">
        <v>14</v>
      </c>
      <c r="C137" s="72"/>
      <c r="D137" s="72" t="s">
        <v>230</v>
      </c>
    </row>
    <row r="138" spans="2:4" x14ac:dyDescent="0.3">
      <c r="B138" s="86" t="s">
        <v>213</v>
      </c>
      <c r="C138" s="72"/>
      <c r="D138" s="93" t="s">
        <v>215</v>
      </c>
    </row>
    <row r="139" spans="2:4" x14ac:dyDescent="0.3">
      <c r="B139" s="86" t="s">
        <v>214</v>
      </c>
      <c r="C139" s="72"/>
      <c r="D139" s="93" t="s">
        <v>215</v>
      </c>
    </row>
    <row r="160" spans="2:4" ht="46.2" thickBot="1" x14ac:dyDescent="0.35">
      <c r="B160" s="88" t="s">
        <v>288</v>
      </c>
      <c r="C160" s="61"/>
      <c r="D160" s="61"/>
    </row>
    <row r="161" spans="2:4" ht="21" x14ac:dyDescent="0.3">
      <c r="B161" s="89" t="s">
        <v>289</v>
      </c>
      <c r="C161" s="60" t="s">
        <v>3</v>
      </c>
      <c r="D161" s="60" t="s">
        <v>3</v>
      </c>
    </row>
    <row r="162" spans="2:4" ht="43.2" x14ac:dyDescent="0.3">
      <c r="B162" s="86" t="s">
        <v>290</v>
      </c>
      <c r="C162" s="59" t="s">
        <v>291</v>
      </c>
      <c r="D162" s="59" t="s">
        <v>291</v>
      </c>
    </row>
    <row r="163" spans="2:4" ht="43.2" x14ac:dyDescent="0.3">
      <c r="B163" s="86" t="s">
        <v>292</v>
      </c>
      <c r="C163" s="59" t="s">
        <v>293</v>
      </c>
      <c r="D163" s="59" t="s">
        <v>293</v>
      </c>
    </row>
    <row r="164" spans="2:4" ht="57.6" x14ac:dyDescent="0.3">
      <c r="B164" s="86" t="s">
        <v>294</v>
      </c>
      <c r="C164" s="59" t="s">
        <v>295</v>
      </c>
      <c r="D164" s="59" t="s">
        <v>295</v>
      </c>
    </row>
    <row r="165" spans="2:4" ht="57.6" x14ac:dyDescent="0.3">
      <c r="B165" s="86" t="s">
        <v>296</v>
      </c>
      <c r="C165" s="59" t="s">
        <v>297</v>
      </c>
      <c r="D165" s="59" t="s">
        <v>297</v>
      </c>
    </row>
    <row r="166" spans="2:4" ht="72" x14ac:dyDescent="0.3">
      <c r="B166" s="86" t="s">
        <v>298</v>
      </c>
      <c r="C166" s="59" t="s">
        <v>299</v>
      </c>
      <c r="D166" s="59" t="s">
        <v>299</v>
      </c>
    </row>
    <row r="167" spans="2:4" ht="72" x14ac:dyDescent="0.3">
      <c r="B167" s="86" t="s">
        <v>300</v>
      </c>
      <c r="C167" s="59" t="s">
        <v>301</v>
      </c>
      <c r="D167" s="59" t="s">
        <v>301</v>
      </c>
    </row>
    <row r="168" spans="2:4" ht="86.4" x14ac:dyDescent="0.3">
      <c r="B168" s="86" t="s">
        <v>302</v>
      </c>
      <c r="C168" s="59" t="s">
        <v>303</v>
      </c>
      <c r="D168" s="59" t="s">
        <v>303</v>
      </c>
    </row>
  </sheetData>
  <sortState xmlns:xlrd2="http://schemas.microsoft.com/office/spreadsheetml/2017/richdata2" ref="C45:C46">
    <sortCondition descending="1" ref="C45:C46"/>
  </sortState>
  <pageMargins left="0.7" right="0.7" top="0.75" bottom="0.75" header="0.3" footer="0.3"/>
  <pageSetup paperSize="9" orientation="portrait" r:id="rId1"/>
  <headerFooter>
    <oddFooter>&amp;L_x000D_&amp;1#&amp;"Tahoma"&amp;9&amp;KCF022B C2 – Uso Restringit</oddFooter>
  </headerFooter>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0CB4FA-05D2-4637-9559-99A0FE43C6D1}">
  <dimension ref="A1:N11"/>
  <sheetViews>
    <sheetView zoomScaleNormal="100" workbookViewId="0">
      <pane ySplit="4" topLeftCell="A7" activePane="bottomLeft" state="frozen"/>
      <selection pane="bottomLeft" activeCell="C11" sqref="C11"/>
    </sheetView>
  </sheetViews>
  <sheetFormatPr baseColWidth="10" defaultColWidth="11.44140625" defaultRowHeight="14.4" x14ac:dyDescent="0.3"/>
  <cols>
    <col min="1" max="1" width="2.5546875" style="4" customWidth="1"/>
    <col min="2" max="2" width="31" style="69" customWidth="1"/>
    <col min="3" max="3" width="29.44140625" style="62" customWidth="1"/>
    <col min="4" max="4" width="80" style="62" customWidth="1"/>
    <col min="5" max="5" width="85.77734375" style="70" customWidth="1"/>
    <col min="6" max="14" width="11.44140625" style="4"/>
  </cols>
  <sheetData>
    <row r="1" spans="1:14" s="4" customFormat="1" x14ac:dyDescent="0.3">
      <c r="B1" s="65"/>
      <c r="C1" s="5"/>
      <c r="D1" s="5"/>
      <c r="E1" s="70"/>
      <c r="G1" s="193"/>
      <c r="N1" s="4" t="s">
        <v>50</v>
      </c>
    </row>
    <row r="2" spans="1:14" s="4" customFormat="1" ht="62.1" customHeight="1" thickBot="1" x14ac:dyDescent="0.35">
      <c r="B2" s="10" t="s">
        <v>304</v>
      </c>
      <c r="C2" s="78" t="s">
        <v>407</v>
      </c>
      <c r="D2" s="76"/>
      <c r="E2" s="71"/>
      <c r="F2" s="7"/>
      <c r="G2" s="194"/>
      <c r="H2" s="8"/>
    </row>
    <row r="3" spans="1:14" s="2" customFormat="1" ht="15" thickTop="1" x14ac:dyDescent="0.3">
      <c r="A3" s="1"/>
      <c r="B3" s="66"/>
      <c r="C3" s="77"/>
      <c r="D3" s="77"/>
      <c r="E3" s="68"/>
    </row>
    <row r="4" spans="1:14" ht="21" x14ac:dyDescent="0.3">
      <c r="B4" s="67" t="s">
        <v>305</v>
      </c>
      <c r="C4" s="64" t="s">
        <v>306</v>
      </c>
      <c r="D4" s="64" t="s">
        <v>307</v>
      </c>
      <c r="E4" s="68"/>
    </row>
    <row r="5" spans="1:14" ht="164.55" customHeight="1" x14ac:dyDescent="0.3">
      <c r="B5" s="75" t="s">
        <v>225</v>
      </c>
      <c r="C5" s="74" t="s">
        <v>308</v>
      </c>
      <c r="D5" s="72" t="s">
        <v>309</v>
      </c>
      <c r="E5" s="68"/>
    </row>
    <row r="6" spans="1:14" ht="135.6" customHeight="1" x14ac:dyDescent="0.3">
      <c r="B6" s="75" t="s">
        <v>52</v>
      </c>
      <c r="C6" s="74" t="s">
        <v>308</v>
      </c>
      <c r="D6" s="72" t="s">
        <v>310</v>
      </c>
      <c r="E6" s="68"/>
    </row>
    <row r="7" spans="1:14" ht="143.1" customHeight="1" x14ac:dyDescent="0.3">
      <c r="B7" s="63" t="s">
        <v>186</v>
      </c>
      <c r="C7" s="74" t="s">
        <v>311</v>
      </c>
      <c r="D7" s="72" t="s">
        <v>312</v>
      </c>
      <c r="E7" s="68"/>
    </row>
    <row r="8" spans="1:14" ht="86.4" x14ac:dyDescent="0.3">
      <c r="B8" s="63" t="s">
        <v>147</v>
      </c>
      <c r="C8" s="74" t="s">
        <v>313</v>
      </c>
      <c r="D8" s="72" t="s">
        <v>314</v>
      </c>
      <c r="E8" s="68"/>
    </row>
    <row r="9" spans="1:14" ht="28.8" x14ac:dyDescent="0.3">
      <c r="B9" s="63" t="s">
        <v>315</v>
      </c>
      <c r="C9" s="74" t="s">
        <v>316</v>
      </c>
      <c r="D9" s="72" t="s">
        <v>317</v>
      </c>
      <c r="E9" s="68"/>
    </row>
    <row r="10" spans="1:14" ht="43.2" x14ac:dyDescent="0.3">
      <c r="B10" s="63" t="s">
        <v>224</v>
      </c>
      <c r="C10" s="74" t="s">
        <v>318</v>
      </c>
      <c r="D10" s="72" t="s">
        <v>319</v>
      </c>
      <c r="E10" s="68"/>
    </row>
    <row r="11" spans="1:14" x14ac:dyDescent="0.3">
      <c r="A11" s="2"/>
      <c r="B11" s="68"/>
      <c r="C11" s="2"/>
      <c r="D11" s="2"/>
      <c r="E11" s="68"/>
    </row>
  </sheetData>
  <mergeCells count="1">
    <mergeCell ref="G1:G2"/>
  </mergeCells>
  <pageMargins left="0.7" right="0.7" top="0.75" bottom="0.75" header="0.3" footer="0.3"/>
  <headerFooter>
    <oddFooter>&amp;L_x000D_&amp;1#&amp;"Tahoma"&amp;9&amp;KCF022B C2 – Uso Restringit</oddFooter>
  </headerFooter>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B05891-503E-41AE-85F0-178B95DD4FE1}">
  <dimension ref="A1:BV280"/>
  <sheetViews>
    <sheetView topLeftCell="B1" workbookViewId="0">
      <pane ySplit="1" topLeftCell="A2" activePane="bottomLeft" state="frozen"/>
      <selection pane="bottomLeft" activeCell="D2" sqref="D2"/>
    </sheetView>
  </sheetViews>
  <sheetFormatPr baseColWidth="10" defaultColWidth="10.88671875" defaultRowHeight="14.4" x14ac:dyDescent="0.3"/>
  <cols>
    <col min="1" max="1" width="1.5546875" style="132" customWidth="1"/>
    <col min="2" max="2" width="34.77734375" style="132" customWidth="1"/>
    <col min="3" max="3" width="1.5546875" style="132" customWidth="1"/>
    <col min="4" max="4" width="34.77734375" style="132" customWidth="1"/>
    <col min="5" max="5" width="1.5546875" style="132" customWidth="1"/>
    <col min="6" max="6" width="34.77734375" style="132" customWidth="1"/>
    <col min="7" max="7" width="1.5546875" style="132" customWidth="1"/>
    <col min="8" max="8" width="20.5546875" style="132" customWidth="1"/>
    <col min="9" max="9" width="1.5546875" style="132" customWidth="1"/>
    <col min="10" max="10" width="13.44140625" style="132" bestFit="1" customWidth="1"/>
    <col min="11" max="11" width="1.5546875" style="132" customWidth="1"/>
    <col min="12" max="12" width="20.5546875" style="132" customWidth="1"/>
    <col min="13" max="13" width="2.5546875" style="132" customWidth="1"/>
    <col min="14" max="14" width="22.44140625" style="132" bestFit="1" customWidth="1"/>
    <col min="15" max="15" width="2.5546875" style="132" customWidth="1"/>
    <col min="16" max="16" width="8.5546875" style="132" bestFit="1" customWidth="1"/>
    <col min="17" max="17" width="1.5546875" style="132" customWidth="1"/>
    <col min="18" max="18" width="25.21875" style="132" bestFit="1" customWidth="1"/>
    <col min="19" max="19" width="1.5546875" style="132" customWidth="1"/>
    <col min="20" max="20" width="20.5546875" style="132" bestFit="1" customWidth="1"/>
    <col min="21" max="21" width="1.5546875" style="132" customWidth="1"/>
    <col min="22" max="22" width="20.5546875" style="132" customWidth="1"/>
    <col min="23" max="23" width="1.5546875" style="132" customWidth="1"/>
    <col min="24" max="24" width="22.44140625" style="132" bestFit="1" customWidth="1"/>
    <col min="25" max="25" width="54.109375" style="132" bestFit="1" customWidth="1"/>
    <col min="26" max="26" width="1.5546875" style="132" customWidth="1"/>
    <col min="27" max="27" width="19.21875" style="132" bestFit="1" customWidth="1"/>
    <col min="28" max="28" width="1.5546875" style="132" customWidth="1"/>
    <col min="29" max="29" width="9.44140625" style="132" bestFit="1" customWidth="1"/>
    <col min="30" max="30" width="1.5546875" style="132" customWidth="1"/>
    <col min="31" max="31" width="9.44140625" style="132" bestFit="1" customWidth="1"/>
    <col min="32" max="32" width="1.5546875" style="132" customWidth="1"/>
    <col min="33" max="33" width="42.6640625" style="132" customWidth="1"/>
    <col min="34" max="34" width="1.5546875" style="132" customWidth="1"/>
    <col min="35" max="35" width="27.21875" style="132" bestFit="1" customWidth="1"/>
    <col min="36" max="36" width="1.5546875" style="132" customWidth="1"/>
    <col min="37" max="37" width="21.5546875" style="132" bestFit="1" customWidth="1"/>
    <col min="38" max="38" width="1.5546875" style="132" customWidth="1"/>
    <col min="39" max="39" width="21.5546875" style="132" bestFit="1" customWidth="1"/>
    <col min="40" max="40" width="1.5546875" style="132" customWidth="1"/>
    <col min="41" max="41" width="19.21875" style="132" bestFit="1" customWidth="1"/>
    <col min="42" max="42" width="1.5546875" style="132" customWidth="1"/>
    <col min="43" max="43" width="12.21875" style="132" bestFit="1" customWidth="1"/>
    <col min="44" max="44" width="1.5546875" style="132" customWidth="1"/>
    <col min="45" max="45" width="16.77734375" style="132" bestFit="1" customWidth="1"/>
    <col min="46" max="46" width="1.5546875" style="132" customWidth="1"/>
    <col min="47" max="47" width="20.44140625" style="132" bestFit="1" customWidth="1"/>
    <col min="48" max="48" width="1.5546875" style="132" customWidth="1"/>
    <col min="49" max="49" width="6.21875" style="132" bestFit="1" customWidth="1"/>
    <col min="50" max="50" width="1.5546875" style="132" customWidth="1"/>
    <col min="51" max="51" width="32.44140625" style="132" bestFit="1" customWidth="1"/>
    <col min="52" max="52" width="1.5546875" style="132" customWidth="1"/>
    <col min="53" max="53" width="11.5546875" style="132" bestFit="1"/>
    <col min="54" max="54" width="1.5546875" style="132" customWidth="1"/>
    <col min="55" max="55" width="11.5546875" style="132" bestFit="1"/>
    <col min="56" max="56" width="1.5546875" style="132" customWidth="1"/>
    <col min="57" max="57" width="39.6640625" style="132" customWidth="1"/>
    <col min="58" max="58" width="2.5546875" style="132" customWidth="1"/>
    <col min="59" max="59" width="11.44140625" style="132" bestFit="1" customWidth="1"/>
    <col min="60" max="60" width="2.5546875" style="132" customWidth="1"/>
    <col min="61" max="61" width="10.5546875" style="132" bestFit="1" customWidth="1"/>
    <col min="62" max="62" width="2.5546875" style="132" customWidth="1"/>
    <col min="63" max="63" width="7.44140625" style="132" bestFit="1" customWidth="1"/>
    <col min="64" max="64" width="1.5546875" style="132" customWidth="1"/>
    <col min="65" max="65" width="20.5546875" style="132" bestFit="1" customWidth="1"/>
    <col min="66" max="66" width="1.5546875" style="132" customWidth="1"/>
    <col min="67" max="67" width="21.5546875" style="132" bestFit="1" customWidth="1"/>
    <col min="68" max="68" width="1.5546875" style="132" customWidth="1"/>
    <col min="69" max="69" width="8.5546875" style="132" bestFit="1" customWidth="1"/>
    <col min="70" max="70" width="1.5546875" style="132" customWidth="1"/>
    <col min="71" max="71" width="14.109375" style="132" customWidth="1"/>
    <col min="72" max="73" width="1.5546875" style="132" customWidth="1"/>
    <col min="74" max="74" width="11.5546875" style="132" bestFit="1"/>
    <col min="75" max="16384" width="10.88671875" style="97"/>
  </cols>
  <sheetData>
    <row r="1" spans="2:74" x14ac:dyDescent="0.3">
      <c r="B1" s="133" t="s">
        <v>953</v>
      </c>
      <c r="D1" s="134" t="s">
        <v>954</v>
      </c>
      <c r="F1" s="135" t="s">
        <v>955</v>
      </c>
      <c r="H1" s="133" t="s">
        <v>5</v>
      </c>
      <c r="J1" s="133" t="s">
        <v>320</v>
      </c>
      <c r="L1" s="133" t="s">
        <v>8</v>
      </c>
      <c r="N1" s="133" t="s">
        <v>13</v>
      </c>
      <c r="O1" s="132" t="s">
        <v>321</v>
      </c>
      <c r="P1" s="133" t="s">
        <v>14</v>
      </c>
      <c r="R1" s="134" t="s">
        <v>397</v>
      </c>
      <c r="T1" s="136" t="s">
        <v>587</v>
      </c>
      <c r="V1" s="136" t="s">
        <v>548</v>
      </c>
      <c r="X1" s="136" t="s">
        <v>54</v>
      </c>
      <c r="Y1" s="136"/>
      <c r="AA1" s="136" t="s">
        <v>554</v>
      </c>
      <c r="AC1" s="136" t="s">
        <v>330</v>
      </c>
      <c r="AE1" s="136" t="s">
        <v>524</v>
      </c>
      <c r="AG1" s="136" t="s">
        <v>536</v>
      </c>
      <c r="AI1" s="136" t="s">
        <v>537</v>
      </c>
      <c r="AK1" s="136" t="s">
        <v>159</v>
      </c>
      <c r="AM1" s="136" t="s">
        <v>530</v>
      </c>
      <c r="AO1" s="137" t="s">
        <v>322</v>
      </c>
      <c r="AQ1" s="137" t="s">
        <v>149</v>
      </c>
      <c r="AS1" s="137" t="s">
        <v>150</v>
      </c>
      <c r="AU1" s="138" t="s">
        <v>323</v>
      </c>
      <c r="AW1" s="139" t="s">
        <v>197</v>
      </c>
      <c r="AY1" s="139" t="s">
        <v>199</v>
      </c>
      <c r="BA1" s="139" t="s">
        <v>203</v>
      </c>
      <c r="BC1" s="140" t="s">
        <v>324</v>
      </c>
      <c r="BE1" s="141" t="s">
        <v>325</v>
      </c>
      <c r="BG1" s="141" t="s">
        <v>326</v>
      </c>
      <c r="BI1" s="141" t="s">
        <v>228</v>
      </c>
      <c r="BK1" s="141" t="s">
        <v>327</v>
      </c>
      <c r="BM1" s="141" t="s">
        <v>328</v>
      </c>
      <c r="BO1" s="141" t="s">
        <v>164</v>
      </c>
      <c r="BQ1" s="141" t="s">
        <v>329</v>
      </c>
      <c r="BS1" s="141" t="s">
        <v>612</v>
      </c>
      <c r="BT1" s="141"/>
      <c r="BV1" s="139" t="s">
        <v>528</v>
      </c>
    </row>
    <row r="2" spans="2:74" ht="21.6" x14ac:dyDescent="0.3">
      <c r="B2" s="142" t="str" cm="1">
        <f t="array" ref="B2:B42">_xlfn._xlws.SORT(_xlfn.UNIQUE(Sistemes))</f>
        <v>Catàleg de tràmits i eina de tramitació digital</v>
      </c>
      <c r="D2" s="130" t="str" cm="1">
        <f t="array" ref="D2:D38">_xlfn._xlws.SORT(_xlfn.UNIQUE(Dominis))</f>
        <v>Activitat administrativa</v>
      </c>
      <c r="F2" s="143" t="str" cm="1">
        <f t="array" ref="F2:F113">_xlfn._xlws.SORT(_xlfn.UNIQUE(ConjuntsDades))</f>
        <v>Abonaments de les instal·lacions esportives i piscines</v>
      </c>
      <c r="H2" s="144" t="s">
        <v>22</v>
      </c>
      <c r="J2" s="144" t="s">
        <v>331</v>
      </c>
      <c r="L2" s="144" t="s">
        <v>19</v>
      </c>
      <c r="N2" s="144" t="s">
        <v>27</v>
      </c>
      <c r="O2" s="132" t="s">
        <v>321</v>
      </c>
      <c r="P2" s="144" t="s">
        <v>27</v>
      </c>
      <c r="R2" s="144" t="s">
        <v>402</v>
      </c>
      <c r="T2" s="144" t="s">
        <v>594</v>
      </c>
      <c r="V2" s="144" t="s">
        <v>550</v>
      </c>
      <c r="X2" s="144" t="s">
        <v>66</v>
      </c>
      <c r="Y2" s="132" t="s">
        <v>332</v>
      </c>
      <c r="AA2" s="144" t="s">
        <v>555</v>
      </c>
      <c r="AC2" s="144" t="s">
        <v>177</v>
      </c>
      <c r="AE2" s="144" t="s">
        <v>547</v>
      </c>
      <c r="AG2" s="144" t="s">
        <v>538</v>
      </c>
      <c r="AI2" s="144" t="s">
        <v>545</v>
      </c>
      <c r="AK2" s="144" t="s">
        <v>166</v>
      </c>
      <c r="AM2" s="144" t="s">
        <v>169</v>
      </c>
      <c r="AO2" s="144" t="s">
        <v>334</v>
      </c>
      <c r="AQ2" s="144" t="s">
        <v>169</v>
      </c>
      <c r="AS2" s="145" t="s">
        <v>178</v>
      </c>
      <c r="AU2" s="144" t="s">
        <v>169</v>
      </c>
      <c r="AW2" s="144" t="s">
        <v>169</v>
      </c>
      <c r="AY2" s="144" t="s">
        <v>335</v>
      </c>
      <c r="BA2" s="144" t="s">
        <v>169</v>
      </c>
      <c r="BC2" s="40" t="s">
        <v>336</v>
      </c>
      <c r="BE2" s="39" t="s">
        <v>337</v>
      </c>
      <c r="BG2" s="144" t="s">
        <v>338</v>
      </c>
      <c r="BI2" s="144" t="s">
        <v>215</v>
      </c>
      <c r="BK2" s="144" t="s">
        <v>339</v>
      </c>
      <c r="BM2" s="144" t="s">
        <v>340</v>
      </c>
      <c r="BO2" s="144" t="s">
        <v>168</v>
      </c>
      <c r="BQ2" s="144" t="s">
        <v>341</v>
      </c>
      <c r="BS2" s="146" t="s">
        <v>939</v>
      </c>
      <c r="BT2" s="146">
        <v>1</v>
      </c>
      <c r="BV2" s="144" t="s">
        <v>169</v>
      </c>
    </row>
    <row r="3" spans="2:74" ht="21.6" x14ac:dyDescent="0.3">
      <c r="B3" s="142" t="str">
        <v>Comptabilitat municipal</v>
      </c>
      <c r="D3" s="130" t="str">
        <v>Aigua i sanejament</v>
      </c>
      <c r="F3" s="147" t="str">
        <v>Accidents de trànsit urbà</v>
      </c>
      <c r="H3" s="144" t="s">
        <v>25</v>
      </c>
      <c r="J3" s="144" t="s">
        <v>342</v>
      </c>
      <c r="L3" s="144" t="s">
        <v>31</v>
      </c>
      <c r="N3" s="144" t="s">
        <v>21</v>
      </c>
      <c r="O3" s="132" t="s">
        <v>321</v>
      </c>
      <c r="P3" s="144" t="s">
        <v>21</v>
      </c>
      <c r="R3" s="144" t="s">
        <v>403</v>
      </c>
      <c r="T3" s="144" t="s">
        <v>595</v>
      </c>
      <c r="V3" s="144" t="s">
        <v>549</v>
      </c>
      <c r="X3" s="144" t="s">
        <v>76</v>
      </c>
      <c r="Y3" s="132" t="s">
        <v>343</v>
      </c>
      <c r="AA3" s="144" t="s">
        <v>556</v>
      </c>
      <c r="AC3" s="144" t="s">
        <v>170</v>
      </c>
      <c r="AE3" s="144" t="s">
        <v>525</v>
      </c>
      <c r="AG3" s="144" t="s">
        <v>540</v>
      </c>
      <c r="AI3" s="144" t="s">
        <v>610</v>
      </c>
      <c r="AK3" s="144" t="s">
        <v>171</v>
      </c>
      <c r="AM3" s="144" t="s">
        <v>23</v>
      </c>
      <c r="AO3" s="144" t="s">
        <v>344</v>
      </c>
      <c r="AQ3" s="144" t="s">
        <v>23</v>
      </c>
      <c r="AS3" s="145" t="e" cm="1">
        <f t="array" ref="AS3">_xlfn._xlws.SORT(_xlfn.UNIQUE(_xlfn._xlws.FILTER(Entitats,#REF!="Si")))</f>
        <v>#NAME?</v>
      </c>
      <c r="AU3" s="144" t="s">
        <v>23</v>
      </c>
      <c r="AW3" s="144" t="s">
        <v>23</v>
      </c>
      <c r="AY3" s="144" t="s">
        <v>345</v>
      </c>
      <c r="BA3" s="144" t="s">
        <v>23</v>
      </c>
      <c r="BC3" s="41" t="s">
        <v>218</v>
      </c>
      <c r="BE3" s="39" t="s">
        <v>346</v>
      </c>
      <c r="BG3" s="144" t="s">
        <v>347</v>
      </c>
      <c r="BI3" s="144" t="s">
        <v>348</v>
      </c>
      <c r="BK3" s="144" t="s">
        <v>145</v>
      </c>
      <c r="BM3" s="144" t="s">
        <v>349</v>
      </c>
      <c r="BO3" s="144" t="s">
        <v>172</v>
      </c>
      <c r="BQ3" s="144" t="s">
        <v>350</v>
      </c>
      <c r="BS3" s="146" t="s">
        <v>940</v>
      </c>
      <c r="BT3" s="146">
        <v>1</v>
      </c>
      <c r="BV3" s="144" t="s">
        <v>23</v>
      </c>
    </row>
    <row r="4" spans="2:74" ht="21.6" x14ac:dyDescent="0.3">
      <c r="B4" s="142" t="str">
        <v>Control horari</v>
      </c>
      <c r="D4" s="130" t="str">
        <v>Atenció ciutadana</v>
      </c>
      <c r="F4" s="147" t="str">
        <v>Actes del ple i decrets d'Alcaldia</v>
      </c>
      <c r="H4" s="144" t="s">
        <v>28</v>
      </c>
      <c r="J4" s="144" t="s">
        <v>351</v>
      </c>
      <c r="L4" s="144" t="s">
        <v>352</v>
      </c>
      <c r="N4" s="144" t="s">
        <v>26</v>
      </c>
      <c r="O4" s="132" t="s">
        <v>321</v>
      </c>
      <c r="P4" s="144" t="s">
        <v>24</v>
      </c>
      <c r="R4" s="144" t="s">
        <v>399</v>
      </c>
      <c r="T4" s="144" t="s">
        <v>596</v>
      </c>
      <c r="V4" s="144" t="s">
        <v>395</v>
      </c>
      <c r="X4" s="144" t="s">
        <v>70</v>
      </c>
      <c r="Y4" s="132" t="s">
        <v>353</v>
      </c>
      <c r="AA4" s="144" t="s">
        <v>557</v>
      </c>
      <c r="AC4" s="144" t="s">
        <v>361</v>
      </c>
      <c r="AE4" s="144" t="s">
        <v>526</v>
      </c>
      <c r="AG4" s="144" t="s">
        <v>539</v>
      </c>
      <c r="AI4" s="144" t="s">
        <v>611</v>
      </c>
      <c r="AK4" s="144" t="s">
        <v>173</v>
      </c>
      <c r="AM4" s="144" t="s">
        <v>529</v>
      </c>
      <c r="AO4" s="144" t="s">
        <v>354</v>
      </c>
      <c r="AQ4" s="144"/>
      <c r="AS4" s="145"/>
      <c r="AU4" s="144"/>
      <c r="AW4" s="144"/>
      <c r="AY4" s="144" t="s">
        <v>355</v>
      </c>
      <c r="BA4" s="144"/>
      <c r="BC4" s="41" t="s">
        <v>356</v>
      </c>
      <c r="BE4" s="39" t="s">
        <v>357</v>
      </c>
      <c r="BG4" s="144" t="s">
        <v>358</v>
      </c>
      <c r="BI4" s="144" t="s">
        <v>217</v>
      </c>
      <c r="BK4" s="144" t="s">
        <v>359</v>
      </c>
      <c r="BM4" s="144" t="s">
        <v>29</v>
      </c>
      <c r="BO4" s="144" t="s">
        <v>175</v>
      </c>
      <c r="BQ4" s="144" t="s">
        <v>360</v>
      </c>
      <c r="BS4" s="148" t="s">
        <v>941</v>
      </c>
      <c r="BT4" s="148">
        <v>2</v>
      </c>
      <c r="BV4" s="144" t="s">
        <v>529</v>
      </c>
    </row>
    <row r="5" spans="2:74" ht="21.6" x14ac:dyDescent="0.3">
      <c r="B5" s="142" t="str">
        <v>Eina de gestió de la participació</v>
      </c>
      <c r="D5" s="130" t="str">
        <v>Bon govern, transparència i participació</v>
      </c>
      <c r="F5" s="147" t="str">
        <v>Actuacions de desinfestació i control de plagues urbanes</v>
      </c>
      <c r="H5" s="144" t="s">
        <v>18</v>
      </c>
      <c r="J5" s="149" t="s">
        <v>22</v>
      </c>
      <c r="L5" s="144" t="s">
        <v>32</v>
      </c>
      <c r="N5" s="144" t="s">
        <v>20</v>
      </c>
      <c r="O5" s="132" t="s">
        <v>321</v>
      </c>
      <c r="P5" s="144"/>
      <c r="R5" s="144" t="s">
        <v>398</v>
      </c>
      <c r="T5" s="144" t="s">
        <v>597</v>
      </c>
      <c r="V5" s="144" t="s">
        <v>551</v>
      </c>
      <c r="X5" s="144" t="s">
        <v>80</v>
      </c>
      <c r="Y5" s="132" t="s">
        <v>362</v>
      </c>
      <c r="AA5" s="144" t="s">
        <v>558</v>
      </c>
      <c r="AC5" s="144" t="s">
        <v>369</v>
      </c>
      <c r="AE5" s="144"/>
      <c r="AG5" s="144" t="s">
        <v>176</v>
      </c>
      <c r="AI5" s="144" t="s">
        <v>544</v>
      </c>
      <c r="AK5" s="144" t="s">
        <v>174</v>
      </c>
      <c r="AM5" s="144" t="s">
        <v>531</v>
      </c>
      <c r="AO5" s="144" t="s">
        <v>146</v>
      </c>
      <c r="AQ5" s="144"/>
      <c r="AS5" s="145"/>
      <c r="AY5" s="144" t="s">
        <v>363</v>
      </c>
      <c r="BC5" s="41" t="s">
        <v>219</v>
      </c>
      <c r="BE5" s="39" t="s">
        <v>364</v>
      </c>
      <c r="BG5" s="144"/>
      <c r="BI5" s="144" t="s">
        <v>365</v>
      </c>
      <c r="BK5" s="144" t="s">
        <v>366</v>
      </c>
      <c r="BM5" s="144" t="s">
        <v>367</v>
      </c>
      <c r="BO5" s="144" t="s">
        <v>180</v>
      </c>
      <c r="BQ5" s="144" t="s">
        <v>368</v>
      </c>
      <c r="BS5" s="146" t="s">
        <v>942</v>
      </c>
      <c r="BT5" s="146">
        <v>1</v>
      </c>
    </row>
    <row r="6" spans="2:74" ht="21.6" x14ac:dyDescent="0.3">
      <c r="B6" s="142" t="str">
        <v>Eina per a la valoració de diagnosi social</v>
      </c>
      <c r="D6" s="130" t="str">
        <v>Cementiri i serveis funeraris</v>
      </c>
      <c r="F6" s="147" t="str">
        <v>Actuacions de manteniment en equipaments i via Pública</v>
      </c>
      <c r="H6" s="144"/>
      <c r="J6" s="144"/>
      <c r="L6" s="144"/>
      <c r="N6" s="144" t="s">
        <v>30</v>
      </c>
      <c r="O6" s="132" t="s">
        <v>321</v>
      </c>
      <c r="P6" s="144"/>
      <c r="R6" s="144"/>
      <c r="T6" s="144"/>
      <c r="V6" s="144" t="s">
        <v>553</v>
      </c>
      <c r="X6" s="144" t="s">
        <v>107</v>
      </c>
      <c r="Y6" s="132" t="s">
        <v>370</v>
      </c>
      <c r="AA6" s="144" t="s">
        <v>559</v>
      </c>
      <c r="AC6" s="144" t="s">
        <v>167</v>
      </c>
      <c r="AE6" s="144"/>
      <c r="AG6" s="144"/>
      <c r="AI6" s="144" t="s">
        <v>543</v>
      </c>
      <c r="AK6" s="144" t="s">
        <v>181</v>
      </c>
      <c r="AM6" s="144" t="s">
        <v>532</v>
      </c>
      <c r="AO6" s="144" t="s">
        <v>145</v>
      </c>
      <c r="AQ6" s="144"/>
      <c r="AS6" s="145"/>
      <c r="AY6" s="144" t="s">
        <v>371</v>
      </c>
      <c r="BC6" s="41"/>
      <c r="BI6" s="144" t="s">
        <v>372</v>
      </c>
      <c r="BK6" s="144" t="s">
        <v>373</v>
      </c>
      <c r="BM6" s="144" t="s">
        <v>374</v>
      </c>
      <c r="BO6" s="144" t="s">
        <v>182</v>
      </c>
      <c r="BQ6" s="144" t="s">
        <v>375</v>
      </c>
      <c r="BS6" s="150" t="s">
        <v>943</v>
      </c>
      <c r="BT6" s="150">
        <v>3</v>
      </c>
    </row>
    <row r="7" spans="2:74" ht="21.6" x14ac:dyDescent="0.3">
      <c r="B7" s="142" t="str">
        <v>Eina per al càlcul del copagament SSAD i teleassistència</v>
      </c>
      <c r="D7" s="130" t="str">
        <v xml:space="preserve">Consum energètic </v>
      </c>
      <c r="F7" s="147" t="str">
        <v>Actuacions de millora i obres a la via pública</v>
      </c>
      <c r="H7" s="144"/>
      <c r="J7" s="144"/>
      <c r="L7" s="144"/>
      <c r="N7" s="144"/>
      <c r="O7" s="132" t="s">
        <v>321</v>
      </c>
      <c r="V7" s="144"/>
      <c r="X7" s="144" t="s">
        <v>62</v>
      </c>
      <c r="Y7" s="132" t="s">
        <v>376</v>
      </c>
      <c r="AA7" s="144" t="s">
        <v>114</v>
      </c>
      <c r="AC7" s="144" t="s">
        <v>179</v>
      </c>
      <c r="AE7" s="144"/>
      <c r="AG7" s="144"/>
      <c r="AI7" s="144" t="s">
        <v>542</v>
      </c>
      <c r="AK7" s="144" t="s">
        <v>609</v>
      </c>
      <c r="AM7" s="144"/>
      <c r="AO7" s="144" t="s">
        <v>377</v>
      </c>
      <c r="AQ7" s="144"/>
      <c r="AS7" s="145"/>
      <c r="AY7" s="144" t="s">
        <v>378</v>
      </c>
      <c r="BC7" s="41"/>
      <c r="BI7" s="144" t="s">
        <v>216</v>
      </c>
      <c r="BK7" s="144"/>
      <c r="BM7" s="144" t="s">
        <v>305</v>
      </c>
      <c r="BO7" s="151"/>
      <c r="BS7" s="152" t="s">
        <v>944</v>
      </c>
      <c r="BT7" s="152">
        <v>4</v>
      </c>
    </row>
    <row r="8" spans="2:74" ht="21.6" x14ac:dyDescent="0.3">
      <c r="B8" s="142" t="str">
        <v>Enquesta retributiva per a ús municipal</v>
      </c>
      <c r="D8" s="130" t="str">
        <v>Contractació, convenis i subvencions</v>
      </c>
      <c r="F8" s="147" t="str">
        <v>Aforament i intensitat de trànsit al municipi</v>
      </c>
      <c r="L8" s="144"/>
      <c r="N8" s="144"/>
      <c r="O8" s="132" t="s">
        <v>321</v>
      </c>
      <c r="X8" s="144" t="s">
        <v>81</v>
      </c>
      <c r="Y8" s="132" t="s">
        <v>379</v>
      </c>
      <c r="AA8" s="144" t="s">
        <v>561</v>
      </c>
      <c r="AC8" s="144" t="s">
        <v>183</v>
      </c>
      <c r="AE8" s="144"/>
      <c r="AG8" s="144"/>
      <c r="AI8" s="144" t="s">
        <v>541</v>
      </c>
      <c r="AK8" s="144" t="s">
        <v>176</v>
      </c>
      <c r="AM8" s="144"/>
      <c r="AS8" s="145"/>
      <c r="AY8" s="144" t="s">
        <v>380</v>
      </c>
      <c r="BI8" s="144" t="s">
        <v>381</v>
      </c>
      <c r="BM8" s="144" t="s">
        <v>382</v>
      </c>
      <c r="BO8" s="151"/>
      <c r="BS8" s="150" t="s">
        <v>945</v>
      </c>
      <c r="BT8" s="150">
        <v>3</v>
      </c>
    </row>
    <row r="9" spans="2:74" ht="21.6" x14ac:dyDescent="0.3">
      <c r="B9" s="142" t="str">
        <v>Gestió d'aparcaments</v>
      </c>
      <c r="D9" s="130" t="str">
        <v>Cultura i gestió del patrimoni cultural i històric (formulat anteriorment com Cultura i patrimoni)</v>
      </c>
      <c r="F9" s="147" t="str">
        <v>Agenda d'activitats i esdeveniments municipals</v>
      </c>
      <c r="L9" s="144"/>
      <c r="N9" s="97"/>
      <c r="O9" s="132" t="s">
        <v>321</v>
      </c>
      <c r="X9" s="144" t="s">
        <v>111</v>
      </c>
      <c r="Y9" s="132" t="s">
        <v>383</v>
      </c>
      <c r="AA9" s="144" t="s">
        <v>377</v>
      </c>
      <c r="AC9" s="144" t="s">
        <v>451</v>
      </c>
      <c r="AE9" s="144"/>
      <c r="AG9" s="144"/>
      <c r="AI9" s="144" t="s">
        <v>176</v>
      </c>
      <c r="AK9" s="144"/>
      <c r="AS9" s="145"/>
      <c r="AY9" s="144" t="s">
        <v>384</v>
      </c>
      <c r="BI9" s="144" t="s">
        <v>385</v>
      </c>
      <c r="BM9" s="144" t="s">
        <v>386</v>
      </c>
      <c r="BO9" s="97"/>
      <c r="BS9" s="152" t="s">
        <v>946</v>
      </c>
      <c r="BT9" s="152">
        <v>4</v>
      </c>
    </row>
    <row r="10" spans="2:74" ht="21.6" x14ac:dyDescent="0.3">
      <c r="B10" s="142" t="str">
        <v>Gestió de cementiris</v>
      </c>
      <c r="D10" s="131" t="str">
        <v>Dades de referència (comú a tot l'ecosistema de dades de país)</v>
      </c>
      <c r="F10" s="147" t="str">
        <v xml:space="preserve">Atenció al col·lectiu LGTBI </v>
      </c>
      <c r="L10" s="144"/>
      <c r="N10" s="97"/>
      <c r="O10" s="132" t="s">
        <v>321</v>
      </c>
      <c r="X10" s="144" t="s">
        <v>95</v>
      </c>
      <c r="Y10" s="132" t="s">
        <v>387</v>
      </c>
      <c r="AA10" s="144" t="s">
        <v>377</v>
      </c>
      <c r="AC10" s="144"/>
      <c r="AE10" s="144"/>
      <c r="AG10" s="144"/>
      <c r="AI10" s="144"/>
      <c r="AS10" s="145"/>
      <c r="AY10" s="144" t="s">
        <v>388</v>
      </c>
      <c r="BI10" s="144" t="s">
        <v>389</v>
      </c>
      <c r="BM10" s="144" t="s">
        <v>390</v>
      </c>
      <c r="BO10" s="97"/>
      <c r="BS10" s="152" t="s">
        <v>947</v>
      </c>
      <c r="BT10" s="152">
        <v>4</v>
      </c>
    </row>
    <row r="11" spans="2:74" x14ac:dyDescent="0.3">
      <c r="B11" s="142" t="str">
        <v>Gestió de l'inventari de bens mobles i inmobles</v>
      </c>
      <c r="D11" s="130" t="str">
        <v>Drets socials</v>
      </c>
      <c r="F11" s="147" t="str">
        <v>Atenció i intervenció en serveis socials</v>
      </c>
      <c r="L11" s="144"/>
      <c r="N11" s="97"/>
      <c r="O11" s="132" t="s">
        <v>321</v>
      </c>
      <c r="X11" s="144" t="s">
        <v>58</v>
      </c>
      <c r="Y11" s="132" t="s">
        <v>391</v>
      </c>
      <c r="AG11" s="144"/>
      <c r="AI11" s="144"/>
      <c r="AS11" s="145"/>
      <c r="AY11" s="144" t="s">
        <v>392</v>
      </c>
      <c r="BI11" s="144" t="s">
        <v>393</v>
      </c>
      <c r="BM11" s="144" t="s">
        <v>394</v>
      </c>
      <c r="BO11" s="97"/>
    </row>
    <row r="12" spans="2:74" x14ac:dyDescent="0.3">
      <c r="B12" s="142" t="str">
        <v>Gestió de nòmines municipals</v>
      </c>
      <c r="D12" s="130" t="str">
        <v>Economia local, comerç i mercats</v>
      </c>
      <c r="F12" s="147" t="str">
        <v>Atenció Integral a les dones (Servei SIAD)</v>
      </c>
      <c r="L12" s="144"/>
      <c r="N12" s="97"/>
      <c r="O12" s="132" t="s">
        <v>321</v>
      </c>
      <c r="X12" s="144"/>
      <c r="AG12" s="144"/>
      <c r="AI12" s="144"/>
      <c r="AS12" s="145"/>
      <c r="AY12" s="144" t="s">
        <v>395</v>
      </c>
      <c r="BI12" s="144"/>
      <c r="BM12" s="144"/>
      <c r="BO12" s="97"/>
    </row>
    <row r="13" spans="2:74" x14ac:dyDescent="0.3">
      <c r="B13" s="142" t="str">
        <v>Gestió de queixes i suggeriments</v>
      </c>
      <c r="D13" s="130" t="str">
        <v>Educació</v>
      </c>
      <c r="F13" s="147" t="str">
        <v>Avaluació i qualitat dels serveis públics</v>
      </c>
      <c r="N13" s="97"/>
      <c r="O13" s="132" t="s">
        <v>321</v>
      </c>
      <c r="AI13" s="97"/>
      <c r="AS13" s="145"/>
      <c r="AY13" s="144" t="s">
        <v>396</v>
      </c>
      <c r="BO13" s="97"/>
    </row>
    <row r="14" spans="2:74" x14ac:dyDescent="0.3">
      <c r="B14" s="142" t="str">
        <v>Gestió de representacions</v>
      </c>
      <c r="D14" s="130" t="str">
        <v>Esport</v>
      </c>
      <c r="F14" s="147" t="str">
        <v>Bústia de queixes, suggeriments i propostes</v>
      </c>
      <c r="N14" s="97"/>
      <c r="O14" s="132" t="s">
        <v>321</v>
      </c>
      <c r="R14" s="97"/>
      <c r="AI14" s="97"/>
      <c r="AS14" s="145"/>
      <c r="AY14" s="144"/>
      <c r="BO14" s="97"/>
    </row>
    <row r="15" spans="2:74" x14ac:dyDescent="0.3">
      <c r="B15" s="142" t="str">
        <v>Gestió de residus</v>
      </c>
      <c r="D15" s="130" t="str">
        <v>Formació i ocupació</v>
      </c>
      <c r="F15" s="147" t="str">
        <v>Calendari d'esdeveniments i curses esportives en el municipi</v>
      </c>
      <c r="N15" s="97"/>
      <c r="O15" s="132" t="s">
        <v>321</v>
      </c>
      <c r="R15" s="97"/>
      <c r="AI15" s="97"/>
      <c r="AS15" s="145"/>
      <c r="AY15" s="144"/>
      <c r="BO15" s="97"/>
    </row>
    <row r="16" spans="2:74" x14ac:dyDescent="0.3">
      <c r="B16" s="142" t="str">
        <v>Gestió de sancions</v>
      </c>
      <c r="D16" s="130" t="str">
        <v>Govern i organització</v>
      </c>
      <c r="F16" s="147" t="str">
        <v>Cartografia de la xarxa viària i carrers</v>
      </c>
      <c r="N16" s="97"/>
      <c r="R16" s="97"/>
      <c r="AI16" s="97"/>
      <c r="AS16" s="145"/>
      <c r="BO16" s="97"/>
    </row>
    <row r="17" spans="2:67" x14ac:dyDescent="0.3">
      <c r="B17" s="142" t="str">
        <v>Gestió de serveis bibliotecaris</v>
      </c>
      <c r="D17" s="130" t="str">
        <v>Habitatge</v>
      </c>
      <c r="F17" s="147" t="str">
        <v>Catàleg d'aplicacions i llicències corporatives</v>
      </c>
      <c r="N17" s="97"/>
      <c r="R17" s="97"/>
      <c r="AS17" s="145"/>
      <c r="BO17" s="97"/>
    </row>
    <row r="18" spans="2:67" x14ac:dyDescent="0.3">
      <c r="B18" s="142" t="str">
        <v>Gestió de subvencions</v>
      </c>
      <c r="D18" s="130" t="str">
        <v>Hisenda</v>
      </c>
      <c r="F18" s="147" t="str">
        <v>Catàleg de protecció del patrimoni arquitectònic i paisatgístic</v>
      </c>
      <c r="R18" s="97"/>
      <c r="AS18" s="145"/>
      <c r="BO18" s="97"/>
    </row>
    <row r="19" spans="2:67" x14ac:dyDescent="0.3">
      <c r="B19" s="142" t="str">
        <v>Gestió dels plans de protecció civil municipal</v>
      </c>
      <c r="D19" s="130" t="str">
        <v>Incidències de la via pública</v>
      </c>
      <c r="F19" s="147" t="str">
        <v>Cens d'activitas de risc i plans d'autoprotecció (PAU)</v>
      </c>
      <c r="R19" s="97"/>
      <c r="AS19" s="145"/>
      <c r="BO19" s="97"/>
    </row>
    <row r="20" spans="2:67" x14ac:dyDescent="0.3">
      <c r="B20" s="142" t="str">
        <v>Gestió dels sistemes de videovigilància</v>
      </c>
      <c r="D20" s="130" t="str">
        <v>Informació i comunicació</v>
      </c>
      <c r="F20" s="147" t="str">
        <v>Cens de locals comercials buits</v>
      </c>
      <c r="R20" s="97"/>
      <c r="AI20" s="97"/>
      <c r="AS20" s="145"/>
      <c r="BO20" s="97"/>
    </row>
    <row r="21" spans="2:67" x14ac:dyDescent="0.3">
      <c r="B21" s="142" t="str">
        <v>Gestió d'expedients atenció primària serveis socials</v>
      </c>
      <c r="D21" s="130" t="str">
        <v>Informació territorial i geoespacial</v>
      </c>
      <c r="F21" s="147" t="str">
        <v>Cens d'empreses, comerços i establiments</v>
      </c>
      <c r="R21" s="97"/>
      <c r="AI21" s="97"/>
      <c r="AS21" s="145"/>
      <c r="BO21" s="97"/>
    </row>
    <row r="22" spans="2:67" x14ac:dyDescent="0.3">
      <c r="B22" s="142" t="str">
        <v>Gestió d'incidències a la via pública i manteniment d'equipaments</v>
      </c>
      <c r="D22" s="130" t="str">
        <v>Medi ambient</v>
      </c>
      <c r="F22" s="147" t="str">
        <v>Cens d'instal·lacions esportives (públiques i privades)</v>
      </c>
      <c r="R22" s="97"/>
      <c r="AI22" s="97"/>
      <c r="AS22" s="145"/>
    </row>
    <row r="23" spans="2:67" x14ac:dyDescent="0.3">
      <c r="B23" s="142" t="str">
        <v>Gestió policial d'atestats</v>
      </c>
      <c r="D23" s="130" t="str">
        <v>Mobilitat i trànsit</v>
      </c>
      <c r="F23" s="147" t="str">
        <v>Control analític de fonts públiques i piscines</v>
      </c>
      <c r="R23" s="97"/>
      <c r="AG23" s="97"/>
      <c r="AS23" s="145"/>
    </row>
    <row r="24" spans="2:67" x14ac:dyDescent="0.3">
      <c r="B24" s="142" t="str">
        <v>GIAM</v>
      </c>
      <c r="D24" s="130" t="str">
        <v>Neteja viària</v>
      </c>
      <c r="F24" s="147" t="str">
        <v>Control analític de l'aigua de consum humà</v>
      </c>
      <c r="R24" s="97"/>
      <c r="AG24" s="97"/>
      <c r="AS24" s="145"/>
    </row>
    <row r="25" spans="2:67" x14ac:dyDescent="0.3">
      <c r="B25" s="142" t="str">
        <v>Padró municipal d’habitants</v>
      </c>
      <c r="D25" s="130" t="str">
        <v>Obres públiques i manteniment</v>
      </c>
      <c r="F25" s="147" t="str">
        <v>Dades d'alumnes d'escoles municipals</v>
      </c>
      <c r="R25" s="97"/>
      <c r="AG25" s="97"/>
      <c r="AS25" s="145"/>
    </row>
    <row r="26" spans="2:67" x14ac:dyDescent="0.3">
      <c r="B26" s="142" t="str">
        <v>Plataforma de gestió d'informació de sensors</v>
      </c>
      <c r="D26" s="130" t="str">
        <v>Padró i identitat ciutadana (antic Població)</v>
      </c>
      <c r="F26" s="147" t="str">
        <v>Dades de cadastre municipal</v>
      </c>
      <c r="R26" s="97"/>
      <c r="AG26" s="97"/>
      <c r="AS26" s="145"/>
    </row>
    <row r="27" spans="2:67" x14ac:dyDescent="0.3">
      <c r="B27" s="142" t="str">
        <v>Portal de dades obertes municipal</v>
      </c>
      <c r="D27" s="130" t="str">
        <v>Patrimoni i actius municipals (nou)</v>
      </c>
      <c r="F27" s="147" t="str">
        <v>Dades de consum d'aigua dels equipaments municipals</v>
      </c>
      <c r="R27" s="97"/>
      <c r="AG27" s="97"/>
      <c r="AI27" s="97"/>
      <c r="AS27" s="145"/>
    </row>
    <row r="28" spans="2:67" x14ac:dyDescent="0.3">
      <c r="B28" s="142" t="str">
        <v>Portal de transparència municipal</v>
      </c>
      <c r="D28" s="130" t="str">
        <v>Protecció civil i emergències</v>
      </c>
      <c r="F28" s="147" t="str">
        <v>Dades de consum energètic dels equipaments municipals</v>
      </c>
      <c r="R28" s="97"/>
      <c r="AG28" s="97"/>
      <c r="AI28" s="97"/>
      <c r="AS28" s="145"/>
    </row>
    <row r="29" spans="2:67" x14ac:dyDescent="0.3">
      <c r="B29" s="142" t="str">
        <v>Registre d'activitats econòmiques (GIA)</v>
      </c>
      <c r="D29" s="130" t="str">
        <v>Recursos humans</v>
      </c>
      <c r="F29" s="147" t="str">
        <v>Dades del servei d'atenció domiciliària (SAD)</v>
      </c>
      <c r="R29" s="97"/>
      <c r="AG29" s="97"/>
      <c r="AI29" s="97"/>
      <c r="AS29" s="145"/>
    </row>
    <row r="30" spans="2:67" x14ac:dyDescent="0.3">
      <c r="B30" s="142" t="str">
        <v>Registre d'analítiques de la qualitat de l’aigua</v>
      </c>
      <c r="D30" s="130" t="str">
        <v>Residus</v>
      </c>
      <c r="F30" s="147" t="str">
        <v>Dades del servei de teleassistència municipal</v>
      </c>
      <c r="R30" s="97"/>
      <c r="AG30" s="97"/>
      <c r="AI30" s="97"/>
      <c r="AS30" s="145"/>
    </row>
    <row r="31" spans="2:67" x14ac:dyDescent="0.3">
      <c r="B31" s="142" t="str">
        <v>Registre d'entrada i sortida</v>
      </c>
      <c r="D31" s="130" t="str">
        <v>Salut pública</v>
      </c>
      <c r="F31" s="147" t="str">
        <v>Directori de contacte del personal de l'ens Local</v>
      </c>
      <c r="R31" s="97"/>
      <c r="AG31" s="97"/>
      <c r="AI31" s="97"/>
      <c r="AS31" s="145"/>
    </row>
    <row r="32" spans="2:67" x14ac:dyDescent="0.3">
      <c r="B32" s="142" t="str">
        <v>Repositori imatges arxius municipals (IMAGINA )</v>
      </c>
      <c r="D32" s="130" t="str">
        <v>Secretaria</v>
      </c>
      <c r="F32" s="147" t="str">
        <v>Elements tècnics del pla de protecció civil (DUPROCIM)</v>
      </c>
      <c r="R32" s="97"/>
      <c r="X32" s="97"/>
      <c r="AG32" s="97"/>
      <c r="AI32" s="97"/>
      <c r="AS32" s="145"/>
    </row>
    <row r="33" spans="2:45" x14ac:dyDescent="0.3">
      <c r="B33" s="142" t="str">
        <v>Seu electrònica</v>
      </c>
      <c r="D33" s="130" t="str">
        <v>Seguretat, civisme i policia local</v>
      </c>
      <c r="F33" s="147" t="str">
        <v>Estadístiques de visites de la web municipal</v>
      </c>
      <c r="R33" s="97"/>
      <c r="X33" s="97"/>
      <c r="AG33" s="97"/>
      <c r="AI33" s="97"/>
      <c r="AS33" s="145"/>
    </row>
    <row r="34" spans="2:45" x14ac:dyDescent="0.3">
      <c r="B34" s="142" t="str">
        <v>Sistema d’Informació geogràfica municipal</v>
      </c>
      <c r="D34" s="130" t="str">
        <v>Tecnologies: serveis i seguretat digitals</v>
      </c>
      <c r="F34" s="147" t="str">
        <v>Execució del presupost municipal</v>
      </c>
      <c r="R34" s="97"/>
      <c r="X34" s="97"/>
      <c r="AG34" s="97"/>
      <c r="AI34" s="97"/>
      <c r="AS34" s="145"/>
    </row>
    <row r="35" spans="2:45" x14ac:dyDescent="0.3">
      <c r="B35" s="142" t="str">
        <v>Sistema de cita prèvia</v>
      </c>
      <c r="D35" s="130" t="str">
        <v>Turisme i oci</v>
      </c>
      <c r="F35" s="147" t="str">
        <v>Fons documental de l'arxiu municipal</v>
      </c>
      <c r="R35" s="97"/>
      <c r="X35" s="97"/>
      <c r="AG35" s="97"/>
      <c r="AI35" s="97"/>
      <c r="AS35" s="145"/>
    </row>
    <row r="36" spans="2:45" x14ac:dyDescent="0.3">
      <c r="B36" s="142" t="str">
        <v>Sistema de gestió de les auditories pobresa energètica</v>
      </c>
      <c r="D36" s="130" t="str">
        <v>Un domini de dades és una classificació lògica que agrupa dades relacionades per un significat, tema o propòsit comú, independentment de l’aplicació</v>
      </c>
      <c r="F36" s="147" t="str">
        <v>Fons fotogràfic i audiovisual de l'arxiu</v>
      </c>
      <c r="R36" s="97"/>
      <c r="X36" s="97"/>
      <c r="AG36" s="97"/>
      <c r="AI36" s="97"/>
      <c r="AS36" s="145"/>
    </row>
    <row r="37" spans="2:45" x14ac:dyDescent="0.3">
      <c r="B37" s="142" t="str">
        <v>Sistema de gestió de personal</v>
      </c>
      <c r="D37" s="130" t="str">
        <v>Urbanisme i planejament</v>
      </c>
      <c r="F37" s="147" t="str">
        <v>Fonts locals, pous i punts d'Aigua</v>
      </c>
      <c r="R37" s="97"/>
      <c r="X37" s="97"/>
      <c r="AG37" s="97"/>
      <c r="AI37" s="97"/>
      <c r="AS37" s="145"/>
    </row>
    <row r="38" spans="2:45" x14ac:dyDescent="0.3">
      <c r="B38" s="142" t="str">
        <v>Sistema de gestió d'impostos municipals</v>
      </c>
      <c r="D38" s="130">
        <v>0</v>
      </c>
      <c r="F38" s="147" t="str">
        <v>Gestió de la cita prèvia municipal</v>
      </c>
      <c r="J38" s="132" t="s">
        <v>320</v>
      </c>
      <c r="R38" s="97"/>
      <c r="X38" s="97"/>
      <c r="AG38" s="97"/>
      <c r="AI38" s="97"/>
      <c r="AS38" s="145"/>
    </row>
    <row r="39" spans="2:45" x14ac:dyDescent="0.3">
      <c r="B39" s="142" t="str">
        <v>Sistema per a la gestió de serveis locals d’ocupació (XALOC)</v>
      </c>
      <c r="D39" s="130"/>
      <c r="F39" s="147" t="str">
        <v>Gestió de nòmines i costos de personal</v>
      </c>
      <c r="R39" s="97"/>
      <c r="X39" s="97"/>
      <c r="AG39" s="97"/>
      <c r="AI39" s="97"/>
    </row>
    <row r="40" spans="2:45" x14ac:dyDescent="0.3">
      <c r="B40" s="142" t="str">
        <v>Tramitació d’expedients administratius</v>
      </c>
      <c r="F40" s="147" t="str">
        <v>Gestió de personal: plantilla i relació de llocs de treball (RLT)</v>
      </c>
      <c r="R40" s="97"/>
      <c r="X40" s="97"/>
      <c r="AG40" s="97"/>
      <c r="AI40" s="97"/>
    </row>
    <row r="41" spans="2:45" x14ac:dyDescent="0.3">
      <c r="B41" s="142" t="str">
        <v>Web municipal</v>
      </c>
      <c r="F41" s="147" t="str">
        <v>Indicadors de l'atenció ciutadana presencial (OAC)</v>
      </c>
      <c r="R41" s="97"/>
      <c r="X41" s="97"/>
      <c r="AG41" s="97"/>
      <c r="AI41" s="97"/>
    </row>
    <row r="42" spans="2:45" x14ac:dyDescent="0.3">
      <c r="B42" s="142">
        <v>0</v>
      </c>
      <c r="F42" s="147" t="str">
        <v>Indicadors de sostenibilitat: consums i canvi climàtic</v>
      </c>
      <c r="R42" s="97"/>
      <c r="X42" s="97"/>
      <c r="AG42" s="97"/>
      <c r="AI42" s="97"/>
    </row>
    <row r="43" spans="2:45" x14ac:dyDescent="0.3">
      <c r="B43" s="142"/>
      <c r="F43" s="147" t="str">
        <v>Infraestructura de vies ciclables i vehicles de mobilitat personal (VMP)</v>
      </c>
      <c r="R43" s="97"/>
      <c r="X43" s="97"/>
      <c r="AG43" s="97"/>
      <c r="AI43" s="97"/>
    </row>
    <row r="44" spans="2:45" x14ac:dyDescent="0.3">
      <c r="B44" s="142"/>
      <c r="F44" s="147" t="str">
        <v>Inscripcions i formació de treballadors públics</v>
      </c>
      <c r="R44" s="97"/>
      <c r="X44" s="97"/>
      <c r="AG44" s="97"/>
      <c r="AI44" s="97"/>
    </row>
    <row r="45" spans="2:45" x14ac:dyDescent="0.3">
      <c r="B45" s="142"/>
      <c r="F45" s="147" t="str">
        <v>Inspecció tècnica d'edificis (ITE)</v>
      </c>
      <c r="R45" s="97"/>
      <c r="X45" s="97"/>
      <c r="AG45" s="97"/>
      <c r="AI45" s="97"/>
    </row>
    <row r="46" spans="2:45" x14ac:dyDescent="0.3">
      <c r="B46" s="142"/>
      <c r="F46" s="147" t="str">
        <v>Inspeccions sanitàries d'establiments alimentaris i de consum</v>
      </c>
      <c r="X46" s="97"/>
      <c r="AG46" s="97"/>
      <c r="AI46" s="97"/>
    </row>
    <row r="47" spans="2:45" x14ac:dyDescent="0.3">
      <c r="F47" s="147" t="str">
        <v>Interaccions i consultes del conversador virtual (Chatbot)</v>
      </c>
      <c r="AG47" s="97"/>
      <c r="AI47" s="97"/>
    </row>
    <row r="48" spans="2:45" x14ac:dyDescent="0.3">
      <c r="F48" s="147" t="str">
        <v>Intermediació en deutes de l'habitatge</v>
      </c>
      <c r="AG48" s="97"/>
      <c r="AI48" s="97"/>
    </row>
    <row r="49" spans="6:35" x14ac:dyDescent="0.3">
      <c r="F49" s="147" t="str">
        <v>Inventari d'actius tecnològics (Actius TIC)</v>
      </c>
      <c r="AG49" s="97"/>
      <c r="AI49" s="97"/>
    </row>
    <row r="50" spans="6:35" x14ac:dyDescent="0.3">
      <c r="F50" s="147" t="str">
        <v>Inventari d'activitats del municipi</v>
      </c>
      <c r="AG50" s="97"/>
      <c r="AI50" s="97"/>
    </row>
    <row r="51" spans="6:35" x14ac:dyDescent="0.3">
      <c r="F51" s="147" t="str">
        <v>Inventari de béns culturals d'interès local (BCIL)</v>
      </c>
      <c r="AG51" s="97"/>
      <c r="AI51" s="97"/>
    </row>
    <row r="52" spans="6:35" x14ac:dyDescent="0.3">
      <c r="F52" s="147" t="str">
        <v>Inventari de béns mobles, immobles i vehicles</v>
      </c>
      <c r="AG52" s="97"/>
      <c r="AI52" s="97"/>
    </row>
    <row r="53" spans="6:35" x14ac:dyDescent="0.3">
      <c r="F53" s="147" t="str">
        <v>Inventari de finques agrícoles i forestals</v>
      </c>
      <c r="AG53" s="97"/>
      <c r="AI53" s="97"/>
    </row>
    <row r="54" spans="6:35" x14ac:dyDescent="0.3">
      <c r="F54" s="147" t="str">
        <v>Inventari de l'arbrat urbà i zones verdes</v>
      </c>
      <c r="AG54" s="97"/>
      <c r="AI54" s="97"/>
    </row>
    <row r="55" spans="6:35" x14ac:dyDescent="0.3">
      <c r="F55" s="147" t="str">
        <v>Inventari de l'enllumenat públic</v>
      </c>
      <c r="AG55" s="97"/>
      <c r="AI55" s="97"/>
    </row>
    <row r="56" spans="6:35" x14ac:dyDescent="0.3">
      <c r="F56" s="147" t="str">
        <v>Inventari d'equipaments i edificis municipals</v>
      </c>
      <c r="AG56" s="97"/>
      <c r="AI56" s="97"/>
    </row>
    <row r="57" spans="6:35" x14ac:dyDescent="0.3">
      <c r="F57" s="147" t="str">
        <v>Inventari i cartografia de camins públics i forestals</v>
      </c>
      <c r="AG57" s="97"/>
      <c r="AI57" s="97"/>
    </row>
    <row r="58" spans="6:35" x14ac:dyDescent="0.3">
      <c r="F58" s="147" t="str">
        <v>Licitacions de l'ens local</v>
      </c>
      <c r="AG58" s="97"/>
      <c r="AI58" s="97"/>
    </row>
    <row r="59" spans="6:35" x14ac:dyDescent="0.3">
      <c r="F59" s="147" t="str">
        <v>Llicències de guals i reserves d'espai per a càrrega</v>
      </c>
      <c r="AG59" s="97"/>
      <c r="AI59" s="97"/>
    </row>
    <row r="60" spans="6:35" x14ac:dyDescent="0.3">
      <c r="F60" s="147" t="str">
        <v>Nomenclàtor de vies públiques i numeració Postal</v>
      </c>
      <c r="AG60" s="97"/>
      <c r="AI60" s="97"/>
    </row>
    <row r="61" spans="6:35" x14ac:dyDescent="0.3">
      <c r="F61" s="147" t="str">
        <v>Ocupacions del sòl i terrasses a la via pública</v>
      </c>
      <c r="AG61" s="97"/>
      <c r="AI61" s="97"/>
    </row>
    <row r="62" spans="6:35" x14ac:dyDescent="0.3">
      <c r="F62" s="147" t="str">
        <v>Oferta formativa i educativa del Municipi</v>
      </c>
      <c r="AG62" s="97"/>
      <c r="AI62" s="97"/>
    </row>
    <row r="63" spans="6:35" x14ac:dyDescent="0.3">
      <c r="F63" s="147" t="str">
        <v>Ofertes de treball del servei local d'ocupació</v>
      </c>
      <c r="AG63" s="97"/>
      <c r="AI63" s="97"/>
    </row>
    <row r="64" spans="6:35" x14ac:dyDescent="0.3">
      <c r="F64" s="147" t="str">
        <v>Organigrama polític i declaració de béns</v>
      </c>
      <c r="AG64" s="97"/>
      <c r="AI64" s="97"/>
    </row>
    <row r="65" spans="1:74" x14ac:dyDescent="0.3">
      <c r="F65" s="147" t="str">
        <v>Padró municipal d'habitants i demografia</v>
      </c>
      <c r="AG65" s="97"/>
      <c r="AI65" s="97"/>
    </row>
    <row r="66" spans="1:74" x14ac:dyDescent="0.3">
      <c r="F66" s="147" t="str">
        <v>Padrons fiscals i tributs locals</v>
      </c>
      <c r="AG66" s="97"/>
      <c r="AI66" s="97"/>
    </row>
    <row r="67" spans="1:74" x14ac:dyDescent="0.3">
      <c r="F67" s="147" t="str">
        <v>Patrimoni municipal del sòl i de l'habitatge (PMSH)</v>
      </c>
      <c r="AG67" s="97"/>
      <c r="AI67" s="97"/>
    </row>
    <row r="68" spans="1:74" x14ac:dyDescent="0.3">
      <c r="F68" s="147" t="str">
        <v>Persones difuntes inhumades</v>
      </c>
      <c r="AG68" s="97"/>
      <c r="AI68" s="97"/>
    </row>
    <row r="69" spans="1:74" x14ac:dyDescent="0.3">
      <c r="F69" s="147" t="str">
        <v>Planejament urbanístic i ordenació del territori</v>
      </c>
      <c r="AG69" s="97"/>
      <c r="AI69" s="97"/>
    </row>
    <row r="70" spans="1:74" x14ac:dyDescent="0.3">
      <c r="F70" s="147" t="str">
        <v>Polígons de l'activitat econòmica i industrial</v>
      </c>
      <c r="AG70" s="97"/>
      <c r="AI70" s="97"/>
    </row>
    <row r="71" spans="1:74" x14ac:dyDescent="0.3">
      <c r="F71" s="147" t="str">
        <v>Pressupost municipal i previsions financeres</v>
      </c>
      <c r="AG71" s="97"/>
      <c r="AI71" s="97"/>
    </row>
    <row r="72" spans="1:74" x14ac:dyDescent="0.3">
      <c r="F72" s="147" t="str">
        <v>Prestacions de protecció social per unitat familiar</v>
      </c>
      <c r="AG72" s="97"/>
      <c r="AI72" s="97"/>
    </row>
    <row r="73" spans="1:74" x14ac:dyDescent="0.3">
      <c r="F73" s="147" t="str">
        <v>Processos participatius i pressupostos participatius</v>
      </c>
      <c r="AG73" s="97"/>
      <c r="AI73" s="97"/>
    </row>
    <row r="74" spans="1:74" x14ac:dyDescent="0.3">
      <c r="F74" s="147" t="str">
        <v>Projectes d'obres municipals i projectes de manteniment</v>
      </c>
      <c r="AG74" s="97"/>
      <c r="AI74" s="97"/>
    </row>
    <row r="75" spans="1:74" x14ac:dyDescent="0.3">
      <c r="F75" s="147" t="str">
        <v>Punts de càrrega de vehicles elèctrics</v>
      </c>
      <c r="AG75" s="97"/>
      <c r="AI75" s="97"/>
    </row>
    <row r="76" spans="1:74" x14ac:dyDescent="0.3">
      <c r="F76" s="147" t="str">
        <v>Quadre de classificació documental</v>
      </c>
      <c r="AG76" s="97"/>
      <c r="AI76" s="97"/>
    </row>
    <row r="77" spans="1:74" x14ac:dyDescent="0.3">
      <c r="A77" s="153"/>
      <c r="C77" s="153"/>
      <c r="E77" s="153"/>
      <c r="F77" s="147" t="str">
        <v>Reclamacions i denúncies de consum (OMIC)</v>
      </c>
      <c r="G77" s="153"/>
      <c r="H77" s="153"/>
      <c r="I77" s="153"/>
      <c r="J77" s="153"/>
      <c r="K77" s="153"/>
      <c r="L77" s="153"/>
      <c r="M77" s="153"/>
      <c r="N77" s="153"/>
      <c r="O77" s="153"/>
      <c r="P77" s="153"/>
      <c r="Q77" s="153"/>
      <c r="R77" s="153"/>
      <c r="S77" s="153"/>
      <c r="T77" s="153"/>
      <c r="U77" s="153"/>
      <c r="V77" s="153"/>
      <c r="W77" s="153"/>
      <c r="X77" s="153"/>
      <c r="Y77" s="153"/>
      <c r="Z77" s="153"/>
      <c r="AA77" s="153"/>
      <c r="AB77" s="153"/>
      <c r="AC77" s="153"/>
      <c r="AD77" s="153"/>
      <c r="AE77" s="153"/>
      <c r="AF77" s="153"/>
      <c r="AG77" s="97"/>
      <c r="AH77" s="153"/>
      <c r="AI77" s="97"/>
      <c r="AJ77" s="153"/>
      <c r="AK77" s="153"/>
      <c r="AL77" s="153"/>
      <c r="AM77" s="153"/>
      <c r="AN77" s="153"/>
      <c r="AO77" s="153"/>
      <c r="AP77" s="153"/>
      <c r="AQ77" s="153"/>
      <c r="AR77" s="153"/>
      <c r="AS77" s="153"/>
      <c r="AT77" s="153"/>
      <c r="AU77" s="153"/>
      <c r="AV77" s="153"/>
      <c r="AW77" s="153"/>
      <c r="AX77" s="153"/>
      <c r="AY77" s="153"/>
      <c r="AZ77" s="153"/>
      <c r="BA77" s="153"/>
      <c r="BB77" s="153"/>
      <c r="BC77" s="153"/>
      <c r="BD77" s="153"/>
      <c r="BE77" s="153"/>
      <c r="BF77" s="153"/>
      <c r="BG77" s="153"/>
      <c r="BH77" s="153"/>
      <c r="BI77" s="153"/>
      <c r="BJ77" s="153"/>
      <c r="BK77" s="153"/>
      <c r="BL77" s="153"/>
      <c r="BM77" s="153"/>
      <c r="BN77" s="153"/>
      <c r="BO77" s="153"/>
      <c r="BP77" s="153"/>
      <c r="BQ77" s="153"/>
      <c r="BR77" s="153"/>
      <c r="BS77" s="153"/>
      <c r="BT77" s="153"/>
      <c r="BU77" s="153"/>
      <c r="BV77" s="153"/>
    </row>
    <row r="78" spans="1:74" x14ac:dyDescent="0.3">
      <c r="F78" s="147" t="str">
        <v>Recollida i gestió de residus municipals</v>
      </c>
      <c r="AG78" s="97"/>
      <c r="AI78" s="97"/>
    </row>
    <row r="79" spans="1:74" x14ac:dyDescent="0.3">
      <c r="F79" s="154" t="str">
        <v>Registre d'actuacions i incidències de la policia local</v>
      </c>
      <c r="AG79" s="97"/>
      <c r="AI79" s="97"/>
    </row>
    <row r="80" spans="1:74" x14ac:dyDescent="0.3">
      <c r="F80" s="154" t="str">
        <v>Registre d'animals de companyia</v>
      </c>
      <c r="AI80" s="97"/>
    </row>
    <row r="81" spans="6:35" x14ac:dyDescent="0.3">
      <c r="F81" s="154" t="str">
        <v xml:space="preserve">Registre d'animals potencialment perillosos </v>
      </c>
      <c r="AI81" s="97"/>
    </row>
    <row r="82" spans="6:35" x14ac:dyDescent="0.3">
      <c r="F82" s="154" t="str">
        <v>Registre de concessions funeràries</v>
      </c>
      <c r="AI82" s="97"/>
    </row>
    <row r="83" spans="6:35" x14ac:dyDescent="0.3">
      <c r="F83" s="154" t="str">
        <v>Registre de l'agenda d'alts càrrecs amb grups d'Interès</v>
      </c>
      <c r="AI83" s="97"/>
    </row>
    <row r="84" spans="6:35" x14ac:dyDescent="0.3">
      <c r="F84" s="154" t="str">
        <v>Registre de sancions i infraccions de la policia local</v>
      </c>
      <c r="AI84" s="97"/>
    </row>
    <row r="85" spans="6:35" x14ac:dyDescent="0.3">
      <c r="F85" s="154" t="str">
        <v>Registre de trucades i atenció telefònica</v>
      </c>
      <c r="AI85" s="97"/>
    </row>
    <row r="86" spans="6:35" x14ac:dyDescent="0.3">
      <c r="F86" s="154" t="str">
        <v>Registre d'entitats, Associacions i Clubs Locals</v>
      </c>
      <c r="AI86" s="97"/>
    </row>
    <row r="87" spans="6:35" x14ac:dyDescent="0.3">
      <c r="F87" s="154" t="str">
        <v>Registre d'habitatges d'ús turístic (HUT)</v>
      </c>
      <c r="AI87" s="97"/>
    </row>
    <row r="88" spans="6:35" x14ac:dyDescent="0.3">
      <c r="F88" s="154" t="str">
        <v>Registre general d'entrada i sortida de documents</v>
      </c>
      <c r="AI88" s="97"/>
    </row>
    <row r="89" spans="6:35" x14ac:dyDescent="0.3">
      <c r="F89" s="154" t="str">
        <v>Registre municipal de convenis i acords institucionals</v>
      </c>
      <c r="AI89" s="97"/>
    </row>
    <row r="90" spans="6:35" x14ac:dyDescent="0.3">
      <c r="F90" s="154" t="str">
        <v>Registre municipal de parelles de fet</v>
      </c>
      <c r="AI90" s="97"/>
    </row>
    <row r="91" spans="6:35" x14ac:dyDescent="0.3">
      <c r="F91" s="154" t="str">
        <v>Registre municipal d'habitatges de lloguer públic i social</v>
      </c>
      <c r="AI91" s="97"/>
    </row>
    <row r="92" spans="6:35" x14ac:dyDescent="0.3">
      <c r="F92" s="154" t="str">
        <v>Registres d'activitat i seguretat informàtica (Logs)</v>
      </c>
      <c r="AI92" s="97"/>
    </row>
    <row r="93" spans="6:35" x14ac:dyDescent="0.3">
      <c r="F93" s="154" t="str">
        <v>Relació de contractes menors</v>
      </c>
      <c r="AI93" s="97"/>
    </row>
    <row r="94" spans="6:35" x14ac:dyDescent="0.3">
      <c r="F94" s="155" t="str">
        <v>Resultats electorals per mesa i secció censal</v>
      </c>
      <c r="AI94" s="97"/>
    </row>
    <row r="95" spans="6:35" x14ac:dyDescent="0.3">
      <c r="F95" s="155" t="str">
        <v>Rutes de neteja viària</v>
      </c>
      <c r="AI95" s="97"/>
    </row>
    <row r="96" spans="6:35" x14ac:dyDescent="0.3">
      <c r="F96" s="155" t="str">
        <v>Sinistralitat i accidents laborals dels treballadors</v>
      </c>
      <c r="AI96" s="97"/>
    </row>
    <row r="97" spans="6:35" x14ac:dyDescent="0.3">
      <c r="F97" s="155" t="str">
        <v>Sol·licitants d'habitatge de protecció oficial (HPO)</v>
      </c>
      <c r="AI97" s="97"/>
    </row>
    <row r="98" spans="6:35" x14ac:dyDescent="0.3">
      <c r="F98" s="155" t="str">
        <v>Sol·licitants d'ocupació del servei local d'ocupació</v>
      </c>
      <c r="AI98" s="97"/>
    </row>
    <row r="99" spans="6:35" x14ac:dyDescent="0.3">
      <c r="F99" s="155" t="str">
        <v>Subvencions i ajuts atorgats</v>
      </c>
      <c r="AI99" s="97"/>
    </row>
    <row r="100" spans="6:35" x14ac:dyDescent="0.3">
      <c r="F100" s="155" t="str">
        <v>Suport informàtic intern i gestió d'incidències (HelpDesk)</v>
      </c>
      <c r="AI100" s="97"/>
    </row>
    <row r="101" spans="6:35" x14ac:dyDescent="0.3">
      <c r="F101" s="155" t="str">
        <v>Targetes d'aparcament per a persones amb mobilitat reduïda (PMR)</v>
      </c>
      <c r="AI101" s="97"/>
    </row>
    <row r="102" spans="6:35" x14ac:dyDescent="0.3">
      <c r="F102" s="155" t="str">
        <v>Targetes d'estacionament regulat i autoritzacions</v>
      </c>
      <c r="AI102" s="97"/>
    </row>
    <row r="103" spans="6:35" x14ac:dyDescent="0.3">
      <c r="F103" s="155" t="str">
        <v>Taulell d'anuncis i edictes oficials</v>
      </c>
      <c r="AI103" s="97"/>
    </row>
    <row r="104" spans="6:35" x14ac:dyDescent="0.3">
      <c r="F104" s="155" t="str">
        <v>Titulars de drets funeraris</v>
      </c>
      <c r="AI104" s="97"/>
    </row>
    <row r="105" spans="6:35" x14ac:dyDescent="0.3">
      <c r="F105" s="155" t="str">
        <v>Torres de refrigeració i control de la legionel·losi</v>
      </c>
      <c r="AI105" s="97"/>
    </row>
    <row r="106" spans="6:35" x14ac:dyDescent="0.3">
      <c r="F106" s="174" t="str">
        <v>Tramitació administrativa</v>
      </c>
      <c r="AI106" s="97"/>
    </row>
    <row r="107" spans="6:35" x14ac:dyDescent="0.3">
      <c r="F107" s="143" t="str">
        <v>Tramitació i expedients administratius</v>
      </c>
      <c r="AI107" s="97"/>
    </row>
    <row r="108" spans="6:35" x14ac:dyDescent="0.3">
      <c r="F108" s="143" t="str">
        <v>Tresoreria: pagaments, ingressos i indicador de morositat</v>
      </c>
      <c r="AI108" s="97"/>
    </row>
    <row r="109" spans="6:35" x14ac:dyDescent="0.3">
      <c r="F109" s="143" t="str">
        <v>Usuaris i préstecs de les biblioteques</v>
      </c>
      <c r="AI109" s="97"/>
    </row>
    <row r="110" spans="6:35" x14ac:dyDescent="0.3">
      <c r="F110" s="143" t="str">
        <v>Venda d'entrades per a activitats culturals (Ticketing)</v>
      </c>
      <c r="AI110" s="97"/>
    </row>
    <row r="111" spans="6:35" x14ac:dyDescent="0.3">
      <c r="F111" s="143" t="str">
        <v>Xarxa de sensòrica urbana (IoT)</v>
      </c>
      <c r="AI111" s="97"/>
    </row>
    <row r="112" spans="6:35" x14ac:dyDescent="0.3">
      <c r="F112" s="143" t="str">
        <v>Xarxes d'infraestructures de serveis i subministraments</v>
      </c>
      <c r="AI112" s="97"/>
    </row>
    <row r="113" spans="6:35" x14ac:dyDescent="0.3">
      <c r="F113" s="143">
        <v>0</v>
      </c>
      <c r="AI113" s="97"/>
    </row>
    <row r="114" spans="6:35" x14ac:dyDescent="0.3">
      <c r="AI114" s="97"/>
    </row>
    <row r="115" spans="6:35" x14ac:dyDescent="0.3">
      <c r="AI115" s="97"/>
    </row>
    <row r="116" spans="6:35" x14ac:dyDescent="0.3">
      <c r="AI116" s="97"/>
    </row>
    <row r="117" spans="6:35" x14ac:dyDescent="0.3">
      <c r="AI117" s="97"/>
    </row>
    <row r="118" spans="6:35" x14ac:dyDescent="0.3">
      <c r="AI118" s="97"/>
    </row>
    <row r="119" spans="6:35" x14ac:dyDescent="0.3">
      <c r="AI119" s="97"/>
    </row>
    <row r="120" spans="6:35" x14ac:dyDescent="0.3">
      <c r="AI120" s="97"/>
    </row>
    <row r="121" spans="6:35" x14ac:dyDescent="0.3">
      <c r="AI121" s="97"/>
    </row>
    <row r="122" spans="6:35" x14ac:dyDescent="0.3">
      <c r="AI122" s="97"/>
    </row>
    <row r="123" spans="6:35" x14ac:dyDescent="0.3">
      <c r="AI123" s="97"/>
    </row>
    <row r="124" spans="6:35" x14ac:dyDescent="0.3">
      <c r="AI124" s="97"/>
    </row>
    <row r="125" spans="6:35" x14ac:dyDescent="0.3">
      <c r="AI125" s="97"/>
    </row>
    <row r="126" spans="6:35" x14ac:dyDescent="0.3">
      <c r="AI126" s="97"/>
    </row>
    <row r="127" spans="6:35" x14ac:dyDescent="0.3">
      <c r="AI127" s="97"/>
    </row>
    <row r="128" spans="6:35" x14ac:dyDescent="0.3">
      <c r="AI128" s="97"/>
    </row>
    <row r="129" spans="35:35" x14ac:dyDescent="0.3">
      <c r="AI129" s="97"/>
    </row>
    <row r="130" spans="35:35" x14ac:dyDescent="0.3">
      <c r="AI130" s="97"/>
    </row>
    <row r="131" spans="35:35" x14ac:dyDescent="0.3">
      <c r="AI131" s="97"/>
    </row>
    <row r="132" spans="35:35" x14ac:dyDescent="0.3">
      <c r="AI132" s="97"/>
    </row>
    <row r="133" spans="35:35" x14ac:dyDescent="0.3">
      <c r="AI133" s="97"/>
    </row>
    <row r="134" spans="35:35" x14ac:dyDescent="0.3">
      <c r="AI134" s="97"/>
    </row>
    <row r="135" spans="35:35" x14ac:dyDescent="0.3">
      <c r="AI135" s="97"/>
    </row>
    <row r="136" spans="35:35" x14ac:dyDescent="0.3">
      <c r="AI136" s="97"/>
    </row>
    <row r="137" spans="35:35" x14ac:dyDescent="0.3">
      <c r="AI137" s="97"/>
    </row>
    <row r="138" spans="35:35" x14ac:dyDescent="0.3">
      <c r="AI138" s="97"/>
    </row>
    <row r="139" spans="35:35" x14ac:dyDescent="0.3">
      <c r="AI139" s="97"/>
    </row>
    <row r="140" spans="35:35" x14ac:dyDescent="0.3">
      <c r="AI140" s="97"/>
    </row>
    <row r="141" spans="35:35" x14ac:dyDescent="0.3">
      <c r="AI141" s="97"/>
    </row>
    <row r="142" spans="35:35" x14ac:dyDescent="0.3">
      <c r="AI142" s="97"/>
    </row>
    <row r="143" spans="35:35" x14ac:dyDescent="0.3">
      <c r="AI143" s="97"/>
    </row>
    <row r="144" spans="35:35" x14ac:dyDescent="0.3">
      <c r="AI144" s="97"/>
    </row>
    <row r="145" spans="35:35" x14ac:dyDescent="0.3">
      <c r="AI145" s="97"/>
    </row>
    <row r="146" spans="35:35" x14ac:dyDescent="0.3">
      <c r="AI146" s="97"/>
    </row>
    <row r="147" spans="35:35" x14ac:dyDescent="0.3">
      <c r="AI147" s="97"/>
    </row>
    <row r="148" spans="35:35" x14ac:dyDescent="0.3">
      <c r="AI148" s="97"/>
    </row>
    <row r="149" spans="35:35" x14ac:dyDescent="0.3">
      <c r="AI149" s="97"/>
    </row>
    <row r="150" spans="35:35" x14ac:dyDescent="0.3">
      <c r="AI150" s="97"/>
    </row>
    <row r="151" spans="35:35" x14ac:dyDescent="0.3">
      <c r="AI151" s="97"/>
    </row>
    <row r="152" spans="35:35" x14ac:dyDescent="0.3">
      <c r="AI152" s="97"/>
    </row>
    <row r="153" spans="35:35" x14ac:dyDescent="0.3">
      <c r="AI153" s="97"/>
    </row>
    <row r="154" spans="35:35" x14ac:dyDescent="0.3">
      <c r="AI154" s="97"/>
    </row>
    <row r="155" spans="35:35" x14ac:dyDescent="0.3">
      <c r="AI155" s="97"/>
    </row>
    <row r="156" spans="35:35" x14ac:dyDescent="0.3">
      <c r="AI156" s="97"/>
    </row>
    <row r="157" spans="35:35" x14ac:dyDescent="0.3">
      <c r="AI157" s="97"/>
    </row>
    <row r="158" spans="35:35" x14ac:dyDescent="0.3">
      <c r="AI158" s="97"/>
    </row>
    <row r="159" spans="35:35" x14ac:dyDescent="0.3">
      <c r="AI159" s="97"/>
    </row>
    <row r="160" spans="35:35" x14ac:dyDescent="0.3">
      <c r="AI160" s="97"/>
    </row>
    <row r="161" spans="35:35" x14ac:dyDescent="0.3">
      <c r="AI161" s="97"/>
    </row>
    <row r="162" spans="35:35" x14ac:dyDescent="0.3">
      <c r="AI162" s="97"/>
    </row>
    <row r="163" spans="35:35" x14ac:dyDescent="0.3">
      <c r="AI163" s="97"/>
    </row>
    <row r="164" spans="35:35" x14ac:dyDescent="0.3">
      <c r="AI164" s="97"/>
    </row>
    <row r="165" spans="35:35" x14ac:dyDescent="0.3">
      <c r="AI165" s="97"/>
    </row>
    <row r="166" spans="35:35" x14ac:dyDescent="0.3">
      <c r="AI166" s="97"/>
    </row>
    <row r="167" spans="35:35" x14ac:dyDescent="0.3">
      <c r="AI167" s="97"/>
    </row>
    <row r="168" spans="35:35" x14ac:dyDescent="0.3">
      <c r="AI168" s="97"/>
    </row>
    <row r="169" spans="35:35" x14ac:dyDescent="0.3">
      <c r="AI169" s="97"/>
    </row>
    <row r="170" spans="35:35" x14ac:dyDescent="0.3">
      <c r="AI170" s="97"/>
    </row>
    <row r="171" spans="35:35" x14ac:dyDescent="0.3">
      <c r="AI171" s="97"/>
    </row>
    <row r="172" spans="35:35" x14ac:dyDescent="0.3">
      <c r="AI172" s="97"/>
    </row>
    <row r="173" spans="35:35" x14ac:dyDescent="0.3">
      <c r="AI173" s="97"/>
    </row>
    <row r="174" spans="35:35" x14ac:dyDescent="0.3">
      <c r="AI174" s="97"/>
    </row>
    <row r="175" spans="35:35" x14ac:dyDescent="0.3">
      <c r="AI175" s="97"/>
    </row>
    <row r="176" spans="35:35" x14ac:dyDescent="0.3">
      <c r="AI176" s="97"/>
    </row>
    <row r="177" spans="35:35" x14ac:dyDescent="0.3">
      <c r="AI177" s="97"/>
    </row>
    <row r="178" spans="35:35" x14ac:dyDescent="0.3">
      <c r="AI178" s="97"/>
    </row>
    <row r="179" spans="35:35" x14ac:dyDescent="0.3">
      <c r="AI179" s="97"/>
    </row>
    <row r="180" spans="35:35" x14ac:dyDescent="0.3">
      <c r="AI180" s="97"/>
    </row>
    <row r="181" spans="35:35" x14ac:dyDescent="0.3">
      <c r="AI181" s="97"/>
    </row>
    <row r="182" spans="35:35" x14ac:dyDescent="0.3">
      <c r="AI182" s="97"/>
    </row>
    <row r="183" spans="35:35" x14ac:dyDescent="0.3">
      <c r="AI183" s="97"/>
    </row>
    <row r="184" spans="35:35" x14ac:dyDescent="0.3">
      <c r="AI184" s="97"/>
    </row>
    <row r="185" spans="35:35" x14ac:dyDescent="0.3">
      <c r="AI185" s="97"/>
    </row>
    <row r="186" spans="35:35" x14ac:dyDescent="0.3">
      <c r="AI186" s="97"/>
    </row>
    <row r="187" spans="35:35" x14ac:dyDescent="0.3">
      <c r="AI187" s="97"/>
    </row>
    <row r="188" spans="35:35" x14ac:dyDescent="0.3">
      <c r="AI188" s="97"/>
    </row>
    <row r="189" spans="35:35" x14ac:dyDescent="0.3">
      <c r="AI189" s="97"/>
    </row>
    <row r="190" spans="35:35" x14ac:dyDescent="0.3">
      <c r="AI190" s="97"/>
    </row>
    <row r="191" spans="35:35" x14ac:dyDescent="0.3">
      <c r="AI191" s="97"/>
    </row>
    <row r="192" spans="35:35" x14ac:dyDescent="0.3">
      <c r="AI192" s="97"/>
    </row>
    <row r="193" spans="35:35" x14ac:dyDescent="0.3">
      <c r="AI193" s="97"/>
    </row>
    <row r="194" spans="35:35" x14ac:dyDescent="0.3">
      <c r="AI194" s="97"/>
    </row>
    <row r="195" spans="35:35" x14ac:dyDescent="0.3">
      <c r="AI195" s="97"/>
    </row>
    <row r="196" spans="35:35" x14ac:dyDescent="0.3">
      <c r="AI196" s="97"/>
    </row>
    <row r="197" spans="35:35" x14ac:dyDescent="0.3">
      <c r="AI197" s="97"/>
    </row>
    <row r="198" spans="35:35" x14ac:dyDescent="0.3">
      <c r="AI198" s="97"/>
    </row>
    <row r="199" spans="35:35" x14ac:dyDescent="0.3">
      <c r="AI199" s="97"/>
    </row>
    <row r="200" spans="35:35" x14ac:dyDescent="0.3">
      <c r="AI200" s="97"/>
    </row>
    <row r="201" spans="35:35" x14ac:dyDescent="0.3">
      <c r="AI201" s="97"/>
    </row>
    <row r="202" spans="35:35" x14ac:dyDescent="0.3">
      <c r="AI202" s="97"/>
    </row>
    <row r="203" spans="35:35" x14ac:dyDescent="0.3">
      <c r="AI203" s="97"/>
    </row>
    <row r="204" spans="35:35" x14ac:dyDescent="0.3">
      <c r="AI204" s="97"/>
    </row>
    <row r="205" spans="35:35" x14ac:dyDescent="0.3">
      <c r="AI205" s="97"/>
    </row>
    <row r="206" spans="35:35" x14ac:dyDescent="0.3">
      <c r="AI206" s="97"/>
    </row>
    <row r="207" spans="35:35" x14ac:dyDescent="0.3">
      <c r="AI207" s="97"/>
    </row>
    <row r="208" spans="35:35" x14ac:dyDescent="0.3">
      <c r="AI208" s="97"/>
    </row>
    <row r="209" spans="35:35" x14ac:dyDescent="0.3">
      <c r="AI209" s="97"/>
    </row>
    <row r="210" spans="35:35" x14ac:dyDescent="0.3">
      <c r="AI210" s="97"/>
    </row>
    <row r="211" spans="35:35" x14ac:dyDescent="0.3">
      <c r="AI211" s="97"/>
    </row>
    <row r="212" spans="35:35" x14ac:dyDescent="0.3">
      <c r="AI212" s="97"/>
    </row>
    <row r="213" spans="35:35" x14ac:dyDescent="0.3">
      <c r="AI213" s="97"/>
    </row>
    <row r="214" spans="35:35" x14ac:dyDescent="0.3">
      <c r="AI214" s="97"/>
    </row>
    <row r="215" spans="35:35" x14ac:dyDescent="0.3">
      <c r="AI215" s="97"/>
    </row>
    <row r="216" spans="35:35" x14ac:dyDescent="0.3">
      <c r="AI216" s="97"/>
    </row>
    <row r="217" spans="35:35" x14ac:dyDescent="0.3">
      <c r="AI217" s="97"/>
    </row>
    <row r="218" spans="35:35" x14ac:dyDescent="0.3">
      <c r="AI218" s="97"/>
    </row>
    <row r="219" spans="35:35" x14ac:dyDescent="0.3">
      <c r="AI219" s="97"/>
    </row>
    <row r="220" spans="35:35" x14ac:dyDescent="0.3">
      <c r="AI220" s="97"/>
    </row>
    <row r="221" spans="35:35" x14ac:dyDescent="0.3">
      <c r="AI221" s="97"/>
    </row>
    <row r="222" spans="35:35" x14ac:dyDescent="0.3">
      <c r="AI222" s="97"/>
    </row>
    <row r="223" spans="35:35" x14ac:dyDescent="0.3">
      <c r="AI223" s="97"/>
    </row>
    <row r="224" spans="35:35" x14ac:dyDescent="0.3">
      <c r="AI224" s="97"/>
    </row>
    <row r="225" spans="35:35" x14ac:dyDescent="0.3">
      <c r="AI225" s="97"/>
    </row>
    <row r="226" spans="35:35" x14ac:dyDescent="0.3">
      <c r="AI226" s="97"/>
    </row>
    <row r="227" spans="35:35" x14ac:dyDescent="0.3">
      <c r="AI227" s="97"/>
    </row>
    <row r="228" spans="35:35" x14ac:dyDescent="0.3">
      <c r="AI228" s="97"/>
    </row>
    <row r="229" spans="35:35" x14ac:dyDescent="0.3">
      <c r="AI229" s="97"/>
    </row>
    <row r="230" spans="35:35" x14ac:dyDescent="0.3">
      <c r="AI230" s="97"/>
    </row>
    <row r="231" spans="35:35" x14ac:dyDescent="0.3">
      <c r="AI231" s="97"/>
    </row>
    <row r="232" spans="35:35" x14ac:dyDescent="0.3">
      <c r="AI232" s="97"/>
    </row>
    <row r="233" spans="35:35" x14ac:dyDescent="0.3">
      <c r="AI233" s="97"/>
    </row>
    <row r="234" spans="35:35" x14ac:dyDescent="0.3">
      <c r="AI234" s="97"/>
    </row>
    <row r="235" spans="35:35" x14ac:dyDescent="0.3">
      <c r="AI235" s="97"/>
    </row>
    <row r="236" spans="35:35" x14ac:dyDescent="0.3">
      <c r="AI236" s="97"/>
    </row>
    <row r="237" spans="35:35" x14ac:dyDescent="0.3">
      <c r="AI237" s="97"/>
    </row>
    <row r="238" spans="35:35" x14ac:dyDescent="0.3">
      <c r="AI238" s="97"/>
    </row>
    <row r="239" spans="35:35" x14ac:dyDescent="0.3">
      <c r="AI239" s="97"/>
    </row>
    <row r="240" spans="35:35" x14ac:dyDescent="0.3">
      <c r="AI240" s="97"/>
    </row>
    <row r="241" spans="35:35" x14ac:dyDescent="0.3">
      <c r="AI241" s="97"/>
    </row>
    <row r="242" spans="35:35" x14ac:dyDescent="0.3">
      <c r="AI242" s="97"/>
    </row>
    <row r="243" spans="35:35" x14ac:dyDescent="0.3">
      <c r="AI243" s="97"/>
    </row>
    <row r="244" spans="35:35" x14ac:dyDescent="0.3">
      <c r="AI244" s="97"/>
    </row>
    <row r="245" spans="35:35" x14ac:dyDescent="0.3">
      <c r="AI245" s="97"/>
    </row>
    <row r="246" spans="35:35" x14ac:dyDescent="0.3">
      <c r="AI246" s="97"/>
    </row>
    <row r="247" spans="35:35" x14ac:dyDescent="0.3">
      <c r="AI247" s="97"/>
    </row>
    <row r="248" spans="35:35" x14ac:dyDescent="0.3">
      <c r="AI248" s="97"/>
    </row>
    <row r="249" spans="35:35" x14ac:dyDescent="0.3">
      <c r="AI249" s="97"/>
    </row>
    <row r="250" spans="35:35" x14ac:dyDescent="0.3">
      <c r="AI250" s="97"/>
    </row>
    <row r="251" spans="35:35" x14ac:dyDescent="0.3">
      <c r="AI251" s="97"/>
    </row>
    <row r="252" spans="35:35" x14ac:dyDescent="0.3">
      <c r="AI252" s="97"/>
    </row>
    <row r="253" spans="35:35" x14ac:dyDescent="0.3">
      <c r="AI253" s="97"/>
    </row>
    <row r="254" spans="35:35" x14ac:dyDescent="0.3">
      <c r="AI254" s="97"/>
    </row>
    <row r="255" spans="35:35" x14ac:dyDescent="0.3">
      <c r="AI255" s="97"/>
    </row>
    <row r="256" spans="35:35" x14ac:dyDescent="0.3">
      <c r="AI256" s="97"/>
    </row>
    <row r="257" spans="35:35" x14ac:dyDescent="0.3">
      <c r="AI257" s="97"/>
    </row>
    <row r="258" spans="35:35" x14ac:dyDescent="0.3">
      <c r="AI258" s="97"/>
    </row>
    <row r="259" spans="35:35" x14ac:dyDescent="0.3">
      <c r="AI259" s="97"/>
    </row>
    <row r="260" spans="35:35" x14ac:dyDescent="0.3">
      <c r="AI260" s="97"/>
    </row>
    <row r="261" spans="35:35" x14ac:dyDescent="0.3">
      <c r="AI261" s="97"/>
    </row>
    <row r="262" spans="35:35" x14ac:dyDescent="0.3">
      <c r="AI262" s="97"/>
    </row>
    <row r="263" spans="35:35" x14ac:dyDescent="0.3">
      <c r="AI263" s="97"/>
    </row>
    <row r="264" spans="35:35" x14ac:dyDescent="0.3">
      <c r="AI264" s="97"/>
    </row>
    <row r="265" spans="35:35" x14ac:dyDescent="0.3">
      <c r="AI265" s="97"/>
    </row>
    <row r="266" spans="35:35" x14ac:dyDescent="0.3">
      <c r="AI266" s="97"/>
    </row>
    <row r="267" spans="35:35" x14ac:dyDescent="0.3">
      <c r="AI267" s="97"/>
    </row>
    <row r="268" spans="35:35" x14ac:dyDescent="0.3">
      <c r="AI268" s="97"/>
    </row>
    <row r="269" spans="35:35" x14ac:dyDescent="0.3">
      <c r="AI269" s="97"/>
    </row>
    <row r="270" spans="35:35" x14ac:dyDescent="0.3">
      <c r="AI270" s="97"/>
    </row>
    <row r="271" spans="35:35" x14ac:dyDescent="0.3">
      <c r="AI271" s="97"/>
    </row>
    <row r="272" spans="35:35" x14ac:dyDescent="0.3">
      <c r="AI272" s="97"/>
    </row>
    <row r="273" spans="35:35" x14ac:dyDescent="0.3">
      <c r="AI273" s="97"/>
    </row>
    <row r="274" spans="35:35" x14ac:dyDescent="0.3">
      <c r="AI274" s="97"/>
    </row>
    <row r="275" spans="35:35" x14ac:dyDescent="0.3">
      <c r="AI275" s="97"/>
    </row>
    <row r="276" spans="35:35" x14ac:dyDescent="0.3">
      <c r="AI276" s="97"/>
    </row>
    <row r="277" spans="35:35" x14ac:dyDescent="0.3">
      <c r="AI277" s="97"/>
    </row>
    <row r="278" spans="35:35" x14ac:dyDescent="0.3">
      <c r="AI278" s="97"/>
    </row>
    <row r="279" spans="35:35" x14ac:dyDescent="0.3">
      <c r="AI279" s="97"/>
    </row>
    <row r="280" spans="35:35" x14ac:dyDescent="0.3">
      <c r="AI280" s="97"/>
    </row>
  </sheetData>
  <sortState xmlns:xlrd2="http://schemas.microsoft.com/office/spreadsheetml/2017/richdata2" ref="D2:D36">
    <sortCondition ref="D1:D36"/>
  </sortState>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ff0ce049-a8c3-4ed2-bca5-b2d99eadd5c1">
      <Terms xmlns="http://schemas.microsoft.com/office/infopath/2007/PartnerControls"/>
    </lcf76f155ced4ddcb4097134ff3c332f>
  </documentManagement>
</p:properties>
</file>

<file path=customXml/item2.xml><?xml version="1.0" encoding="utf-8"?>
<ct:contentTypeSchema xmlns:ct="http://schemas.microsoft.com/office/2006/metadata/contentType" xmlns:ma="http://schemas.microsoft.com/office/2006/metadata/properties/metaAttributes" ct:_="" ma:_="" ma:contentTypeName="Documento" ma:contentTypeID="0x01010026CD65391203A840BDE01E8EF30844A5" ma:contentTypeVersion="10" ma:contentTypeDescription="Crear nuevo documento." ma:contentTypeScope="" ma:versionID="f8e77f45a5e6347d6e3b02c6210b1899">
  <xsd:schema xmlns:xsd="http://www.w3.org/2001/XMLSchema" xmlns:xs="http://www.w3.org/2001/XMLSchema" xmlns:p="http://schemas.microsoft.com/office/2006/metadata/properties" xmlns:ns2="ff0ce049-a8c3-4ed2-bca5-b2d99eadd5c1" targetNamespace="http://schemas.microsoft.com/office/2006/metadata/properties" ma:root="true" ma:fieldsID="45282d210020a5211afe2d78b2324be6" ns2:_="">
    <xsd:import namespace="ff0ce049-a8c3-4ed2-bca5-b2d99eadd5c1"/>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MediaServiceDateTaken" minOccurs="0"/>
                <xsd:element ref="ns2:lcf76f155ced4ddcb4097134ff3c332f"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f0ce049-a8c3-4ed2-bca5-b2d99eadd5c1"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MediaServiceDateTaken" ma:index="12" nillable="true" ma:displayName="MediaServiceDateTaken" ma:hidden="true" ma:indexed="true" ma:internalName="MediaServiceDateTaken" ma:readOnly="true">
      <xsd:simpleType>
        <xsd:restriction base="dms:Text"/>
      </xsd:simpleType>
    </xsd:element>
    <xsd:element name="lcf76f155ced4ddcb4097134ff3c332f" ma:index="14" nillable="true" ma:taxonomy="true" ma:internalName="lcf76f155ced4ddcb4097134ff3c332f" ma:taxonomyFieldName="MediaServiceImageTags" ma:displayName="Etiquetas de imagen" ma:readOnly="false" ma:fieldId="{5cf76f15-5ced-4ddc-b409-7134ff3c332f}" ma:taxonomyMulti="true" ma:sspId="50028fe1-31b5-4904-8097-8e5e2258eb0e"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7BA4019C-5E57-4F0A-BDEB-C8971EA29A8A}">
  <ds:schemaRefs>
    <ds:schemaRef ds:uri="http://purl.org/dc/elements/1.1/"/>
    <ds:schemaRef ds:uri="http://purl.org/dc/dcmitype/"/>
    <ds:schemaRef ds:uri="http://purl.org/dc/terms/"/>
    <ds:schemaRef ds:uri="http://schemas.openxmlformats.org/package/2006/metadata/core-properties"/>
    <ds:schemaRef ds:uri="http://schemas.microsoft.com/office/2006/metadata/properties"/>
    <ds:schemaRef ds:uri="ff0ce049-a8c3-4ed2-bca5-b2d99eadd5c1"/>
    <ds:schemaRef ds:uri="http://schemas.microsoft.com/office/2006/documentManagement/types"/>
    <ds:schemaRef ds:uri="http://schemas.microsoft.com/office/infopath/2007/PartnerControls"/>
    <ds:schemaRef ds:uri="http://www.w3.org/XML/1998/namespace"/>
  </ds:schemaRefs>
</ds:datastoreItem>
</file>

<file path=customXml/itemProps2.xml><?xml version="1.0" encoding="utf-8"?>
<ds:datastoreItem xmlns:ds="http://schemas.openxmlformats.org/officeDocument/2006/customXml" ds:itemID="{D098D20F-EEAA-48B6-B595-5E3380AB4BF1}">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ff0ce049-a8c3-4ed2-bca5-b2d99eadd5c1"/>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347714A7-62E9-4DFA-BFFD-52934B3E8657}">
  <ds:schemaRefs>
    <ds:schemaRef ds:uri="http://schemas.microsoft.com/sharepoint/v3/contenttype/forms"/>
  </ds:schemaRefs>
</ds:datastoreItem>
</file>

<file path=docMetadata/LabelInfo.xml><?xml version="1.0" encoding="utf-8"?>
<clbl:labelList xmlns:clbl="http://schemas.microsoft.com/office/2020/mipLabelMetadata">
  <clbl:label id="{fd526602-58c8-494f-8a3d-4d906671215d}" enabled="1" method="Standard" siteId="{8b87af7d-8647-4dc7-8df4-5f69a2011bb5}"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9</vt:i4>
      </vt:variant>
      <vt:variant>
        <vt:lpstr>Rangos con nombre</vt:lpstr>
      </vt:variant>
      <vt:variant>
        <vt:i4>45</vt:i4>
      </vt:variant>
    </vt:vector>
  </HeadingPairs>
  <TitlesOfParts>
    <vt:vector size="54" baseType="lpstr">
      <vt:lpstr>Instruccions</vt:lpstr>
      <vt:lpstr>Sistemes</vt:lpstr>
      <vt:lpstr>Dominis de dades</vt:lpstr>
      <vt:lpstr>Conjunts de dades</vt:lpstr>
      <vt:lpstr>Rel.Conjunts-Sistemes</vt:lpstr>
      <vt:lpstr>Qualitat</vt:lpstr>
      <vt:lpstr>Llegenda</vt:lpstr>
      <vt:lpstr>Relació inventaris</vt:lpstr>
      <vt:lpstr>Llistes</vt:lpstr>
      <vt:lpstr>AbastOrganitzatiu</vt:lpstr>
      <vt:lpstr>AltValor</vt:lpstr>
      <vt:lpstr>Àmbit</vt:lpstr>
      <vt:lpstr>AnàlisiRiscos</vt:lpstr>
      <vt:lpstr>AnàlisiRiscosGrau</vt:lpstr>
      <vt:lpstr>Àrea</vt:lpstr>
      <vt:lpstr>'Dominis de dades'!Área_de_impresión</vt:lpstr>
      <vt:lpstr>Sistemes!Área_de_impresión</vt:lpstr>
      <vt:lpstr>ArquitecturaCloud</vt:lpstr>
      <vt:lpstr>Cadencia</vt:lpstr>
      <vt:lpstr>CategoriaConjuntDades</vt:lpstr>
      <vt:lpstr>Confidencialitat</vt:lpstr>
      <vt:lpstr>ConjuntsDades</vt:lpstr>
      <vt:lpstr>ControlRelacions</vt:lpstr>
      <vt:lpstr>Criticitat</vt:lpstr>
      <vt:lpstr>DadesObertes</vt:lpstr>
      <vt:lpstr>Dominis</vt:lpstr>
      <vt:lpstr>DominisDades</vt:lpstr>
      <vt:lpstr>EntitatsGlobals</vt:lpstr>
      <vt:lpstr>EstatSistemes</vt:lpstr>
      <vt:lpstr>Format</vt:lpstr>
      <vt:lpstr>NivellAccés</vt:lpstr>
      <vt:lpstr>Nom_Conjunt_de_dades</vt:lpstr>
      <vt:lpstr>Origens</vt:lpstr>
      <vt:lpstr>Orígens</vt:lpstr>
      <vt:lpstr>Persistencia</vt:lpstr>
      <vt:lpstr>Prioritats</vt:lpstr>
      <vt:lpstr>Rel_Sistemes_Conjunts</vt:lpstr>
      <vt:lpstr>RelacióGlosari</vt:lpstr>
      <vt:lpstr>Qualitat!RelacionsConjuntsDades</vt:lpstr>
      <vt:lpstr>'Rel.Conjunts-Sistemes'!RelacionsConjuntsDades</vt:lpstr>
      <vt:lpstr>Retenció</vt:lpstr>
      <vt:lpstr>Reutilitzacio</vt:lpstr>
      <vt:lpstr>Seguretat</vt:lpstr>
      <vt:lpstr>SensibilitatDades</vt:lpstr>
      <vt:lpstr>SiNo</vt:lpstr>
      <vt:lpstr>SiNoParcialment</vt:lpstr>
      <vt:lpstr>Sistemes</vt:lpstr>
      <vt:lpstr>TipusAtributs</vt:lpstr>
      <vt:lpstr>TipusConjunt</vt:lpstr>
      <vt:lpstr>TipusInformació</vt:lpstr>
      <vt:lpstr>TipusRelEntitats</vt:lpstr>
      <vt:lpstr>TipusServei</vt:lpstr>
      <vt:lpstr>'Dominis de dades'!Títulos_a_imprimir</vt:lpstr>
      <vt:lpstr>Sistemes!Títulos_a_imprimir</vt:lpstr>
    </vt:vector>
  </TitlesOfParts>
  <Manager/>
  <Company>Sopra Steria Group S.A</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MIRO ALBINANA Adria</dc:creator>
  <cp:keywords/>
  <dc:description/>
  <cp:lastModifiedBy>MENDEZ ARCE Alberto</cp:lastModifiedBy>
  <cp:revision/>
  <dcterms:created xsi:type="dcterms:W3CDTF">2025-02-24T09:39:49Z</dcterms:created>
  <dcterms:modified xsi:type="dcterms:W3CDTF">2026-07-30T10:45:53Z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0x01010026CD65391203A840BDE01E8EF30844A5</vt:lpwstr>
  </property>
  <property fmtid="{D5CDD505-2E9C-101B-9397-08002B2CF9AE}" pid="3" name="MediaServiceImageTags">
    <vt:lpwstr/>
  </property>
</Properties>
</file>