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mc:AlternateContent xmlns:mc="http://schemas.openxmlformats.org/markup-compatibility/2006">
    <mc:Choice Requires="x15">
      <x15ac:absPath xmlns:x15ac="http://schemas.microsoft.com/office/spreadsheetml/2010/11/ac" url="https://dibacat.sharepoint.com/sites/GID-MUNI-Dadesobertesiorientacialadada/Documentos compartidos/MUNI - Dades obertes i orientació a la dada/00. Assistència/Materials Assistència/"/>
    </mc:Choice>
  </mc:AlternateContent>
  <xr:revisionPtr revIDLastSave="745" documentId="8_{6A65EDF8-C7D7-4DA5-B9E7-0C6736DEA4D3}" xr6:coauthVersionLast="47" xr6:coauthVersionMax="47" xr10:uidLastSave="{B4AAC612-7844-4ED9-B946-C2DAC9801DE9}"/>
  <bookViews>
    <workbookView xWindow="1170" yWindow="1170" windowWidth="28800" windowHeight="11295" tabRatio="913" firstSheet="14" activeTab="10" xr2:uid="{78C5735F-F1DB-4F8E-80A8-86718AF89EE0}"/>
  </bookViews>
  <sheets>
    <sheet name="Instruccions" sheetId="15" r:id="rId1"/>
    <sheet name="MapaResponsables" sheetId="16" r:id="rId2"/>
    <sheet name="Sistemes" sheetId="19" r:id="rId3"/>
    <sheet name="Capacitats tecnologiques" sheetId="22" r:id="rId4"/>
    <sheet name="Talent" sheetId="23" r:id="rId5"/>
    <sheet name="Instruments aprovats" sheetId="24" r:id="rId6"/>
    <sheet name="Reptes de mandat o amb dades" sheetId="25" r:id="rId7"/>
    <sheet name="Qüestionari" sheetId="10" r:id="rId8"/>
    <sheet name="Gestió de la dada" sheetId="9" state="hidden" r:id="rId9"/>
    <sheet name="Qualitat de la dada" sheetId="6" state="hidden" r:id="rId10"/>
    <sheet name="Pla d'accions (anàlisi)" sheetId="20" r:id="rId11"/>
    <sheet name="Pla d'accions" sheetId="18" state="hidden" r:id="rId12"/>
    <sheet name="Resultat" sheetId="11" r:id="rId13"/>
    <sheet name="Pla d'accions  (anàlisi) (2)" sheetId="28" r:id="rId14"/>
    <sheet name="Resultat (2)" sheetId="29" r:id="rId15"/>
    <sheet name="Full1" sheetId="26" state="hidden" r:id="rId16"/>
    <sheet name="Full2" sheetId="27" state="hidden" r:id="rId17"/>
    <sheet name="Llegenda" sheetId="12" r:id="rId18"/>
    <sheet name="Llistes" sheetId="14" r:id="rId19"/>
  </sheets>
  <externalReferences>
    <externalReference r:id="rId20"/>
  </externalReferences>
  <definedNames>
    <definedName name="_xlnm._FilterDatabase" localSheetId="18" hidden="1">Llistes!$A$3:$H$3</definedName>
    <definedName name="a" localSheetId="7">Qüestionari!$A$1:$J$38</definedName>
    <definedName name="AccionsGD">Llistes!#REF!</definedName>
    <definedName name="Ajuntament">Llistes!$E$3:$E$313</definedName>
    <definedName name="Àrea">Llistes!$G$3:$G$173</definedName>
    <definedName name="_xlnm.Print_Area" localSheetId="17">Llegenda!$A$1:$D$55</definedName>
    <definedName name="_xlnm.Print_Area" localSheetId="1">MapaResponsables!$A$1:$G$85</definedName>
    <definedName name="_xlnm.Print_Area" localSheetId="11">'Pla d''accions'!$A$3:$B$67</definedName>
    <definedName name="_xlnm.Print_Area" localSheetId="10">'Pla d''accions (anàlisi)'!$A$1:$K$39</definedName>
    <definedName name="_xlnm.Print_Area" localSheetId="13">'Pla d''accions  (anàlisi) (2)'!$A$1:$K$62</definedName>
    <definedName name="_xlnm.Print_Area" localSheetId="7">Qüestionari!$A$1:$J$17</definedName>
    <definedName name="_xlnm.Print_Area" localSheetId="12">Resultat!$A$1:$Y$34</definedName>
    <definedName name="_xlnm.Print_Area" localSheetId="14">'Resultat (2)'!$A$1:$Y$38</definedName>
    <definedName name="_xlnm.Print_Area" localSheetId="2">Sistemes!$A$4:$M$22</definedName>
    <definedName name="Dificultat">Llistes!$M$3:$M$5</definedName>
    <definedName name="Impacte">Llistes!$K$3:$K$5</definedName>
    <definedName name="ImpacteCost">Llistes!$K$3:$K$5</definedName>
    <definedName name="Organisme">Llistes!$C$3:$C$21</definedName>
    <definedName name="Rols">Llistes!$I$3:$I$4</definedName>
    <definedName name="SiNo">#REF!</definedName>
    <definedName name="Termini">Llistes!$O$3:$O$7</definedName>
    <definedName name="Tipus">Llistes!$A$3:$A$6</definedName>
    <definedName name="_xlnm.Print_Titles" localSheetId="7">Qüestionari!$1:$4</definedName>
    <definedName name="_xlnm.Print_Titles" localSheetId="2">Sistemes!$4:$6</definedName>
  </definedNames>
  <calcPr calcId="191028"/>
  <pivotCaches>
    <pivotCache cacheId="798"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7" i="28" l="1"/>
  <c r="G77" i="28"/>
  <c r="J76" i="28"/>
  <c r="G76" i="28"/>
  <c r="J72" i="28"/>
  <c r="G72" i="28"/>
  <c r="J70" i="28"/>
  <c r="G70" i="28"/>
  <c r="J69" i="28"/>
  <c r="G69" i="28"/>
  <c r="J66" i="28"/>
  <c r="G66" i="28"/>
  <c r="J65" i="28"/>
  <c r="G65" i="28"/>
  <c r="J64" i="28"/>
  <c r="G64" i="28"/>
  <c r="J61" i="28"/>
  <c r="G61" i="28"/>
  <c r="J58" i="28"/>
  <c r="G58" i="28"/>
  <c r="J57" i="28"/>
  <c r="G57" i="28"/>
  <c r="J56" i="28"/>
  <c r="G56" i="28"/>
  <c r="J55" i="28"/>
  <c r="G55" i="28"/>
  <c r="J52" i="28"/>
  <c r="G52" i="28"/>
  <c r="J51" i="28"/>
  <c r="G51" i="28"/>
  <c r="J50" i="28"/>
  <c r="G50" i="28"/>
  <c r="J46" i="28"/>
  <c r="G46" i="28"/>
  <c r="J43" i="28"/>
  <c r="G43" i="28"/>
  <c r="J42" i="28"/>
  <c r="G42" i="28"/>
  <c r="J41" i="28"/>
  <c r="G41" i="28"/>
  <c r="J38" i="28"/>
  <c r="G38" i="28"/>
  <c r="J34" i="28"/>
  <c r="G34" i="28"/>
  <c r="J33" i="28"/>
  <c r="G33" i="28"/>
  <c r="J32" i="28"/>
  <c r="G32" i="28"/>
  <c r="J29" i="28"/>
  <c r="G29" i="28"/>
  <c r="J20" i="28"/>
  <c r="G20" i="28"/>
  <c r="J19" i="28"/>
  <c r="G19" i="28"/>
  <c r="J16" i="28"/>
  <c r="G16" i="28"/>
  <c r="J15" i="28"/>
  <c r="G15" i="28"/>
  <c r="J14" i="28"/>
  <c r="G14" i="28"/>
  <c r="J10" i="28"/>
  <c r="G10" i="28"/>
  <c r="C32" i="29"/>
  <c r="C31" i="29"/>
  <c r="C30" i="29"/>
  <c r="C29" i="29"/>
  <c r="C28" i="29"/>
  <c r="C27" i="29"/>
  <c r="C26" i="29"/>
  <c r="G32" i="29"/>
  <c r="G29" i="29"/>
  <c r="G30" i="29"/>
  <c r="G31" i="29"/>
  <c r="C23" i="29"/>
  <c r="C22" i="29"/>
  <c r="C21" i="29"/>
  <c r="C20" i="29"/>
  <c r="C19" i="29"/>
  <c r="C16" i="29"/>
  <c r="C15" i="29"/>
  <c r="C14" i="29"/>
  <c r="C13" i="29"/>
  <c r="J75" i="28"/>
  <c r="G75" i="28"/>
  <c r="J73" i="28"/>
  <c r="G73" i="28"/>
  <c r="J68" i="28"/>
  <c r="G68" i="28"/>
  <c r="J63" i="28"/>
  <c r="G63" i="28"/>
  <c r="B37" i="29"/>
  <c r="B36" i="29"/>
  <c r="B35" i="29"/>
  <c r="X9" i="29"/>
  <c r="G28" i="29" s="1"/>
  <c r="W9" i="29"/>
  <c r="G27" i="29" s="1"/>
  <c r="V9" i="29"/>
  <c r="G26" i="29" s="1"/>
  <c r="H25" i="29" s="1"/>
  <c r="C37" i="29" s="1"/>
  <c r="U9" i="29"/>
  <c r="G23" i="29" s="1"/>
  <c r="T9" i="29"/>
  <c r="G22" i="29" s="1"/>
  <c r="S9" i="29"/>
  <c r="R9" i="29"/>
  <c r="G21" i="29" s="1"/>
  <c r="Q9" i="29"/>
  <c r="G20" i="29" s="1"/>
  <c r="P9" i="29"/>
  <c r="O9" i="29"/>
  <c r="G19" i="29" s="1"/>
  <c r="H18" i="29" s="1"/>
  <c r="C36" i="29" s="1"/>
  <c r="N9" i="29"/>
  <c r="M9" i="29"/>
  <c r="L9" i="29"/>
  <c r="G16" i="29" s="1"/>
  <c r="K9" i="29"/>
  <c r="G15" i="29" s="1"/>
  <c r="J9" i="29"/>
  <c r="I9" i="29"/>
  <c r="G14" i="29" s="1"/>
  <c r="H9" i="29"/>
  <c r="G9" i="29"/>
  <c r="G13" i="29" s="1"/>
  <c r="H12" i="29" s="1"/>
  <c r="F9" i="29"/>
  <c r="E9" i="29"/>
  <c r="D9" i="29"/>
  <c r="C9" i="29"/>
  <c r="B9" i="29"/>
  <c r="J60" i="28"/>
  <c r="G60" i="28"/>
  <c r="J54" i="28"/>
  <c r="G54" i="28"/>
  <c r="J49" i="28"/>
  <c r="G49" i="28"/>
  <c r="J45" i="28"/>
  <c r="G45" i="28"/>
  <c r="J40" i="28"/>
  <c r="G40" i="28"/>
  <c r="J37" i="28"/>
  <c r="G37" i="28"/>
  <c r="J36" i="28"/>
  <c r="G36" i="28"/>
  <c r="J31" i="28"/>
  <c r="G31" i="28"/>
  <c r="J28" i="28"/>
  <c r="G28" i="28"/>
  <c r="J27" i="28"/>
  <c r="G27" i="28"/>
  <c r="J24" i="28"/>
  <c r="G24" i="28"/>
  <c r="J23" i="28"/>
  <c r="G23" i="28"/>
  <c r="J22" i="28"/>
  <c r="G22" i="28"/>
  <c r="J18" i="28"/>
  <c r="G18" i="28"/>
  <c r="J13" i="28"/>
  <c r="G13" i="28"/>
  <c r="J12" i="28"/>
  <c r="G12" i="28"/>
  <c r="J9" i="28"/>
  <c r="G9" i="28"/>
  <c r="J8" i="28"/>
  <c r="G8" i="28"/>
  <c r="F38" i="20"/>
  <c r="G38" i="20"/>
  <c r="J38" i="20"/>
  <c r="F36" i="20"/>
  <c r="G36" i="20"/>
  <c r="J36" i="20"/>
  <c r="F34" i="20"/>
  <c r="G34" i="20"/>
  <c r="J34" i="20"/>
  <c r="F31" i="20"/>
  <c r="G31" i="20"/>
  <c r="J31" i="20"/>
  <c r="F29" i="20"/>
  <c r="G29" i="20"/>
  <c r="J29" i="20"/>
  <c r="F26" i="20"/>
  <c r="G26" i="20"/>
  <c r="J26" i="20"/>
  <c r="F27" i="20"/>
  <c r="G27" i="20"/>
  <c r="J27" i="20"/>
  <c r="F24" i="20"/>
  <c r="G24" i="20"/>
  <c r="J24" i="20"/>
  <c r="F21" i="20"/>
  <c r="G21" i="20"/>
  <c r="J21" i="20"/>
  <c r="F22" i="20"/>
  <c r="G22" i="20"/>
  <c r="J22" i="20"/>
  <c r="F16" i="20"/>
  <c r="G16" i="20"/>
  <c r="J16" i="20"/>
  <c r="F17" i="20"/>
  <c r="G17" i="20"/>
  <c r="J17" i="20"/>
  <c r="F18" i="20"/>
  <c r="G18" i="20"/>
  <c r="J18" i="20"/>
  <c r="J14" i="20"/>
  <c r="F14" i="20"/>
  <c r="G14" i="20"/>
  <c r="F11" i="20"/>
  <c r="G11" i="20"/>
  <c r="J11" i="20"/>
  <c r="F12" i="20"/>
  <c r="G12" i="20"/>
  <c r="J12" i="20"/>
  <c r="F8" i="20"/>
  <c r="G8" i="20"/>
  <c r="J8" i="20"/>
  <c r="F9" i="20"/>
  <c r="G9" i="20"/>
  <c r="J9" i="20"/>
  <c r="Z28" i="10"/>
  <c r="Z35" i="10"/>
  <c r="Z37" i="10"/>
  <c r="C28" i="11"/>
  <c r="C27" i="11"/>
  <c r="C26" i="11"/>
  <c r="X34" i="10"/>
  <c r="B33" i="11"/>
  <c r="B32" i="11"/>
  <c r="B31" i="11"/>
  <c r="X36" i="10"/>
  <c r="X37" i="10" s="1"/>
  <c r="J37" i="10"/>
  <c r="J36" i="10" s="1"/>
  <c r="L37" i="10"/>
  <c r="L33" i="10"/>
  <c r="J33" i="10"/>
  <c r="W32" i="10"/>
  <c r="W33" i="10" s="1"/>
  <c r="W34" i="10" s="1"/>
  <c r="X32" i="10"/>
  <c r="J35" i="10"/>
  <c r="Y35" i="10" s="1"/>
  <c r="L35" i="10"/>
  <c r="C22" i="11"/>
  <c r="C23" i="11"/>
  <c r="C14" i="11"/>
  <c r="C15" i="11"/>
  <c r="C16" i="11"/>
  <c r="C19" i="11"/>
  <c r="C20" i="11"/>
  <c r="C21" i="11"/>
  <c r="C13" i="11"/>
  <c r="X29" i="10"/>
  <c r="X30" i="10" s="1"/>
  <c r="X31" i="10" s="1"/>
  <c r="J30" i="10"/>
  <c r="L30" i="10"/>
  <c r="X27" i="10"/>
  <c r="X28" i="10" s="1"/>
  <c r="J28" i="10"/>
  <c r="J27" i="10" s="1"/>
  <c r="L28" i="10"/>
  <c r="L26" i="10"/>
  <c r="J26" i="10"/>
  <c r="L25" i="10"/>
  <c r="J25" i="10"/>
  <c r="X24" i="10"/>
  <c r="X25" i="10" s="1"/>
  <c r="X26" i="10" s="1"/>
  <c r="L23" i="10"/>
  <c r="J23" i="10"/>
  <c r="X22" i="10"/>
  <c r="X23" i="10" s="1"/>
  <c r="L21" i="10"/>
  <c r="J21" i="10"/>
  <c r="L20" i="10"/>
  <c r="J20" i="10"/>
  <c r="Y20" i="10" s="1"/>
  <c r="X19" i="10"/>
  <c r="X20" i="10" s="1"/>
  <c r="X21" i="10" s="1"/>
  <c r="W19" i="10"/>
  <c r="W20" i="10" s="1"/>
  <c r="W21" i="10" s="1"/>
  <c r="W22" i="10" s="1"/>
  <c r="W23" i="10" s="1"/>
  <c r="W24" i="10" s="1"/>
  <c r="W25" i="10" s="1"/>
  <c r="W26" i="10" s="1"/>
  <c r="W27" i="10" s="1"/>
  <c r="W28" i="10" s="1"/>
  <c r="C35" i="29" l="1"/>
  <c r="H11" i="29"/>
  <c r="Y21" i="10"/>
  <c r="Z21" i="10"/>
  <c r="J22" i="10"/>
  <c r="Z23" i="10"/>
  <c r="R9" i="11"/>
  <c r="Z25" i="10"/>
  <c r="Y26" i="10"/>
  <c r="Z26" i="10"/>
  <c r="J29" i="10"/>
  <c r="Z30" i="10"/>
  <c r="Y33" i="10"/>
  <c r="Z33" i="10"/>
  <c r="Z20" i="10"/>
  <c r="J34" i="10"/>
  <c r="J32" i="10"/>
  <c r="J31" i="10" s="1"/>
  <c r="W9" i="11"/>
  <c r="G27" i="11" s="1"/>
  <c r="X9" i="11"/>
  <c r="G28" i="11" s="1"/>
  <c r="V9" i="11"/>
  <c r="G26" i="11" s="1"/>
  <c r="W35" i="10"/>
  <c r="W36" i="10" s="1"/>
  <c r="W37" i="10" s="1"/>
  <c r="Y37" i="10"/>
  <c r="X33" i="10"/>
  <c r="X35" i="10" s="1"/>
  <c r="U9" i="11"/>
  <c r="G23" i="11" s="1"/>
  <c r="S9" i="11"/>
  <c r="G21" i="11" s="1"/>
  <c r="Y30" i="10"/>
  <c r="W29" i="10"/>
  <c r="W30" i="10" s="1"/>
  <c r="W31" i="10" s="1"/>
  <c r="T9" i="11"/>
  <c r="G22" i="11" s="1"/>
  <c r="Y28" i="10"/>
  <c r="Q9" i="11"/>
  <c r="G20" i="11" s="1"/>
  <c r="J24" i="10"/>
  <c r="O9" i="11"/>
  <c r="P9" i="11"/>
  <c r="Y25" i="10"/>
  <c r="Y23" i="10"/>
  <c r="J19" i="10"/>
  <c r="F9" i="11"/>
  <c r="E9" i="11"/>
  <c r="D9" i="11"/>
  <c r="C9" i="11"/>
  <c r="B9" i="11"/>
  <c r="X9" i="10"/>
  <c r="X10" i="10" s="1"/>
  <c r="X11" i="10" s="1"/>
  <c r="X12" i="10"/>
  <c r="X13" i="10" s="1"/>
  <c r="X14" i="10"/>
  <c r="X15" i="10" s="1"/>
  <c r="X16" i="10" s="1"/>
  <c r="X17" i="10" s="1"/>
  <c r="X18" i="10" s="1"/>
  <c r="X6" i="10"/>
  <c r="X7" i="10" s="1"/>
  <c r="X8" i="10" s="1"/>
  <c r="W6" i="10"/>
  <c r="W7" i="10" s="1"/>
  <c r="W8" i="10" s="1"/>
  <c r="W9" i="10" s="1"/>
  <c r="W10" i="10" s="1"/>
  <c r="W11" i="10" s="1"/>
  <c r="W12" i="10" s="1"/>
  <c r="W13" i="10" s="1"/>
  <c r="W14" i="10" s="1"/>
  <c r="W15" i="10" s="1"/>
  <c r="W16" i="10" s="1"/>
  <c r="W17" i="10" s="1"/>
  <c r="W18" i="10" s="1"/>
  <c r="L13" i="10"/>
  <c r="J13" i="10"/>
  <c r="Z13" i="10" s="1"/>
  <c r="L10" i="10"/>
  <c r="J10" i="10"/>
  <c r="Z10" i="10" s="1"/>
  <c r="L7" i="10"/>
  <c r="J7" i="10"/>
  <c r="Z7" i="10" s="1"/>
  <c r="B11" i="16"/>
  <c r="P16" i="9"/>
  <c r="H16" i="9"/>
  <c r="P15" i="9"/>
  <c r="H15" i="9"/>
  <c r="P14" i="9"/>
  <c r="H14" i="9"/>
  <c r="P13" i="9"/>
  <c r="H13" i="9"/>
  <c r="P12" i="9"/>
  <c r="H12" i="9"/>
  <c r="P11" i="9"/>
  <c r="H11" i="9"/>
  <c r="H6" i="9" s="1"/>
  <c r="P10" i="9"/>
  <c r="H10" i="9"/>
  <c r="P9" i="9"/>
  <c r="H9" i="9"/>
  <c r="P8" i="9"/>
  <c r="H8" i="9"/>
  <c r="P7" i="9"/>
  <c r="H7" i="9"/>
  <c r="P13" i="6"/>
  <c r="J13" i="6"/>
  <c r="H13" i="6"/>
  <c r="P12" i="6"/>
  <c r="J12" i="6"/>
  <c r="H12" i="6"/>
  <c r="P11" i="6"/>
  <c r="J11" i="6"/>
  <c r="H11" i="6"/>
  <c r="P10" i="6"/>
  <c r="J10" i="6"/>
  <c r="H10" i="6"/>
  <c r="H6" i="6" s="1"/>
  <c r="H2" i="6" s="1"/>
  <c r="P9" i="6"/>
  <c r="J9" i="6"/>
  <c r="H9" i="6"/>
  <c r="P8" i="6"/>
  <c r="J8" i="6"/>
  <c r="H8" i="6"/>
  <c r="P7" i="6"/>
  <c r="J7" i="6"/>
  <c r="H7" i="6"/>
  <c r="P6" i="6"/>
  <c r="L15" i="10"/>
  <c r="L16" i="10"/>
  <c r="L17" i="10"/>
  <c r="L11" i="10"/>
  <c r="L8" i="10"/>
  <c r="J11" i="10"/>
  <c r="Z11" i="10" s="1"/>
  <c r="J17" i="10"/>
  <c r="Z17" i="10" s="1"/>
  <c r="J16" i="10"/>
  <c r="Z16" i="10" s="1"/>
  <c r="J15" i="10"/>
  <c r="J8" i="10"/>
  <c r="Z8" i="10" s="1"/>
  <c r="Y15" i="10" l="1"/>
  <c r="Z15" i="10"/>
  <c r="H25" i="11"/>
  <c r="C33" i="11" s="1"/>
  <c r="J18" i="10"/>
  <c r="G19" i="11"/>
  <c r="H18" i="11" s="1"/>
  <c r="C32" i="11" s="1"/>
  <c r="H9" i="11"/>
  <c r="Y8" i="10"/>
  <c r="J12" i="10"/>
  <c r="Y13" i="10"/>
  <c r="N9" i="11"/>
  <c r="Y17" i="10"/>
  <c r="J9" i="11"/>
  <c r="Y11" i="10"/>
  <c r="G9" i="11"/>
  <c r="Y7" i="10"/>
  <c r="M9" i="11"/>
  <c r="Y16" i="10"/>
  <c r="I9" i="11"/>
  <c r="Y10" i="10"/>
  <c r="J14" i="10"/>
  <c r="L9" i="11"/>
  <c r="K9" i="11"/>
  <c r="G15" i="11" s="1"/>
  <c r="J9" i="10"/>
  <c r="J6" i="10"/>
  <c r="P6" i="9"/>
  <c r="H2" i="9" s="1"/>
  <c r="J5" i="10" l="1"/>
  <c r="G13" i="11"/>
  <c r="G14" i="11"/>
  <c r="G16" i="11"/>
  <c r="H12" i="11" l="1"/>
  <c r="H11" i="11" s="1"/>
  <c r="C31"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MENDEZ ARCE Alberto</author>
  </authors>
  <commentList>
    <comment ref="G5" authorId="0" shapeId="0" xr:uid="{E0070347-693A-4543-A19E-98D2C44CFC1D}">
      <text>
        <r>
          <rPr>
            <sz val="9"/>
            <color indexed="81"/>
            <rFont val="Tahoma"/>
            <family val="2"/>
          </rPr>
          <t>Un valor més baix implica menor maduresa i per tant una prioritat major.</t>
        </r>
      </text>
    </comment>
    <comment ref="J5" authorId="0" shapeId="0" xr:uid="{10341FAD-2AF2-47ED-A015-5E3D5EE99D32}">
      <text>
        <r>
          <rPr>
            <sz val="9"/>
            <color indexed="81"/>
            <rFont val="Tahoma"/>
            <family val="2"/>
          </rPr>
          <t xml:space="preserve">Un valor més baix implica que la la relació entre ela dificultat i l'impacte el fa més favorable a obtenir major impacte amb menor esforç.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MENDEZ ARCE Alberto</author>
  </authors>
  <commentList>
    <comment ref="G5" authorId="0" shapeId="0" xr:uid="{93683DBE-DAB2-46BE-AC46-C62623E89338}">
      <text>
        <r>
          <rPr>
            <sz val="9"/>
            <color indexed="81"/>
            <rFont val="Tahoma"/>
            <family val="2"/>
          </rPr>
          <t>Un valor més baix implica menor maduresa i per tant una prioritat major.</t>
        </r>
      </text>
    </comment>
    <comment ref="J5" authorId="0" shapeId="0" xr:uid="{0E68AE3F-4D1B-46DB-91E9-D665CE57A9BA}">
      <text>
        <r>
          <rPr>
            <sz val="9"/>
            <color indexed="81"/>
            <rFont val="Tahoma"/>
            <family val="2"/>
          </rPr>
          <t xml:space="preserve">Un valor més baix implica que la la relació entre ela dificultat i l'impacte el fa més favorable a obtenir major impacte amb menor esforç.
</t>
        </r>
      </text>
    </comment>
  </commentList>
</comments>
</file>

<file path=xl/sharedStrings.xml><?xml version="1.0" encoding="utf-8"?>
<sst xmlns="http://schemas.openxmlformats.org/spreadsheetml/2006/main" count="1618" uniqueCount="994">
  <si>
    <t>Qüestionari d'avaluació de la maduresa</t>
  </si>
  <si>
    <t>Instruccions</t>
  </si>
  <si>
    <r>
      <rPr>
        <sz val="11"/>
        <color rgb="FF000000"/>
        <rFont val="Arial"/>
      </rPr>
      <t xml:space="preserve"> - El qüestionari s'ha de respondre a les pestanyes MapaResponsables, </t>
    </r>
    <r>
      <rPr>
        <b/>
        <sz val="11"/>
        <color rgb="FF000000"/>
        <rFont val="Arial"/>
      </rPr>
      <t>Sistemes</t>
    </r>
    <r>
      <rPr>
        <sz val="11"/>
        <color rgb="FF000000"/>
        <rFont val="Arial"/>
      </rPr>
      <t xml:space="preserve"> i </t>
    </r>
    <r>
      <rPr>
        <b/>
        <sz val="11"/>
        <color rgb="FF000000"/>
        <rFont val="Arial"/>
      </rPr>
      <t>Qüestionari</t>
    </r>
  </si>
  <si>
    <r>
      <t xml:space="preserve"> - L'emplenament de les dades s'ha de realitzar segons les especificacions de la pestanya </t>
    </r>
    <r>
      <rPr>
        <b/>
        <sz val="11"/>
        <color theme="1"/>
        <rFont val="Arial"/>
        <family val="2"/>
      </rPr>
      <t>Llegenda</t>
    </r>
    <r>
      <rPr>
        <sz val="11"/>
        <color theme="1"/>
        <rFont val="Arial"/>
        <family val="2"/>
      </rPr>
      <t>.</t>
    </r>
  </si>
  <si>
    <t xml:space="preserve"> - El personal designat per l'Ajuntament, Organisme o Àrea és el responsables d'emplenar el qüestionari, amb el suport de l'Oficina de Govern de la dada de la DIBA.</t>
  </si>
  <si>
    <t>- La pestanya Info ajudarà a identificar les persones clau en l'àmbit de les dades de l'Ajuntament o Organisme, així com quina és la seva organització per àrees o dominis de dades, Processos clau, Projectes estratègics i Objectius del PAM.</t>
  </si>
  <si>
    <t>- La pestanya Sistemes dona suport a la identificació dels sistemes de dades, de manera que hauria d'estar complimentat amb el suport de l'arquitecte de dades i dels administradors de sistemes,</t>
  </si>
  <si>
    <t>- La pestanya Qüestionari dona suport a l'avaluació de la maduresa del govern de la dada, ha de complimentar-se pel Responsable de dades amb suport de l'Oficina de Govern de la dada de la DIBA.</t>
  </si>
  <si>
    <r>
      <t xml:space="preserve"> - Per tal que el qüestionari es consideri </t>
    </r>
    <r>
      <rPr>
        <b/>
        <sz val="11"/>
        <color theme="1"/>
        <rFont val="Arial"/>
        <family val="2"/>
      </rPr>
      <t>complet</t>
    </r>
    <r>
      <rPr>
        <sz val="11"/>
        <color theme="1"/>
        <rFont val="Arial"/>
        <family val="2"/>
      </rPr>
      <t xml:space="preserve">, hauran d'estar emplenats tots els atributs </t>
    </r>
    <r>
      <rPr>
        <b/>
        <sz val="11"/>
        <color theme="1"/>
        <rFont val="Arial"/>
        <family val="2"/>
      </rPr>
      <t>obligatoris</t>
    </r>
    <r>
      <rPr>
        <sz val="11"/>
        <color theme="1"/>
        <rFont val="Arial"/>
        <family val="2"/>
      </rPr>
      <t xml:space="preserve"> detallats a la pestanya Llegenda.</t>
    </r>
  </si>
  <si>
    <t>v20250305</t>
  </si>
  <si>
    <t>Qüestionari d'avaluació de la situació actual</t>
  </si>
  <si>
    <t>Mapa Responsables</t>
  </si>
  <si>
    <t>Data</t>
  </si>
  <si>
    <t>Tècnic suport</t>
  </si>
  <si>
    <t>Àmbit</t>
  </si>
  <si>
    <t>Ajuntament</t>
  </si>
  <si>
    <t>Berga</t>
  </si>
  <si>
    <t>Àrea</t>
  </si>
  <si>
    <t>&lt;Totes&gt;</t>
  </si>
  <si>
    <t>Rols Clau</t>
  </si>
  <si>
    <t>Rol</t>
  </si>
  <si>
    <t>Responsable</t>
  </si>
  <si>
    <t>Correu responsable</t>
  </si>
  <si>
    <t>Telèfon responsable</t>
  </si>
  <si>
    <t>Observacions</t>
  </si>
  <si>
    <t>Responsable de dades (Data Stewart)</t>
  </si>
  <si>
    <t>Propietari de dades (Data Owner)</t>
  </si>
  <si>
    <t>Referent de dades (Data Stewart)</t>
  </si>
  <si>
    <t>Gemma Àlvarez</t>
  </si>
  <si>
    <t>alvarezmgm@premiadedalt.cat</t>
  </si>
  <si>
    <t>Cap de Recursos humans i de Serveis a les persones: sol·licita accés a Informàtica per un treballador nou. RESPONSABLE DE DADES DE RECURSOS HUMANS - Decideix sobre les dades/estructura de nòmines, de treballadors. -Nòmines (SIGEP) - NetTime (control horaris), Spec - TOts tenen accès al gestor d'Expedients.</t>
  </si>
  <si>
    <t>Nuria Riera</t>
  </si>
  <si>
    <t>rieraan@premiadedalt.cat</t>
  </si>
  <si>
    <t>Serveis Socials, demana a Informàtica per afegir un treballador nou. - Fan servir HESTIA del consell comarcal. Gestor d'expedients. Unitat compartida. No tè capacitat de modificar estructura de les dades</t>
  </si>
  <si>
    <t>Teresa Pallarés</t>
  </si>
  <si>
    <t>pallaresrmr@premiadedalt.cat</t>
  </si>
  <si>
    <t>Tresoreria i Intervenció, mateixa dinàmica. Gestor d'expedients. Tè accès a comptabilitat.</t>
  </si>
  <si>
    <t>Pedro Obrero Román</t>
  </si>
  <si>
    <t>obrerorp@premiadedalt.cat</t>
  </si>
  <si>
    <t>Responsable d'Informàtica que accedeix a les peticions dels diferents departaments. Dona els permisos, sota indicació del responsable de cada departament. Per exemple: La interventora, li fa un document indicant qui ha de tenir accesos a que.</t>
  </si>
  <si>
    <t>Lluis García</t>
  </si>
  <si>
    <t>garciajll@premiadedalt.cat</t>
  </si>
  <si>
    <t>Urbanisme o territori, mateixa dinàmica que abans. - Accès al Gestor d'Expedients. - Si comença algun tècnic li dona un document a Pedro Obrero indicant quins permisos ha de tenir cadascú. - Tothom tè accés a la unitat compartida. (Com tothom) - Geoportal (Web) on publiquen normativa del poble. - La resta al gestor d'expedients o a la unitat compartida. Responsable de tot lo relatiu a Serveis Territorials</t>
  </si>
  <si>
    <t>Virginia Merlos</t>
  </si>
  <si>
    <t>merloscv@premiadedalt.cat</t>
  </si>
  <si>
    <t>Promoció econòmica, mateixa dinàmica. - Gestor d'expedients. No te capacitat de decissió sobre modificació d'estructura de dades, es nomès tècnica.</t>
  </si>
  <si>
    <t>Eli Gummà</t>
  </si>
  <si>
    <t>gummabe@premiadedalt.cat</t>
  </si>
  <si>
    <t>Educació i joventut, mateixa dinàmica. -Gestor d'expedients. - Responsable d'educació. Tenen una aplicació de gestió d'altes i baixes dels alumnes del curs, i algo del menjador. (No sabem exactament el nom). Té poder de decissió sobre aquesta aplicació.</t>
  </si>
  <si>
    <t>Carlos Matallan</t>
  </si>
  <si>
    <t>prmd.pl1335@premiadedalt.cat</t>
  </si>
  <si>
    <t>Policia, sargent cap. - Accedeixen a l'aplicació dels Mossos. - Aplicació Eurocop (al estiu probablement la canviaràn per DRAG), gestió policial, grues, gestió d'atestats. Eurocop el tenen al servidor POSSE (Base de dades SQL). Al estiu ho migraran a DRAG que un SAAS.</t>
  </si>
  <si>
    <t>Mireia Boté</t>
  </si>
  <si>
    <t>botemmr@premiadedalt.cat</t>
  </si>
  <si>
    <t>Secretaria (firmar informes juridics, assesorar). Fa servir el gestor d'expedients. Tè accés. Tè poder per establir protocols.</t>
  </si>
  <si>
    <t>Monica Farré</t>
  </si>
  <si>
    <t>farresm@premiadedalt.cat</t>
  </si>
  <si>
    <t>Gestor de dades Lectura, Te acces al gestor d'expedients permisos CRUD, dintre de la seva area. Porta la gestió de la pàgina web i el tema de Transparència</t>
  </si>
  <si>
    <t>Eva Roig</t>
  </si>
  <si>
    <t>prmd.alcaldia@premiadedalt.cat</t>
  </si>
  <si>
    <t>Porta la base de dades del cementiri dels ninxols. Porta el registre d'expedients, les entrades que van cap a alcaldia.</t>
  </si>
  <si>
    <t>Ricard Amaya</t>
  </si>
  <si>
    <t>amayaar@premiadedalt.cat</t>
  </si>
  <si>
    <t>Tresorer. Responsable de les dades de comptabilitat. Dels bancs, dels comptes corrents. Fa pagament de nòmines i factures. Fa l'autorització de pagament. Tota entrada i sortida monetaria la controla ell.</t>
  </si>
  <si>
    <t xml:space="preserve">
Gemma Ferran</t>
  </si>
  <si>
    <t>ferrancg@premiadedalt.cat</t>
  </si>
  <si>
    <t>Directora escoles bressol. Tè acces a l'aplicació de les Escoles bressol. A nivell de gestió</t>
  </si>
  <si>
    <t>Enric Miralles</t>
  </si>
  <si>
    <t>Tècnic Cultura te acces al gestor d'expedients. Però rol baix.</t>
  </si>
  <si>
    <t>Gemma Planas</t>
  </si>
  <si>
    <t>Directora de la Biblioteca. - Treballa amb eines de la diputació per gestionar el catàleg de llibres i qui ho ha llogat.</t>
  </si>
  <si>
    <t>Ester Àvila</t>
  </si>
  <si>
    <t>avilaae@premiadedalt.cat</t>
  </si>
  <si>
    <t>Reponsable de la interacció amb la AOC i de tots els datasets que hi resideixin al AOC. Per exemple, donar IDCat als ciutadans, la que controla el tema del padró.</t>
  </si>
  <si>
    <t xml:space="preserve">
Dolors Ollero</t>
  </si>
  <si>
    <t>ollerobd@premiadedalt.cat</t>
  </si>
  <si>
    <t>Arquitecte. - Te accès al gestor d'expedients. Geoportal i a la ùnitat compartida.</t>
  </si>
  <si>
    <t>Àrees / Dominis</t>
  </si>
  <si>
    <t>Nom de l'àrea</t>
  </si>
  <si>
    <t>Recursos Humans</t>
  </si>
  <si>
    <t>Serveis Socials</t>
  </si>
  <si>
    <t>Tesorería i Intervenció</t>
  </si>
  <si>
    <t>Informàtica</t>
  </si>
  <si>
    <t>Organigrames tècnic i funcional — Ajuntament de Premià de Dalt</t>
  </si>
  <si>
    <t>Processos clau</t>
  </si>
  <si>
    <t>Nom del procés</t>
  </si>
  <si>
    <t>Contractes menors</t>
  </si>
  <si>
    <t xml:space="preserve"> Cada departament</t>
  </si>
  <si>
    <t xml:space="preserve">Contractació </t>
  </si>
  <si>
    <t>Subvencions</t>
  </si>
  <si>
    <t>Cada departament gestiona les seves</t>
  </si>
  <si>
    <t>Licitacions</t>
  </si>
  <si>
    <t>Secretaria</t>
  </si>
  <si>
    <t>Llicències d'obres</t>
  </si>
  <si>
    <t>Urbanisme (Lluis García)</t>
  </si>
  <si>
    <t>Inscripcions a les Escoles</t>
  </si>
  <si>
    <t>Educació (Eli Gumma)</t>
  </si>
  <si>
    <t>Denúncies / Infraccions</t>
  </si>
  <si>
    <t>Policia (Carlos Matallan)</t>
  </si>
  <si>
    <t>Altas i baixes de personal</t>
  </si>
  <si>
    <t>Pagament de Nòmines</t>
  </si>
  <si>
    <t>Pagament a Proveidors</t>
  </si>
  <si>
    <t>Tesoreria</t>
  </si>
  <si>
    <t>Projectes estratègics (p.e. PAM, Dades obertes etc.)</t>
  </si>
  <si>
    <t>Nom del projecte</t>
  </si>
  <si>
    <t>El Pla de Govern 2023 - 2027 — Ajuntament de Premià de Dalt</t>
  </si>
  <si>
    <t>Gemma Álvarez</t>
  </si>
  <si>
    <t>Altres responsables</t>
  </si>
  <si>
    <t>Àmbit de responsabilitat</t>
  </si>
  <si>
    <t>Responsable de Tecnologia</t>
  </si>
  <si>
    <t>Responsable de Seguretat</t>
  </si>
  <si>
    <t>Sistemes</t>
  </si>
  <si>
    <t>Nom curt</t>
  </si>
  <si>
    <t>Nom llarg</t>
  </si>
  <si>
    <t>És extern?</t>
  </si>
  <si>
    <t>Descripció</t>
  </si>
  <si>
    <t xml:space="preserve">Tipus </t>
  </si>
  <si>
    <t>Proveïdor</t>
  </si>
  <si>
    <t>Administrador de sistemes</t>
  </si>
  <si>
    <t>Correu electrònic de l'Administrador de sistemes</t>
  </si>
  <si>
    <t>Unitat orgànica/Departament Administrador de sistemes</t>
  </si>
  <si>
    <t>Arquitecte de la dada</t>
  </si>
  <si>
    <t>Correu electrònic de l'Arquitecte de la dada</t>
  </si>
  <si>
    <t>Unitat orgànica/Departament Arquitecte de la dada</t>
  </si>
  <si>
    <t>Servidor POSSE</t>
  </si>
  <si>
    <t>Aplicació de Nòmines. Sigep. Està al Servidor PC630.</t>
  </si>
  <si>
    <t>No</t>
  </si>
  <si>
    <t>Servidor amb un programa que es diu SIGEP instalat al servidor</t>
  </si>
  <si>
    <t>AITOS es l'empresa que va instalar i mante el programa SIGEP al servidor</t>
  </si>
  <si>
    <t>Departament d'Informàtica</t>
  </si>
  <si>
    <t>Pedro Obrero (mail)</t>
  </si>
  <si>
    <t>Politiques Digitals (cambiar el nom d'informàtica)</t>
  </si>
  <si>
    <t>AITOS</t>
  </si>
  <si>
    <t>Aquest sistema deixarà de funcionar al estiu serà substituit pel de la linea 8</t>
  </si>
  <si>
    <t>Gestor d'expedients</t>
  </si>
  <si>
    <t>S'ha de licitar encara</t>
  </si>
  <si>
    <t>Si</t>
  </si>
  <si>
    <t>S'ha de licitar (Posiblement Sabia)</t>
  </si>
  <si>
    <t xml:space="preserve">
Audifilm</t>
  </si>
  <si>
    <t>Responsable de Recursos Humans / Dpt Informàtica</t>
  </si>
  <si>
    <t>S'ha de licitar</t>
  </si>
  <si>
    <t>Comptabilitat Diputació</t>
  </si>
  <si>
    <t>Genesis</t>
  </si>
  <si>
    <t>Comptabilitat</t>
  </si>
  <si>
    <t>Diputació Barcelona (Berger LEvraux)</t>
  </si>
  <si>
    <t>Lali Rivera (Secretaria) i Polítiques Digitals</t>
  </si>
  <si>
    <t>Audifirm</t>
  </si>
  <si>
    <t>Factures</t>
  </si>
  <si>
    <t>SIcalwin</t>
  </si>
  <si>
    <t xml:space="preserve">Politiques Digitals dona acces a la aplicació a través del SVUS i Administrativa (Carme Hernando) de Intervenció la que dona permisos dins de l'aplicació </t>
  </si>
  <si>
    <t>hernandobc@premiadedalt.cat / obrerorp@premiadedalt.cat</t>
  </si>
  <si>
    <t>Informatica i Intervencio</t>
  </si>
  <si>
    <t>Tràmits</t>
  </si>
  <si>
    <t>Firmadoc</t>
  </si>
  <si>
    <t>Portal de tràmits (per exemple on es demanen subvencions)</t>
  </si>
  <si>
    <t>Diputació Barcelona</t>
  </si>
  <si>
    <t>Audifilm</t>
  </si>
  <si>
    <t>Servidor En Local</t>
  </si>
  <si>
    <t>Portal de Tràmits (PMT)</t>
  </si>
  <si>
    <t>Suprema</t>
  </si>
  <si>
    <t>Politiques Digitals dona accés directe a un treballador i li assignen els permisos directament.</t>
  </si>
  <si>
    <t>otrerorp@premiadedalt.cat</t>
  </si>
  <si>
    <t xml:space="preserve">
Informàtica / Intervenció</t>
  </si>
  <si>
    <t>Base de dades del Cementiri</t>
  </si>
  <si>
    <t>Software d'Acces als edificis (Biostar - (empresa Suprema), agafa la petjada dactilar.</t>
  </si>
  <si>
    <t>Desenvolupament propi amb BBDD Access</t>
  </si>
  <si>
    <t>Departmanet d'Informàtica</t>
  </si>
  <si>
    <t>Servidor en físic a la Policia (diferent del de l'ajuntament)</t>
  </si>
  <si>
    <t>Gestió de les càmeres</t>
  </si>
  <si>
    <t>Aplicació Milestone</t>
  </si>
  <si>
    <t>Departament d'Informàtica / Empresa externa Controlcat</t>
  </si>
  <si>
    <t>Lector de matrícules (Identools)</t>
  </si>
  <si>
    <t xml:space="preserve">
Es un sistema de càmeres, que va enregistrant les matrícules, fa foto de la matrícula i la emmagatzema</t>
  </si>
  <si>
    <t>Seguretat Viària</t>
  </si>
  <si>
    <t>Controlcat es l'empresa</t>
  </si>
  <si>
    <t>Identools</t>
  </si>
  <si>
    <t>Eurocop</t>
  </si>
  <si>
    <t>Base de dades per gestionar les grues, atestats policials, gestió policial.</t>
  </si>
  <si>
    <t>Seguretat Ciutadana</t>
  </si>
  <si>
    <t>Eurocop (NT Consulting) tot i que l'aplicació es antiga i probablement l'empresa ja ni existeixi</t>
  </si>
  <si>
    <t>CST / DRAG</t>
  </si>
  <si>
    <t>Software de GEstió Policial que substituirà a EUrocop, està licitat, probablement sigui DRAG</t>
  </si>
  <si>
    <t>ECityclic</t>
  </si>
  <si>
    <t>Padro Diputacio</t>
  </si>
  <si>
    <t xml:space="preserve">
Padró (Diputació de Barcelona)</t>
  </si>
  <si>
    <t>Padró municipal d'habitants</t>
  </si>
  <si>
    <t>Nexus Geographics</t>
  </si>
  <si>
    <t>Geoportal (Fan servir a Urbanisme)</t>
  </si>
  <si>
    <t>Gestio d'urbanisme i llicències</t>
  </si>
  <si>
    <t>PMT Diputació de Barcelona</t>
  </si>
  <si>
    <t>Gestio Subvencions</t>
  </si>
  <si>
    <t>Diputació de Barcelona</t>
  </si>
  <si>
    <t>Capacitats tecnológiques</t>
  </si>
  <si>
    <t>Producte</t>
  </si>
  <si>
    <t>Tipus</t>
  </si>
  <si>
    <t>Volumetria</t>
  </si>
  <si>
    <t>Grau d'ús i desplegament</t>
  </si>
  <si>
    <t xml:space="preserve">Dades de formació </t>
  </si>
  <si>
    <t>Curs de formació</t>
  </si>
  <si>
    <t>Persones</t>
  </si>
  <si>
    <t>Llocs de treball específics a la RLT</t>
  </si>
  <si>
    <t>Descripció del LLT</t>
  </si>
  <si>
    <t>Places</t>
  </si>
  <si>
    <t>Categoria</t>
  </si>
  <si>
    <t xml:space="preserve">Perfils identificats </t>
  </si>
  <si>
    <t>Persona</t>
  </si>
  <si>
    <t>Àrea funcional</t>
  </si>
  <si>
    <t>Perfil</t>
  </si>
  <si>
    <t>Instruments aprovats</t>
  </si>
  <si>
    <t>Nom de l'instrument</t>
  </si>
  <si>
    <t>Any</t>
  </si>
  <si>
    <t>Enllaç</t>
  </si>
  <si>
    <t>Nom del repte</t>
  </si>
  <si>
    <t>Estat</t>
  </si>
  <si>
    <t>Id.</t>
  </si>
  <si>
    <t>Procés</t>
  </si>
  <si>
    <t>Qüestió</t>
  </si>
  <si>
    <t>Resposta</t>
  </si>
  <si>
    <t>Evidències i documentació</t>
  </si>
  <si>
    <t>Respostes</t>
  </si>
  <si>
    <t>Accions</t>
  </si>
  <si>
    <t>Govern</t>
  </si>
  <si>
    <t>Pla acció</t>
  </si>
  <si>
    <t>Prioritat</t>
  </si>
  <si>
    <t>Calendari</t>
  </si>
  <si>
    <t>Establiment d'estàndards, polítiques, bones pràctiques i procediments</t>
  </si>
  <si>
    <t>GA01</t>
  </si>
  <si>
    <t>Existeix un marc de Govern de la dada establert? (Polítiques, estàndards, procediments, inventari de dades, bones pràctiques, …)</t>
  </si>
  <si>
    <t>No, no existeix un marc de Govern de la dada establert</t>
  </si>
  <si>
    <t>No tenen cap marc establert ni rreconegut per tota l'organització sobre com s'han de governar le dades</t>
  </si>
  <si>
    <t>Si, però cada Àrea identifica i desenvolupa els seus processos amb el seu propi criteri</t>
  </si>
  <si>
    <t>Sí, hi ha un marc de Govern de la dada establert i publicat, que coneixen i utilitzen les diferents Àrees</t>
  </si>
  <si>
    <t xml:space="preserve">Sí, hi ha un marc de Govern de la dada establert i publicat, que coneixen i utilitzen les diferents Àrees, i que està subjecte a processos de millora continua de manera periòdica. </t>
  </si>
  <si>
    <t>Definir un Marc de Govern de la dada de marea senzilla i escalable alineat amb els objectius de l'Ajuntament/Organisme, definint regles clares de gestió de les dades (qualitat, seguretat i accés), rols i responsabilitats i processos clau)</t>
  </si>
  <si>
    <t>Establir un marc de Govern del Dada unificat per garantir coherència i alineació entre àrees fent un treball de centralització de la governança i unificació de criteris.</t>
  </si>
  <si>
    <t>Assegurar la aplicació del Marc de Govern de la dada de manera efectiva, avaluant el compliment i efectivitat, i executant processos de millora contínua</t>
  </si>
  <si>
    <t>-</t>
  </si>
  <si>
    <t>GA02</t>
  </si>
  <si>
    <t>Estan documentades les Polítiques de Govern de la dada i aquestes estan orientades a optimitzar el valor de les dades? (estan publicades, el personal les coneix, s'actualitzen periòdicament, i es mesura i monitoritza el compliment)</t>
  </si>
  <si>
    <t>No, no hi ha polítiques per a la optimització del valor de les dades</t>
  </si>
  <si>
    <t>No existeix cap repositori compartit per l'organització sobre els conjunts de dades que  hi ha a disposició dels diferents departaments i/o personal</t>
  </si>
  <si>
    <t>Sí, hi ha algunes polítiques, però no s'implementen adequadament</t>
  </si>
  <si>
    <t>Sí, hi ha polítiques per a la optimització del valor de les dades i s'implementen adequadament</t>
  </si>
  <si>
    <t>Sí, hi ha polítiques  per a la optimització del valor de les dades, s'implementen adequadament,  i es porten a terme accions periòdiques de millora continua</t>
  </si>
  <si>
    <t>Cal definir la Política de  Govern de la dada, es pot iniciar amb regles bàsiques que defineixin les responsabilitats, classifiquin les dades, estableixin normes d'accés i seguretat, i projectar un Inventari de dades. Per tal de fer aquest camí més senzill i aprofitant l'experiència de la DIBA, aquesta facilita el procediment d'adhesió a les seves Polítiques.</t>
  </si>
  <si>
    <t>Cal revisar que les Polítiques definides son aplicables, si es poden simplificar i assegurar un lideratge en l'àmbit del Govern de la dada. Addicionalment, seria positiu reforçar la comunicació, assegurar la capacitació dels implicats i portar a terme accions que facin que el Govern de la dada s'integri a la operació diària.</t>
  </si>
  <si>
    <t>És recomanable revisar les Polítiques periòdicament per tal d'optimitzar-les i assegurar que s'adapten a les noves necessitats.</t>
  </si>
  <si>
    <t>_</t>
  </si>
  <si>
    <t>Establiment d'estratègies de dades</t>
  </si>
  <si>
    <t>GB01</t>
  </si>
  <si>
    <t>Existeix una estratègia de dades que inclogui iniciatives, objectius i fites, i aquesta es coneguda per l'Ajuntament/Organisme?</t>
  </si>
  <si>
    <t>No, no hi ha una estratègia de dades coneguda</t>
  </si>
  <si>
    <t>Les dades no son reconegudes com un actiu de l'organització sobre  les que extreure informació de valor. Per tant no hi ha una estratègia al respecte</t>
  </si>
  <si>
    <t>Sí, existeix una estratègia de dades però no es molt coneguda o no defineix clarament les iniciatives, objectius o fites.</t>
  </si>
  <si>
    <t>Si, existeix una estratègia de dades coneguda que inclou el detall d'iniciatives, objectius i fites</t>
  </si>
  <si>
    <t>Si, existeix una estratègia de dades coneguda que inclou el detall d'iniciatives, objectius i fites, i es fa un seguiment periòdic del compliment.</t>
  </si>
  <si>
    <t>Definir una estratègia de dades de manera clara i accessible per a tots els actors implicats, que detalli els objectius estratègics, concreti iniciatives/un pla d'acció amb prioritats i involucrar als equips de treball</t>
  </si>
  <si>
    <t>Revisar 'l'estratègia de dades per concretar iniciatives, objectius mesurables i fites clares, i assegurar que tots els equips implicats la coneguin i facin seva</t>
  </si>
  <si>
    <t>Assegurar el compliment de l'estratègia de dades fent un seguiment regular de les iniciatives, revisant els objectius i les fites i fomentant la millora continua</t>
  </si>
  <si>
    <t>GB02</t>
  </si>
  <si>
    <t>Hi ha mètriques d'utilització i rendiment de les dades?</t>
  </si>
  <si>
    <t>No, no hi ha mètriques d'utilització i rendiment de les dades</t>
  </si>
  <si>
    <t>Al no ser considerades un actiu, no hi ha cap tipus de mètrica al voltant de la dada.</t>
  </si>
  <si>
    <t>Si, per a alguna àrea hi ha alguna mètrica d'utilització i rendiment, però no es fa un seguiment</t>
  </si>
  <si>
    <t>Si, hi ha mètriques d'utilització i rendiment a les àrees, i es fa un seguiment i utilització d'aquestes dades</t>
  </si>
  <si>
    <t>Si, hi ha mètriques d'utilització i rendiment a les àrees, es fa un seguiment i utilització d'aquestes dades, i periòdicament es revisen (definició, necessitat, llindars, etc.) per tal de garantir una millora contínua</t>
  </si>
  <si>
    <t>Cal establir indicadors clau (KPIs) per a mesurar la qualitat, accessibilitat i efectivitat de les dades. Aquestes mètriques haurien de mesurar qualitats com la precisió, integritat, consistència i rendiment de les dades. Això facilitarà la gestió i millora de les dades.</t>
  </si>
  <si>
    <t xml:space="preserve"> Es recomana fer un monitoreig de les mètriques d'ús i rendiment per a analitzar les mètriques de manera periòdica, i estendre l'activitat a les principals àrees de l'Ajuntament o Organització. Fer el seguiment d'aquestes mètriques ajudarà a identificar possibles millores.</t>
  </si>
  <si>
    <t>Es recomana optimitzar els processos d'anàlisi per tal d'identificar tendències i punts de millora de manera proactiva, i fer revisions periòdiques per alinear les mètriques amb els objectius estratègics (p.e. el PAM de l'Ajuntament).</t>
  </si>
  <si>
    <t>Establiment d'estructures organitzacionals</t>
  </si>
  <si>
    <t>GC01</t>
  </si>
  <si>
    <t>Existeix una estructura organitzativa formal per al Govern de la dada i es porten a terme comitès de dades?</t>
  </si>
  <si>
    <t>No existeix una estructura organitzativa formal per al Govern de la dada ni es porten a terme comitès de dades</t>
  </si>
  <si>
    <t>No, no hi ha cap estructura interna que fixi polítiques i protocols d'us de les dades. Sí que tenen la regulació de protecció de dades</t>
  </si>
  <si>
    <t>Si, existeix una estructura organitzativa formal per al Govern de la dada, però no es porten a terme comitès de dades de manera regular</t>
  </si>
  <si>
    <t>Si, existeix una estructura organitzativa formal per al Govern de la dada i si es porten a terme comitès de dades de manera regular</t>
  </si>
  <si>
    <t>Si, existeix una estructura organitzativa formal per al Govern de la dada i si es porten a terme comitès de dades de manera regular amb un alt grau de col·laboració entre les diferents àrees</t>
  </si>
  <si>
    <t>Crear una estructura organitzativa mínima viable que permeti iniciar la governança de manera efectiva, definint rols clau, com Responsable de dades i Propietari de dades, i establir un Comitè de Dades per a la coordinació entre àrees</t>
  </si>
  <si>
    <t>Establir reunions del comitè de dades amb la periodicitat que sigui necessari per fer seguiment de la governança de les dades</t>
  </si>
  <si>
    <t>Assegurar que les decisions i accions derivades dels comitès estan alineats amb l'estratègia, avaluar i optimitzar els resultats dels Comitès</t>
  </si>
  <si>
    <t>Gestió de recursos humans</t>
  </si>
  <si>
    <t>GD01</t>
  </si>
  <si>
    <t>Estan definits els rols i responsabilitats per al Govern de la dada (al menys Responsable de les dades i Propietari de les dades)?</t>
  </si>
  <si>
    <t>No, no estan definits els rols i responsabilitats  adequadament</t>
  </si>
  <si>
    <t>No, no tenen una estructura definida i publicada per tal de definir els rols de propietari, gestor, custodi, etc.. de les dades que gestionen. Cal definir tots els rols per tal de que el govern de la dada sigui efectiu.</t>
  </si>
  <si>
    <t xml:space="preserve">En la reunió es va fer laès que era necessari tenir </t>
  </si>
  <si>
    <t>Sí, estan definits els rols i responsabilitats, però no estan assignats a personal qualificat.</t>
  </si>
  <si>
    <t>Sí, estan definits els rols i responsabilitats, i estan assignats a personal qualificat</t>
  </si>
  <si>
    <t>Sí, estan definits els rols i responsabilitats, es revisen periòdicament i es forma al personal assignat per a garantir una millora continua</t>
  </si>
  <si>
    <t>És fonamental assignar definir i assignar els rols de Propietari de la dada (Data Owners) i de Responsable de la dada (Data Steward) per a garantitzar la qualitat, seguretat i us adequat de la informació. La definició d'aquests rols ha de deixar clares les funcions i les responsabilitats.</t>
  </si>
  <si>
    <t>Cal identificar a les persones adequades dins de l'Ajuntament o Organisme i formalitzar l'assignació de rols, comunicar clarament les responsabilitats, capacitar-los i fer seguiment de les seves funcions.</t>
  </si>
  <si>
    <t xml:space="preserve">Cal considerar establir mètriques d'ús i rendiment, assegurar que s'utilitzen a la presa de decisions, i implantar processos de millora contínua. </t>
  </si>
  <si>
    <t>GD02</t>
  </si>
  <si>
    <t>Està definit i assignat el rol de  Responsable de les dades?</t>
  </si>
  <si>
    <t>No, no està definit clarament aquest rol i no hi ha personal assignat</t>
  </si>
  <si>
    <t>Actualment tenen un responsable extern com a respnsable protecció de dades, però no tenen cap respnsable gbeneral de l'organització que vetlli per la bona gestió de les dades</t>
  </si>
  <si>
    <t>Tenim identificat el responsable de la LOPD. Ho enen externalitzat</t>
  </si>
  <si>
    <t>Sí, està definit i assignat però, però el personal no coneix clarament les seves funcions</t>
  </si>
  <si>
    <t>Sí, està definit i assignat, i el personal coneix clarament les seves funcions</t>
  </si>
  <si>
    <t>Sí, està definit i assignat i el personal coneix clarament les seves funcions i es fan accions periòdiques per tal de garantir una millora continua</t>
  </si>
  <si>
    <t>S'hauria de definir clarament les funcions del Responsable de dades (Data Stewart), identificar els perfils adequats dins de l'Ajuntament o Organisme i capacitar-los per a portar a terme les seves funcions de manera efectiva.</t>
  </si>
  <si>
    <t>Cal capacitar al Responsable de dades (Data Stewart) i comunicar clarament les seves funcions dins l'Ajuntament o Organisme per a que pugui desenvolupar les seves funcions de manera efectiva.</t>
  </si>
  <si>
    <t>És recomanable establir mètriques, optimitzar processos contínuament i fomentar la col·laboració entre els diferents rols per enfortir la governança de dades.</t>
  </si>
  <si>
    <t>GD03</t>
  </si>
  <si>
    <t>Està identificat i es coneix  el propietari de les dades de cada Àrea?</t>
  </si>
  <si>
    <t>De manera oficiosa cada cap de departament és el responsable de l'ús que s'en fa de les dades. Però en cap cas això es oficial dins de l'organització</t>
  </si>
  <si>
    <t>Cal reflectir la responsabilitat en temes d'us de dades per art dels caps de cada àrea.</t>
  </si>
  <si>
    <t>Sí, està definit i assignat però, però el personal no coneix clarament les seves funcions, o hi ha alguna àrea per a les que no hi ha personal assignat</t>
  </si>
  <si>
    <t>Sí, està definit i assignat, i el personal a cada àrea coneix clarament les seves funcions.</t>
  </si>
  <si>
    <t>Sí, està definit i assignat, i el personal a cada àrea coneix clarament les seves funcions, i es fan accions periòdiques per tal de garantir una millora continua</t>
  </si>
  <si>
    <t>És important definir el rol de Propietari de dades (Data Owner) i assignar-lo a persones amb gran coneixement funcional i responsabilitat sobre les dades. El Responsable de dades ha de ser responsable de la qualitat , seguretat i accés a les dades, i tenir l'autoritat per a la presa de decisions i garantir que les dades es gestionen adequadament.</t>
  </si>
  <si>
    <t>Cal comunicar l'existència del rol de Propietari de dades, el personal que té assignat i les responsabilitats de manera clara dins l'Ajuntament o Organisme.</t>
  </si>
  <si>
    <t xml:space="preserve"> És interessant garantir l'autoritat i visibilitat dels Propietaris de dades, assegurant que tingui els recursos i que s'implementen activitats de millora contínua.</t>
  </si>
  <si>
    <t>Gestió de dades</t>
  </si>
  <si>
    <t>Gestió de seguretat de dades</t>
  </si>
  <si>
    <t>MA01</t>
  </si>
  <si>
    <t>Existeixen Polítiques de seguretat i privadesa de les dades alineades amb les regulacions vigents i s'avalua el seu compliment?</t>
  </si>
  <si>
    <t xml:space="preserve">Si, hi ha Polítiques de seguretat i privadesa alineades amb les regulacions vigents, però no son conegudes pel personal i/o no s'avalua el seu compliment </t>
  </si>
  <si>
    <t>Sí, com ja s'ha comentat anteriorment tenen un servei externalitzat que els proveeix de la normativa de privacitat i protecció de dades</t>
  </si>
  <si>
    <t>Tot i que sí han fet auditoria sobre la privacitat de les dades de la LOPD. Tenen una empresa que es la responsable de dades des de el punt de vista de la LOPD, dona suport també al conjunt de l'organització sobre dubtes que puguin sorgir respecte del compliment.</t>
  </si>
  <si>
    <t xml:space="preserve">No, no hi ha Polítiques de seguretat i privadesa alineades amb les regulacions vigents </t>
  </si>
  <si>
    <t xml:space="preserve">Si, hi ha Polítiques de seguretat i privadesa alineades amb les regulacions vigents que son  conegudes pel personal, i es fan revisions del seu compliment </t>
  </si>
  <si>
    <t>Si, hi ha Polítiques de seguretat i privadesa alineades amb les regulacions vigents que son  conegudes pel personal, i es fan revisions del seu compliment. Addicionalment es fan revisions d'aquestes per tal assegurar l'alineament amb noves regulacions i per optimitzar els processos</t>
  </si>
  <si>
    <t>Definir les Polítiques de seguretat i privadesa alineades amb les regulacions vigents. Per tal de fer aquest camí més senzill i aprofitant l'experiència de la DIBA, aquesta facilita el procediment d'adhesió a les seves Polítiques.</t>
  </si>
  <si>
    <t>Divulgar les Polítiques de seguretat i privadesa entre el personal per tal que aquestes siguin conegudes, i fer avaluacions periòdiques del seu compliment</t>
  </si>
  <si>
    <t>Fer revisions periòdiques de les Polítiques per tal d'assegurar que aquestes es mantenen actualitzades amb les regulacions vigents i cercar oportunitats de millora continua</t>
  </si>
  <si>
    <t>MA02</t>
  </si>
  <si>
    <t>Les dades s'identifiquen i classifiquen en nivells de sensibilitat en funció de l'àmbit d'actuació dins de l'Ajuntament/Organisme?</t>
  </si>
  <si>
    <t>Si, les dades es classifiquen en funció de la seva sensibilitat i el personal coneix i utilitza les dades d'acord a aquesta classificació</t>
  </si>
  <si>
    <t>Sí, el responsable de protecció de dades juntament amb cada departament classifiquen la criticitat de cada tipologia de dada per saber quines dades han de tenir una protecció determinada</t>
  </si>
  <si>
    <t>No, no es classifiquen les dades en funció de la seva sensibilitat</t>
  </si>
  <si>
    <t>Si, algunes dades es classifiquen en funció de la seva sensibilitat i/o el personal no coneix aquesta classificació</t>
  </si>
  <si>
    <t>Si, les dades es classifiquen en funció de la seva sensibilitat i el personal coneix i utilitza les dades d'acord a aquesta classificació, i es fan auditories periòdiques per tal de detectar possibles errors i fer millora continua</t>
  </si>
  <si>
    <t>Identificar i classificar les dades clau en funció de la seva sensibilitat</t>
  </si>
  <si>
    <t>Assegurar que estan identificades i classificades totes les dades clau en funció de la seva sensibilitat i que el personal utilitza les dades d'acord a aquesta classificació</t>
  </si>
  <si>
    <t>Es recomana establir auditories que ajudin a detectar errors i definir accions de millora continua</t>
  </si>
  <si>
    <t>Gestió de dades històriques</t>
  </si>
  <si>
    <t>MB01</t>
  </si>
  <si>
    <t>Existeixen Polítiques d'arxivat i restauració de dades?</t>
  </si>
  <si>
    <t>Si, hi ha Polítiques d'arxivat i restauració de dades, però no s'apliquen adequadament</t>
  </si>
  <si>
    <t>Tenen regulat la part dels expdients,. toa la resta de documentació no ho tenen sota polítiques de gestió de documenació</t>
  </si>
  <si>
    <t>La part de documnetació de gestió d'expedients sí, la resta de dades no.</t>
  </si>
  <si>
    <t xml:space="preserve">No, no hi ha Polítiques d'arxivat i restauració de dades </t>
  </si>
  <si>
    <t>Si, hi ha Polítiques d'arxivat i restauració de dades que s'apliquen adequadament</t>
  </si>
  <si>
    <t>Si, hi ha Polítiques d'arxivat i restauració de dades que s'apliquen adequadament i son revisades de forma periòdica per tal de millorar-les</t>
  </si>
  <si>
    <t>Definir les Polítiques d'arxivat i restauració de dades . Per tal de fer aquest camí més senzill i aprofitant l'experiència de la DIBA, aquesta facilita el procediment d'adhesió a les seves Polítiques.</t>
  </si>
  <si>
    <t>Revisar i implicar al personal en l'aplicació de les Polítiques d'arxivat i restauració de dades</t>
  </si>
  <si>
    <t xml:space="preserve">Portar a terme accions de millora continua de les Polítiques d'arxivat i restauració de dades </t>
  </si>
  <si>
    <t>Gestió de fonts i destinacions de dades</t>
  </si>
  <si>
    <t>MC01</t>
  </si>
  <si>
    <t>Existeix un Inventari de dades, que inclou conjunts de dades, dades mestre i de referència, i metadades, i on s'identifiquen les fonts de dades de l'Ajuntament/Organisme que és compartit i conegut pel personal?</t>
  </si>
  <si>
    <t>No, no existeix un Catàleg de dades ni Inventari de dades</t>
  </si>
  <si>
    <t>No existeix cap repositori sobre totes les dades que existeix a la pròpia organització. El 2006 van fer un recull de totes les bases de dades que hi havia per departament de cada a la protecció de dades</t>
  </si>
  <si>
    <t>Va fer una auditoria per al compliment de la LOPD per a totes les àrees a excepció de serveis econòmics i secretaria. Fer referència  tots els dossiers on s'identifica totes les taules.</t>
  </si>
  <si>
    <t>Si, existeix el Catàleg de dades i l'Inventari de dades, però aquest no és complet i/o el seu us és bastant limitat</t>
  </si>
  <si>
    <t>Si, existeix el Catàleg de dades i l'Inventari de dades, on s'identifiquen les fonts de dades de l'Ajuntament/Organisme, les dades clau, i son coneguts i utilitzats de manera regular</t>
  </si>
  <si>
    <t>Si, existeix el Catàleg de dades i l'Inventari de dades, on s'identifiquen les fonts de dades de l'Ajuntament/Organisme, les dades clau, son coneguts i utilitzats de manera regular, i regularment es revisa per tal de fer millora continua i avaluar el seu us</t>
  </si>
  <si>
    <t>Iniciar les tasques d'implementació de l'Inventari de dades</t>
  </si>
  <si>
    <t>Ampliar l'Inventari de dades a totes les dades clau, i difondre i promoure la seva utilització</t>
  </si>
  <si>
    <t>Fer revisions periòdiques de l'Inventari de dades per tal d'assegurar que aquest es manté actualitzat i cercar oportunitats de millora continua</t>
  </si>
  <si>
    <t>MC02</t>
  </si>
  <si>
    <t>Estan identificades les dades i fonts de dades externes i aquestes es gestionen mitjançant acords formals i s'estableixen controls de qualitat específics?</t>
  </si>
  <si>
    <t>No, no estan identificades les dades ni fonts de dades externes</t>
  </si>
  <si>
    <t>No, no existeix cap desenvolupament en aquest sentit</t>
  </si>
  <si>
    <t>Si, estan identificades les dades i les fonts de dades externes però no hi ha una gestió específica sobre aquestes</t>
  </si>
  <si>
    <t>Si, estan identificades les dades i les fonts de dades externes i es fa una gestió específica sobre aquestes per tal d'assegurar que son de qualitat i segures</t>
  </si>
  <si>
    <t>Si, estan identificades les dades i les fonts de dades externes i es fa una gestió específica sobre aquestes per tal d'assegurar que son de qualitat i segures, i es fan avaluacions periòdiques per tal de trobar punts de millora continua</t>
  </si>
  <si>
    <t>Identificar les fonts de dades externes i les dades associades per tal de poder fer una gestió específica d'aquestes</t>
  </si>
  <si>
    <t>Fer una gestió específica sobre les fonts de dades i dades externes per tal d'assegurar que son de qualitat i segures</t>
  </si>
  <si>
    <t>Establir mecanismes de millora continua als processos de gestió de dades i fonts de dades externes</t>
  </si>
  <si>
    <t>Gestió de la integració de les dades</t>
  </si>
  <si>
    <t>MD01</t>
  </si>
  <si>
    <t>Existeixen Polítiques i procediments d'integració, gestió i utilització de les dades?</t>
  </si>
  <si>
    <t>No, no hi ha Polítiques ni procediments d'integració, gestió ni utilització de les dades</t>
  </si>
  <si>
    <t>No toes les fonts i aactius de dades operen de manera independent i sota els objectius de cada departament.</t>
  </si>
  <si>
    <t>Si, hi ha Polítiques i procediments d'integració, gestió i utilització de les dades, però no s'apliquen adequadament</t>
  </si>
  <si>
    <t>Si, hi ha Polítiques i procediments d'integració, gestió i utilització de les dades, que s'apliquen adequadament</t>
  </si>
  <si>
    <t>Si, hi ha Polítiques i procediments d'integració, gestió i utilització de les dades, que s'apliquen adequadament, que son avaluats paròdicament per tal de trobar punts de millora continua</t>
  </si>
  <si>
    <t>Definir les Polítiques i procediments d'integració, gestió i utilització de les dades . Per tal de fer aquest camí més senzill i aprofitant l'experiència de la DIBA, aquesta facilita el procediment d'adhesió a les seves Polítiques.</t>
  </si>
  <si>
    <t>Revisar i implicar al personal en l'aplicació de les Polítiques i procediments d'integració, gestió i utilització de les dades</t>
  </si>
  <si>
    <t>Portar a terme accions de millora continua de les Polítiques i procediments d'integració, gestió i utilització de les dades</t>
  </si>
  <si>
    <t>Gestió de Dades Mestre i Dades de Referència</t>
  </si>
  <si>
    <t>ME01</t>
  </si>
  <si>
    <r>
      <t xml:space="preserve">Estan identificades les Dades Mestre i les Dades de Referència? 
</t>
    </r>
    <r>
      <rPr>
        <i/>
        <sz val="10"/>
        <color theme="1"/>
        <rFont val="Aptos Narrow"/>
        <family val="2"/>
        <scheme val="minor"/>
      </rPr>
      <t>Dades Mestre son les dades que representen la informació fonamental per a l'Ajuntament/Organisme (p.e. nom, cognoms, tributs, empleats, etc.)
Dades de Referència son les dades que s'utilitzen como referència o estàndard per a contextualitzar altres dades (p.e. codis postals, municipis, calendaris de festius, llistat de tributs, CNAE, etc.)</t>
    </r>
  </si>
  <si>
    <t>No, no estan identificades les Dades Mestre ni les Dades de Referència</t>
  </si>
  <si>
    <t>No han fet aquest treball d'identificar i classificar la tipologia de dades si son Mestres o de Referència</t>
  </si>
  <si>
    <t>Si, hi ha identificades Dades Mestre i les Dades de Referència, però la identificació no és completa</t>
  </si>
  <si>
    <t>Si, hi ha identificades totes les Dades Mestre i les Dades de Referència clau per a l'Ajuntament/Organisme</t>
  </si>
  <si>
    <t>Si, hi ha identificades totes les Dades Mestre i les Dades de Referència clau per a l'Ajuntament/Organisme, i periòdicament es revisen les definicions d'aquestes, la completitut i es porten a terme tasques de millora continua</t>
  </si>
  <si>
    <t>Qualitat de la dada</t>
  </si>
  <si>
    <t>QA01</t>
  </si>
  <si>
    <t>Estan documentats els requeriments de qualitat de les dades (precisió, integritat, consistència, completitut, puntualitat, etc.?</t>
  </si>
  <si>
    <t>No, no estan documentats els requeriments de qualitat de les dades</t>
  </si>
  <si>
    <t>No hi ha un document que ho especifiqui tot i que els programaris ja defineix l'estructura de la dada a introduir.</t>
  </si>
  <si>
    <t>Si, estan documentats alguns requeriments de qualitat d'algunes dades</t>
  </si>
  <si>
    <t>Si, estan documentats els requeriments de qualitat de les dades i hi ha processos automàtics orientats a garantir la qualitat de les dades</t>
  </si>
  <si>
    <t>Si, estan documentats els requeriments de qualitat de les dades i hi ha processos automàtics orientats a garantir la qualitat de les dades, i aquests es revisen de manera regular per tal d'identificar i aplicar millores</t>
  </si>
  <si>
    <t>Iniciar la documentació dels requeriments de qualitat de les dades, prioritzant  les dades clau i crítiques</t>
  </si>
  <si>
    <t xml:space="preserve">Completar la documentació de requeriments de qualitat de les dades i valorar l'automatització de processos que ajudin a garantir la qualitat de les dades </t>
  </si>
  <si>
    <t>Maximitzar l'automatització de processos que ajudin a garantir la qualitat de les dades i establir mecanismes de millora continua</t>
  </si>
  <si>
    <t>Control i monitorització de la qualitat de les dades</t>
  </si>
  <si>
    <t>QB01</t>
  </si>
  <si>
    <t>Es fa un seguiment actiu i monitoratge de la qualitat de les dades?</t>
  </si>
  <si>
    <t>No, no es fa un seguiment actiu ni es monitoritza la qualitat de les dades</t>
  </si>
  <si>
    <t>Al no tenir una política de qualitat de les dades no es fa el seguiment</t>
  </si>
  <si>
    <t>Aquí farem un quadre de comendament sobre la qualitat de dades sobre tots els indicadors del serveis tècnics.</t>
  </si>
  <si>
    <t>Si, es fan seguiments i monitorització de la qualitat de les dades de manera esporàdica únicament quan es detecten errors, i s'estableixen mesures correctives.</t>
  </si>
  <si>
    <t>Si, es fan seguiments i monitorització de la qualitat de les dades de manera regular i planificada, per implantar mesures correctives i preventives</t>
  </si>
  <si>
    <t>Si, es fan seguiments i monitorització de la qualitat de les dades de manera regular i planificada, per implantar mesures correctives i preventives, i s'avaluen els propis criteris de seguiment i monitorització per tal d'optimitzar-los</t>
  </si>
  <si>
    <t xml:space="preserve">Començar a fer seguiment actiu i monitorització de la qualitat de les dades </t>
  </si>
  <si>
    <t>Periodificar i ampliar l'abast del seguiment i monitorització de la qualitat de les dades per tal que doni suport a la implantació accions orientades a la prevenció</t>
  </si>
  <si>
    <t>Implantar revisions periòdiques d'avaluació dels propis criteris de seguiment i monitorització de la qualitat per tal d'optimitzar-los</t>
  </si>
  <si>
    <t>Planificació de la qualitat de les dades</t>
  </si>
  <si>
    <t>QC01</t>
  </si>
  <si>
    <t>Existeix una planificació de les activitats d'assegurament de la qualitat de les dades que detalla els objectius de qualitat, planifica el seguiment i monitorització de la qualitat de les dades, etc.?</t>
  </si>
  <si>
    <t>No, no es planifiquen les activitats d'assegurament de la qualitat de les dades</t>
  </si>
  <si>
    <t>Exactament el mateix que en l'apartat anterior</t>
  </si>
  <si>
    <t>Si,  es planifiquen les activitats d'assegurament de la qualitat de les dades, però aquesta planificació no detalla els objectius de qualitat o les activitats de seguiment i monitorització de la qualitat</t>
  </si>
  <si>
    <t>Si, es planifiquen les activitats d'assegurament de la qualitat de les dades, detallant els objectius de qualitat i les activitats de seguiment i monitorització de la qualitat</t>
  </si>
  <si>
    <t>Si, es planifiquen les activitats d'assegurament de la qualitat de les dades, detallant els objectius de qualitat i les activitats de seguiment i monitorització de la qualitat, i es fan activitats de millora continua de les pròpies activitats de planificació</t>
  </si>
  <si>
    <t>Preparar un pla d'assegurament de la qualitat de les dades, que inicialment posi el focus en les dades crítiques i dades clau</t>
  </si>
  <si>
    <t>Ampliar el detall del pla d'assegurament de la qualitat de les dades, assegurant que aquest detalla els objectius de qualitat, i les activitats de seguiment i monitorització</t>
  </si>
  <si>
    <t>Incorporar avaluacions de millora continua per al propi procés de planificació de la qualitat de les dades.</t>
  </si>
  <si>
    <t>La Gestió de Dades es refereix al conjunt d'activitats i procediments utilitzats per recollir, emmagatzemar, organitzar, mantenir i utilitzar dades de manera eficient. Aquest procés és crucial per garantir que les dades siguin accessibles, fiables i segures. L'objectiu principal de la Gestió de Dades és assegurar que les dades siguin utilitzades de manera eficient i efectiva per aportar valor a l'Ajuntament, Organisme o Àrea.</t>
  </si>
  <si>
    <t>CD.01</t>
  </si>
  <si>
    <t>Existeix un catàleg de dades? (una relació de les agrupacions de dades de l'Ajuntament)</t>
  </si>
  <si>
    <t>Si, però no el coneix tothom qui el pot necessitar</t>
  </si>
  <si>
    <t>Si, i és conegut per l'Ajuntament</t>
  </si>
  <si>
    <t>CD.02</t>
  </si>
  <si>
    <t>El Catàleg de dades està implementat i poblat amb els actius de dades existents?</t>
  </si>
  <si>
    <t>Si, però és poc complet</t>
  </si>
  <si>
    <t>Si, agrupa una gran quantitat de dades</t>
  </si>
  <si>
    <t>CD.03</t>
  </si>
  <si>
    <t xml:space="preserve">Existeix un Inventari de dades? (recopilació  centralitzada de metadades de l'Ajuntament) </t>
  </si>
  <si>
    <t>Si, és bastant complet</t>
  </si>
  <si>
    <t>Si, és complet</t>
  </si>
  <si>
    <t>CD.04</t>
  </si>
  <si>
    <t>Estan definits els rols i les responsabilitats associades al Catàleg de dades i a l'Inventari de dades?</t>
  </si>
  <si>
    <t>No sempre estan definits els rols/responsabilitats</t>
  </si>
  <si>
    <t>Estan definits els rols però les responsabilitats no estan clares</t>
  </si>
  <si>
    <t>Si, tant els rols com les responsabilitats estan clares</t>
  </si>
  <si>
    <t>CD.05</t>
  </si>
  <si>
    <t xml:space="preserve">El Catàleg de dades inclou Metadades de Negoci? (que descriuen les dades des de una perspectiva d'usuari de negoci) </t>
  </si>
  <si>
    <t>CD.06</t>
  </si>
  <si>
    <t xml:space="preserve">El Catàleg de dades inclou Metadades tècniques? (que descriuen els aspectes tècnics de les dades, com estructures de base de dades, tipus, longituds, allotjament, etc.) </t>
  </si>
  <si>
    <t>CD.07</t>
  </si>
  <si>
    <t xml:space="preserve">El Catàleg de dades inclou Metadades operacionals? (que descriuen els aspectes d'utilització i flux de les dades, com origen, registres d'auditoria, historial de canvis, processos ETL, etc.) </t>
  </si>
  <si>
    <t>CD.08</t>
  </si>
  <si>
    <t>Els diferents tipus d'Usuari coneixen i tenen accés al Catàleg de dades i tenen les capacitats per a utilitzar-lo?</t>
  </si>
  <si>
    <t>Si, però únicament uns usuaris avançats</t>
  </si>
  <si>
    <t>Si, tots els potencials usuaris</t>
  </si>
  <si>
    <t>CD.09</t>
  </si>
  <si>
    <t>Es monitoritza la qualitat i completitud del Catàleg de dades?</t>
  </si>
  <si>
    <t>Si, però únicament quan es detecten errors</t>
  </si>
  <si>
    <t>Si, es fan revisions periòdiques planificades, i d'aquestes es generen activitats de millora</t>
  </si>
  <si>
    <t>CD.10</t>
  </si>
  <si>
    <t>Es recullen dades dels usuaris de les dades i es tenen en compte a un procés de millora contínua?</t>
  </si>
  <si>
    <t>Per a algunes àrees, alguna vegada</t>
  </si>
  <si>
    <t>Per a algunes àrees de manera sistemàtica</t>
  </si>
  <si>
    <t>De manera sistemàtica per a totes les àrees</t>
  </si>
  <si>
    <t>La Gestió de la Qualitat de la Dada és refereix a tot un conjunt de pràctiques i processos destinats a assegurar que les dades compleixin amb els criteris de qualitat establerts. L'objectiu final és assegurar que les dades siguin fiables, precises i útils, permetent així la presa de decisions informades i millorant l'eficiència operativa de l'Ajuntament, Organisme o Àrea.</t>
  </si>
  <si>
    <t>QD.01</t>
  </si>
  <si>
    <t>Es planifiquen activitats orientades a garantir la qualitat de les dades</t>
  </si>
  <si>
    <t>No, mai</t>
  </si>
  <si>
    <t>S'ha fet alguna vegada puntualment</t>
  </si>
  <si>
    <t>Es planifica però no sempre s'executa</t>
  </si>
  <si>
    <t>És una activitat  planificada que s'executa amb periodicitat</t>
  </si>
  <si>
    <t>QD.02</t>
  </si>
  <si>
    <t>Hi ha documentats criteris de qualitat de les dades?</t>
  </si>
  <si>
    <t>Si, estan documentats els criteris de qualitat</t>
  </si>
  <si>
    <t>QD.03</t>
  </si>
  <si>
    <t>QD.04</t>
  </si>
  <si>
    <t>Hi ha activitats d'assegurament de la qualitat de les dades al moment en que aquestes es generen?</t>
  </si>
  <si>
    <t>Si, però es tracta d'activitats puntuals no sistemàtiques</t>
  </si>
  <si>
    <t>Si, es tracta d'activitats que es fan de manera planificada i sistemàtica</t>
  </si>
  <si>
    <t>QD.05</t>
  </si>
  <si>
    <t>Hi ha activitats d'assegurament de la qualitat de les dades ja existents? (p.e. processos de neteja i correcció)</t>
  </si>
  <si>
    <t>QD.06</t>
  </si>
  <si>
    <t>Es fa reporting de la qualitat de les dades?</t>
  </si>
  <si>
    <t>QD.07</t>
  </si>
  <si>
    <t>S'implementen processos de millora contínua?</t>
  </si>
  <si>
    <t>Pla d'accions</t>
  </si>
  <si>
    <t>Prioritat aut.</t>
  </si>
  <si>
    <t>Impacte</t>
  </si>
  <si>
    <t>Dificultat</t>
  </si>
  <si>
    <t>Impacte + Dificultat</t>
  </si>
  <si>
    <t>Termini objectiu</t>
  </si>
  <si>
    <t>1 - Alt</t>
  </si>
  <si>
    <t>3 - Alta</t>
  </si>
  <si>
    <t>Mig termini (6 – 18 mesos)</t>
  </si>
  <si>
    <t>2 - Mig</t>
  </si>
  <si>
    <t>2 - Mitja</t>
  </si>
  <si>
    <t>Curt termini (0 – 6 Mesos)</t>
  </si>
  <si>
    <t>1 - Baixa</t>
  </si>
  <si>
    <t>Llarg termini (18-36 mesos)   </t>
  </si>
  <si>
    <t>º</t>
  </si>
  <si>
    <t xml:space="preserve"> </t>
  </si>
  <si>
    <t>3 - Assegurar que les decisions i accions derivades dels comitès estan alineats amb l'estratègia, avaluar i optimitzar els resultats dels Comitès</t>
  </si>
  <si>
    <t>3 -  És interessant garantir l'autoritat i visibilitat dels Propietaris de dades, assegurant que tingui els recursos i que s'implementen activitats de millora contínua.</t>
  </si>
  <si>
    <t>1 - Identificar i classificar les dades clau en funció de la seva sensibilitat</t>
  </si>
  <si>
    <t>2 - Divulgar les Polítiques de seguretat i privadesa entre el personal per tal que aquestes siguin conegudes, i fer avaluacions periòdiques del seu compliment</t>
  </si>
  <si>
    <t>1 - Definir les Polítiques d'arxivat i restauració de dades . Per tal de fer aquest camí més senzill i aprofitant l'experiència de la DIBA, aquesta facilita el procediment d'adhesió a les seves Polítiques.</t>
  </si>
  <si>
    <t>1 - Identificar les fonts de dades externes i les dades associades per tal de poder fer una gestió específica d'aquestes</t>
  </si>
  <si>
    <t>2 - Ampliar l'Inventari de dades a totes les dades clau, i difondre i promoure la seva utilització</t>
  </si>
  <si>
    <t>1 - Definir les Polítiques i procediments d'integració, gestió i utilització de les dades . Per tal de fer aquest camí més senzill i aprofitant l'experiència de la DIBA, aquesta facilita el procediment d'adhesió a les seves Polítiques.</t>
  </si>
  <si>
    <t>2 - Revisar i implicar al personal en l'aplicació de les Polítiques i procediments d'integració, gestió i utilització de les dades</t>
  </si>
  <si>
    <t>1 - Preparar un pla d'assegurament de la qualitat de les dades, que inicialment posi el focus en les dades crítiques i dades clau</t>
  </si>
  <si>
    <t xml:space="preserve">1 - Començar a fer seguiment actiu i monitorització de la qualitat de les dades </t>
  </si>
  <si>
    <t xml:space="preserve">2 - Completar la documentació de requeriments de qualitat de les dades i valorar l'automatització de processos que ajudin a garantir la qualitat de les dades </t>
  </si>
  <si>
    <t>Resultat</t>
  </si>
  <si>
    <t>Avaluador</t>
  </si>
  <si>
    <t>Ajuntament/Organisme</t>
  </si>
  <si>
    <t>Pla d'accions en el rendiment organitzacional</t>
  </si>
  <si>
    <t>Cultura i Sensibilització</t>
  </si>
  <si>
    <t>1- Sensibilitzar l'organització en la cultura de l'oritnació a la dada</t>
  </si>
  <si>
    <t>2- Divulgar les polítiques de dades</t>
  </si>
  <si>
    <t>GA03</t>
  </si>
  <si>
    <t>3- Implicar direcció i comandaments</t>
  </si>
  <si>
    <t>Formació i capacitació</t>
  </si>
  <si>
    <t>1- Formar el personal en el govern de la dada</t>
  </si>
  <si>
    <t>2- Formar en la qualitat de la dada</t>
  </si>
  <si>
    <t>GB03</t>
  </si>
  <si>
    <t>3- Formar en seguretat i privadesa</t>
  </si>
  <si>
    <t>GB04</t>
  </si>
  <si>
    <t>4- Capacitar equips en gestió de dades històriques</t>
  </si>
  <si>
    <t>GB05</t>
  </si>
  <si>
    <t>5- Formar en interpretació de KPIs i dashboards</t>
  </si>
  <si>
    <t>Rols i responsabilitats</t>
  </si>
  <si>
    <t>1- Definir i assignar Data Owner</t>
  </si>
  <si>
    <t>GC02</t>
  </si>
  <si>
    <t>2- Definier i Assignar Data Steward</t>
  </si>
  <si>
    <t>GC03</t>
  </si>
  <si>
    <t>3- Assignar responsable de KPIs</t>
  </si>
  <si>
    <t>Desenvolupament organitzatiu</t>
  </si>
  <si>
    <t>Capacitar Data Stewards en les seves funcions</t>
  </si>
  <si>
    <t>Realitzar  tallers amb àrees per idenfificar necessitats</t>
  </si>
  <si>
    <t>Alinear equips amb l'estratègia de dades</t>
  </si>
  <si>
    <t>Tecnologia</t>
  </si>
  <si>
    <t>Govern i catalogació</t>
  </si>
  <si>
    <t>1- Implantar Data Catalog / Inventari de dades</t>
  </si>
  <si>
    <t>MA03</t>
  </si>
  <si>
    <t>2- Definir i gestionar metadades</t>
  </si>
  <si>
    <t>MA04</t>
  </si>
  <si>
    <t>Desenvolupar model de dades coporatiu</t>
  </si>
  <si>
    <t>Seguretat i control</t>
  </si>
  <si>
    <t>1-  Implementar control d'accessos</t>
  </si>
  <si>
    <t>MB02</t>
  </si>
  <si>
    <t>2- Integrar amb sistemes d'identitat</t>
  </si>
  <si>
    <t>MB03</t>
  </si>
  <si>
    <t>3- Implementar logging i traçabilitat</t>
  </si>
  <si>
    <t>MB04</t>
  </si>
  <si>
    <t>4- Xifrat de dades</t>
  </si>
  <si>
    <t>Integració o arquitectura</t>
  </si>
  <si>
    <t>1- Desenvolupar ETL/pipelines de dades</t>
  </si>
  <si>
    <t>2- Integrar fonts internes i externes</t>
  </si>
  <si>
    <t>MC03</t>
  </si>
  <si>
    <t>3- Implementar sistemes de gestió de dades mestres</t>
  </si>
  <si>
    <t>Qualitat i monitorització</t>
  </si>
  <si>
    <t>1-  Implemenar dashboards</t>
  </si>
  <si>
    <t>2- Automatitzar la monitorització</t>
  </si>
  <si>
    <t>3- Implementar alertes automàtiques</t>
  </si>
  <si>
    <t>4- Desplegar eines de data quality</t>
  </si>
  <si>
    <t>Gestió del cicle de vida de la dada</t>
  </si>
  <si>
    <t>1- Implementar sistemes d'arxiu</t>
  </si>
  <si>
    <t>2- Implementar backup i restauració</t>
  </si>
  <si>
    <t>Organització/Processos</t>
  </si>
  <si>
    <t>Govern i normativa</t>
  </si>
  <si>
    <t>Definir el marc del govern de la dada</t>
  </si>
  <si>
    <t>QA02</t>
  </si>
  <si>
    <t>Definir política de dades</t>
  </si>
  <si>
    <t>QA03</t>
  </si>
  <si>
    <t>Establir normes d'accés i seguretat</t>
  </si>
  <si>
    <t>QA04</t>
  </si>
  <si>
    <t>Classificar les dades</t>
  </si>
  <si>
    <t>Estrategia i planificació</t>
  </si>
  <si>
    <t>Definir estratègia de dades</t>
  </si>
  <si>
    <t>QB02</t>
  </si>
  <si>
    <t>Elaborar roadmap</t>
  </si>
  <si>
    <t>QB03</t>
  </si>
  <si>
    <t>Definir casos d'ús</t>
  </si>
  <si>
    <t>QB04</t>
  </si>
  <si>
    <t>Definir KPIs</t>
  </si>
  <si>
    <t>QB05</t>
  </si>
  <si>
    <t>Establir sistema de seguiment</t>
  </si>
  <si>
    <t>Estructura de govern</t>
  </si>
  <si>
    <t>Crear comite de dades</t>
  </si>
  <si>
    <t>QC02</t>
  </si>
  <si>
    <t>Definir model de presa de decisions</t>
  </si>
  <si>
    <t>Processos operatius de dades</t>
  </si>
  <si>
    <t>Definir processos de gestió de dades</t>
  </si>
  <si>
    <t>Definir wokflows</t>
  </si>
  <si>
    <t>QC03</t>
  </si>
  <si>
    <t>Definir procediments d'integració</t>
  </si>
  <si>
    <t>QC04</t>
  </si>
  <si>
    <t>Definir model de dades mestes</t>
  </si>
  <si>
    <t>Control i millora continua</t>
  </si>
  <si>
    <t>Dedfinir pla d'auditories</t>
  </si>
  <si>
    <t>Establir mecanismes de millora contínua</t>
  </si>
  <si>
    <t>Definir gestió d'incidències de dades</t>
  </si>
  <si>
    <t>Definir polítiques d'arxiu i retenció</t>
  </si>
  <si>
    <t>Gestionar dades històriques</t>
  </si>
  <si>
    <t>Gestió de la qualitat de dades</t>
  </si>
  <si>
    <t>definir requeriments de qualitat</t>
  </si>
  <si>
    <t>Establir pla de qualitat</t>
  </si>
  <si>
    <t>Implementar processos de monitorització</t>
  </si>
  <si>
    <t>Llegenda</t>
  </si>
  <si>
    <t>Info</t>
  </si>
  <si>
    <t>Atribut</t>
  </si>
  <si>
    <t>Requerimient de l'atribut</t>
  </si>
  <si>
    <t>Data de l'estudi</t>
  </si>
  <si>
    <t>Obligatori</t>
  </si>
  <si>
    <t>Persona que lidera l'estudi</t>
  </si>
  <si>
    <t>Detall de l'àmbit de l'estudi, pot ser Ajuntament o Organisme</t>
  </si>
  <si>
    <t>Ajuntament o Organisme concret subjecte d'estudi</t>
  </si>
  <si>
    <t>Detall de l'Àrea de l'Ajuntament o Organisme que s'avalua (pot identificar un àrea concreta o totes)</t>
  </si>
  <si>
    <t>Nom del rol a l'Ajuntament o Organisme identificat al quadre de Rols</t>
  </si>
  <si>
    <t>Nom de l'Area o Domini dades identificat al quadre d'Àrees i Dominis</t>
  </si>
  <si>
    <t>Nom del Procés identificat al quadre de Processos clau</t>
  </si>
  <si>
    <t>Nom del Procés identificat al quadre de Projectes estratègics i PAM</t>
  </si>
  <si>
    <t>Nom del rol a l'Ajuntament o Organisme identificat al quadre de altres responsables</t>
  </si>
  <si>
    <t>Nom complet del responsable</t>
  </si>
  <si>
    <t>Correu electrònic del responsable</t>
  </si>
  <si>
    <t>Número de telèfon de contacte del responsable</t>
  </si>
  <si>
    <t>Qualsevol comentari addicional que es consideri que ha de tenir-se en compte</t>
  </si>
  <si>
    <t>Sistema</t>
  </si>
  <si>
    <t>Nom curt del sistema d'informació</t>
  </si>
  <si>
    <t>Nom llarg del sistema d'informació</t>
  </si>
  <si>
    <t>Opcional</t>
  </si>
  <si>
    <t>Indica si el sistema és extern (Si) o intern (No).</t>
  </si>
  <si>
    <t>Descripció del sistema</t>
  </si>
  <si>
    <r>
      <t xml:space="preserve">Indica el tipus de tecnologia del sistema. Existeixen les següents possibilitats però s'en poden afegir de noves si fos necessari:
</t>
    </r>
    <r>
      <rPr>
        <b/>
        <i/>
        <sz val="11"/>
        <color rgb="FF000000"/>
        <rFont val="Calibri"/>
        <family val="2"/>
      </rPr>
      <t>- Oracle
- PostgreSQL
- MongoDB
- Sistema d'arxius
- CDP - Cloudera Data Platform</t>
    </r>
  </si>
  <si>
    <t>Proveïdor del sistema</t>
  </si>
  <si>
    <t>Nom de l'Administrador de sistemes</t>
  </si>
  <si>
    <t>Nom de l'Arquitecte de la dada</t>
  </si>
  <si>
    <t>Qüestionari</t>
  </si>
  <si>
    <t>Requeriment de l'atribut</t>
  </si>
  <si>
    <t>Id</t>
  </si>
  <si>
    <t>Es tracta d'un identificador clau de la qüestió.</t>
  </si>
  <si>
    <t>&lt;No aplica&gt;</t>
  </si>
  <si>
    <t>Pregunta que serveix per a obtenir una resposta precisa de l'estat de maduresa.</t>
  </si>
  <si>
    <t>El responsable d'omplir el qüestionari escollirà de la llista de respostes possibles, aquella que defineix millor la situació actual.</t>
  </si>
  <si>
    <t xml:space="preserve">El responsable d'omplir el qüestionari, pot aportar informació addicional per tal de precisar millor la resposta donada. </t>
  </si>
  <si>
    <t>El responsable d'omplir el qüestionari, pot fer referència a evidències o documentació que aportin garanties de la qualitat de la resposta.</t>
  </si>
  <si>
    <t>Organisme</t>
  </si>
  <si>
    <t>Rols</t>
  </si>
  <si>
    <t>Termini</t>
  </si>
  <si>
    <t>Organisme de Gestió Tributària</t>
  </si>
  <si>
    <t>Abrera</t>
  </si>
  <si>
    <t>Business inteligence</t>
  </si>
  <si>
    <t>Institut del Teatre</t>
  </si>
  <si>
    <t>Aguilar de Segarra</t>
  </si>
  <si>
    <t>Presidència</t>
  </si>
  <si>
    <t>DataLake</t>
  </si>
  <si>
    <t>Patronat d’Apostes</t>
  </si>
  <si>
    <t>Aiguafreda</t>
  </si>
  <si>
    <t>Desenvolupament Econòmic i Turisme</t>
  </si>
  <si>
    <t>Arquitecto de datos (Data Architect)</t>
  </si>
  <si>
    <t>3 - Baix</t>
  </si>
  <si>
    <r>
      <rPr>
        <sz val="10.5"/>
        <rFont val="Source Sans Pro"/>
        <family val="2"/>
      </rPr>
      <t xml:space="preserve">Llarg termini (18-36 mesos) </t>
    </r>
    <r>
      <rPr>
        <sz val="8"/>
        <color rgb="FF21211E"/>
        <rFont val="Source Sans Pro"/>
        <family val="2"/>
      </rPr>
      <t>  </t>
    </r>
  </si>
  <si>
    <t>DataFabric</t>
  </si>
  <si>
    <t>Xarxa Audiovisual Local, SL</t>
  </si>
  <si>
    <t>Alella</t>
  </si>
  <si>
    <t>Infraestructures i Territori</t>
  </si>
  <si>
    <t>Fundación Democracia y Gobierno Local</t>
  </si>
  <si>
    <t>Alpens</t>
  </si>
  <si>
    <t>Bon Govern, Assistència Local i Cohesió Territorial</t>
  </si>
  <si>
    <t>Consorci Centre de Cultura Contemporània de Barcelona – CCCB</t>
  </si>
  <si>
    <t>Arenys de Mar</t>
  </si>
  <si>
    <t>Acció Climàtica i Transició Energètica</t>
  </si>
  <si>
    <t>Consorci d’Estudis, Mediació i Conciliació a l’Administració Local – CEMICAL</t>
  </si>
  <si>
    <t>Arenys de Munt</t>
  </si>
  <si>
    <t>Feminismes i Igualtat</t>
  </si>
  <si>
    <t>Consorci de les Drassanes Reials i Museu Marítim de Barcelona</t>
  </si>
  <si>
    <t>Argençola</t>
  </si>
  <si>
    <t>Espais Naturals i Infraestructura Verda</t>
  </si>
  <si>
    <t>Consorci del Patrimoni de Sitges</t>
  </si>
  <si>
    <t>Argentona</t>
  </si>
  <si>
    <t>Serveis Generals i Transició Digital</t>
  </si>
  <si>
    <t>Consorci Centre de Documentació i Museu Tèxtil de Terrassa</t>
  </si>
  <si>
    <t>Artés</t>
  </si>
  <si>
    <t>Cultura</t>
  </si>
  <si>
    <t>Consorci Universitat Internacional Menéndez Pelayo de Barcelona, Centre Ernest Lluch – CUIMPB</t>
  </si>
  <si>
    <t>Avià</t>
  </si>
  <si>
    <t>Sostenibilitat Social, Cicle de Vida i Comunitat</t>
  </si>
  <si>
    <t>Consorci del Parc Agrari del Baix Llobregat</t>
  </si>
  <si>
    <t>Avinyó</t>
  </si>
  <si>
    <t>Educació</t>
  </si>
  <si>
    <t>Consorci del Parc de la Serralada de Marina</t>
  </si>
  <si>
    <t>Avinyonet del Penedès</t>
  </si>
  <si>
    <t>Urbanisme, Habitatge i Regeneració</t>
  </si>
  <si>
    <t>Fundació Privada Palau</t>
  </si>
  <si>
    <t>Badalona</t>
  </si>
  <si>
    <t>Esports i Activitat Física</t>
  </si>
  <si>
    <t>Consorci Institut de Ciències Polítiques i Socials – ICPS</t>
  </si>
  <si>
    <t>Badia del Vallès</t>
  </si>
  <si>
    <t>Comerç, Consum i Salut Pública</t>
  </si>
  <si>
    <t>Consorci de l’Espai Natural de les Guilleries-Savassona</t>
  </si>
  <si>
    <t>Bagà</t>
  </si>
  <si>
    <t>Consorci del Parc de Serralada Litoral</t>
  </si>
  <si>
    <t>Balenyà</t>
  </si>
  <si>
    <t>Fundació de Suport al Museu Marítim i Drassanes Reials de Barcelona</t>
  </si>
  <si>
    <t>Balsareny</t>
  </si>
  <si>
    <t>Barberà del Vallès</t>
  </si>
  <si>
    <t>Barcelona</t>
  </si>
  <si>
    <t>Begues</t>
  </si>
  <si>
    <t>Bellprat</t>
  </si>
  <si>
    <t>Bigues i Riells del Fai</t>
  </si>
  <si>
    <t>Borredà</t>
  </si>
  <si>
    <t>Cabrera d\'Anoia</t>
  </si>
  <si>
    <t>Cabrera de Mar</t>
  </si>
  <si>
    <t>Cabrils</t>
  </si>
  <si>
    <t>Calaf</t>
  </si>
  <si>
    <t>Calders</t>
  </si>
  <si>
    <t>Caldes d\'Estrac</t>
  </si>
  <si>
    <t>Caldes de Montbui</t>
  </si>
  <si>
    <t>Calella</t>
  </si>
  <si>
    <t>Calldetenes</t>
  </si>
  <si>
    <t>Callús</t>
  </si>
  <si>
    <t>Calonge de Segarra</t>
  </si>
  <si>
    <t>Campins</t>
  </si>
  <si>
    <t>Canet de Mar</t>
  </si>
  <si>
    <t>Canovelles</t>
  </si>
  <si>
    <t>Cànoves i Samalús</t>
  </si>
  <si>
    <t>Canyelles</t>
  </si>
  <si>
    <t>Capellades</t>
  </si>
  <si>
    <t>Capolat</t>
  </si>
  <si>
    <t>Cardedeu</t>
  </si>
  <si>
    <t>Cardona</t>
  </si>
  <si>
    <t>Carme</t>
  </si>
  <si>
    <t>Casserres</t>
  </si>
  <si>
    <t>Castell de l\'Areny</t>
  </si>
  <si>
    <t>Castellar de n\'Hug</t>
  </si>
  <si>
    <t>Castellar del Riu</t>
  </si>
  <si>
    <t>Castellar del Vallès</t>
  </si>
  <si>
    <t>Castellbell i el Vilar</t>
  </si>
  <si>
    <t>Castellbisbal</t>
  </si>
  <si>
    <t>Castellcir</t>
  </si>
  <si>
    <t>Castelldefels</t>
  </si>
  <si>
    <t>Castellet i la Gornal</t>
  </si>
  <si>
    <t>Castellfollit de Riubregós</t>
  </si>
  <si>
    <t>Castellfollit del Boix</t>
  </si>
  <si>
    <t>Castellgalí</t>
  </si>
  <si>
    <t>Castellnou de Bages</t>
  </si>
  <si>
    <t>Castellolí</t>
  </si>
  <si>
    <t>Castellterçol</t>
  </si>
  <si>
    <t>Castellví de la Marca</t>
  </si>
  <si>
    <t>Castellví de Rosanes</t>
  </si>
  <si>
    <t>Centelles</t>
  </si>
  <si>
    <t>Cercs</t>
  </si>
  <si>
    <t>Cerdanyola del Vallès</t>
  </si>
  <si>
    <t>Cervelló</t>
  </si>
  <si>
    <t>Collbató</t>
  </si>
  <si>
    <t>Collsuspina</t>
  </si>
  <si>
    <t>Copons</t>
  </si>
  <si>
    <t>Corbera de Llobregat</t>
  </si>
  <si>
    <t>Cornellà de Llobregat</t>
  </si>
  <si>
    <t>Cubelles</t>
  </si>
  <si>
    <t>Dosrius</t>
  </si>
  <si>
    <t>El Bruc</t>
  </si>
  <si>
    <t>El Brull</t>
  </si>
  <si>
    <t>El Masnou</t>
  </si>
  <si>
    <t>El Papiol</t>
  </si>
  <si>
    <t>El Pla del Penedès</t>
  </si>
  <si>
    <t>El Pont de Vilomara i Rocafort</t>
  </si>
  <si>
    <t>El Prat de Llobregat</t>
  </si>
  <si>
    <t>Els Hostalets de Pierola</t>
  </si>
  <si>
    <t>Els Prats de Rei</t>
  </si>
  <si>
    <t>Esparreguera</t>
  </si>
  <si>
    <t>Esplugues de Llobregat</t>
  </si>
  <si>
    <t>Figaró-Montmany</t>
  </si>
  <si>
    <t>Fígols</t>
  </si>
  <si>
    <t>Fogars de la Selva</t>
  </si>
  <si>
    <t>Fogars de Montclús</t>
  </si>
  <si>
    <t>Folgueroles</t>
  </si>
  <si>
    <t>Fonollosa</t>
  </si>
  <si>
    <t>Font-rubí</t>
  </si>
  <si>
    <t>Gaià</t>
  </si>
  <si>
    <t>Gallifa</t>
  </si>
  <si>
    <t>Gavà</t>
  </si>
  <si>
    <t>Gelida</t>
  </si>
  <si>
    <t>Gironella</t>
  </si>
  <si>
    <t>Gisclareny</t>
  </si>
  <si>
    <t>Granera</t>
  </si>
  <si>
    <t>Granollers</t>
  </si>
  <si>
    <t>Gualba</t>
  </si>
  <si>
    <t>Guardiola de Berguedà</t>
  </si>
  <si>
    <t>Gurb</t>
  </si>
  <si>
    <t>Igualada</t>
  </si>
  <si>
    <t>Jorba</t>
  </si>
  <si>
    <t>L\'Ametlla del Vallès</t>
  </si>
  <si>
    <t>L\'Espunyola</t>
  </si>
  <si>
    <t>L\'Esquirol</t>
  </si>
  <si>
    <t>L\'Estany</t>
  </si>
  <si>
    <t>L\'Hospitalet de Llobregat</t>
  </si>
  <si>
    <t>La Garriga</t>
  </si>
  <si>
    <t>La Granada</t>
  </si>
  <si>
    <t>La Llacuna</t>
  </si>
  <si>
    <t>La Llagosta</t>
  </si>
  <si>
    <t>La Nou de Berguedà</t>
  </si>
  <si>
    <t>La Palma de Cervelló</t>
  </si>
  <si>
    <t>La Pobla de Claramunt</t>
  </si>
  <si>
    <t>La Pobla de Lillet</t>
  </si>
  <si>
    <t>La Quar</t>
  </si>
  <si>
    <t>La Roca del Vallès</t>
  </si>
  <si>
    <t>La Torre de Claramunt</t>
  </si>
  <si>
    <t>Les Cabanyes</t>
  </si>
  <si>
    <t>Les Franqueses del Vallès</t>
  </si>
  <si>
    <t>Les Masies de Roda</t>
  </si>
  <si>
    <t>Les Masies de Voltregà</t>
  </si>
  <si>
    <t>Lliçà d\'Amunt</t>
  </si>
  <si>
    <t>Lliçà de Vall</t>
  </si>
  <si>
    <t>Llinars del Vallès</t>
  </si>
  <si>
    <t>Lluçà</t>
  </si>
  <si>
    <t>Malgrat de Mar</t>
  </si>
  <si>
    <t>Malla</t>
  </si>
  <si>
    <t>Manlleu</t>
  </si>
  <si>
    <t>Manresa</t>
  </si>
  <si>
    <t>Marganell</t>
  </si>
  <si>
    <t>Martorell</t>
  </si>
  <si>
    <t>Martorelles</t>
  </si>
  <si>
    <t>Masquefa</t>
  </si>
  <si>
    <t>Matadepera</t>
  </si>
  <si>
    <t>Mataró</t>
  </si>
  <si>
    <t>Mediona</t>
  </si>
  <si>
    <t>Moià</t>
  </si>
  <si>
    <t>Molins de Rei</t>
  </si>
  <si>
    <t>Mollet del Vallès</t>
  </si>
  <si>
    <t>Monistrol de Calders</t>
  </si>
  <si>
    <t>Monistrol de Montserrat</t>
  </si>
  <si>
    <t>Montcada i Reixac</t>
  </si>
  <si>
    <t>Montclar</t>
  </si>
  <si>
    <t>Montesquiu</t>
  </si>
  <si>
    <t>Montgat</t>
  </si>
  <si>
    <t>Montmajor</t>
  </si>
  <si>
    <t>Montmaneu</t>
  </si>
  <si>
    <t>Montmeló</t>
  </si>
  <si>
    <t>Montornès del Vallès</t>
  </si>
  <si>
    <t>Montseny</t>
  </si>
  <si>
    <t>Muntanyola</t>
  </si>
  <si>
    <t>Mura</t>
  </si>
  <si>
    <t>Navarcles</t>
  </si>
  <si>
    <t>Navàs</t>
  </si>
  <si>
    <t>Òdena</t>
  </si>
  <si>
    <t>Olèrdola</t>
  </si>
  <si>
    <t>Olesa de Bonesvalls</t>
  </si>
  <si>
    <t>Olesa de Montserrat</t>
  </si>
  <si>
    <t>Olivella</t>
  </si>
  <si>
    <t>Olost</t>
  </si>
  <si>
    <t>Olvan</t>
  </si>
  <si>
    <t>Orís</t>
  </si>
  <si>
    <t>Oristà</t>
  </si>
  <si>
    <t>Orpí</t>
  </si>
  <si>
    <t>Òrrius</t>
  </si>
  <si>
    <t>Pacs del Penedès</t>
  </si>
  <si>
    <t>Palafolls</t>
  </si>
  <si>
    <t>Palau-solità i Plegamans</t>
  </si>
  <si>
    <t>Pallejà</t>
  </si>
  <si>
    <t>Parets del Vallès</t>
  </si>
  <si>
    <t>Perafita</t>
  </si>
  <si>
    <t>Piera</t>
  </si>
  <si>
    <t>Pineda de Mar</t>
  </si>
  <si>
    <t>Polinyà</t>
  </si>
  <si>
    <t>Pontons</t>
  </si>
  <si>
    <t>Prats de Lluçanès</t>
  </si>
  <si>
    <t>Premià de Dalt</t>
  </si>
  <si>
    <t>Premià de Mar</t>
  </si>
  <si>
    <t>Puigdàlber</t>
  </si>
  <si>
    <t>Puig-reig</t>
  </si>
  <si>
    <t>Pujalt</t>
  </si>
  <si>
    <t>Rajadell</t>
  </si>
  <si>
    <t>Rellinars</t>
  </si>
  <si>
    <t>Ripollet</t>
  </si>
  <si>
    <t>Roda de Ter</t>
  </si>
  <si>
    <t>Rubí</t>
  </si>
  <si>
    <t>Rubió</t>
  </si>
  <si>
    <t>Rupit i Pruit</t>
  </si>
  <si>
    <t>Sabadell</t>
  </si>
  <si>
    <t>Sagàs</t>
  </si>
  <si>
    <t>Saldes</t>
  </si>
  <si>
    <t>Sallent</t>
  </si>
  <si>
    <t>Sant Adrià de Besòs</t>
  </si>
  <si>
    <t>Sant Agustí de Lluçanès</t>
  </si>
  <si>
    <t>Sant Andreu de la Barca</t>
  </si>
  <si>
    <t>Sant Andreu de Llavaneres</t>
  </si>
  <si>
    <t>Sant Antoni de Vilamajor</t>
  </si>
  <si>
    <t>Sant Bartomeu del Grau</t>
  </si>
  <si>
    <t>Sant Boi de Llobregat</t>
  </si>
  <si>
    <t>Sant Boi de Lluçanès</t>
  </si>
  <si>
    <t>Sant Cebrià de Vallalta</t>
  </si>
  <si>
    <t>Sant Celoni</t>
  </si>
  <si>
    <t>Sant Climent de Llobregat</t>
  </si>
  <si>
    <t>Sant Cugat del Vallès</t>
  </si>
  <si>
    <t>Sant Cugat Sesgarrigues</t>
  </si>
  <si>
    <t>Sant Esteve de Palautordera</t>
  </si>
  <si>
    <t>Sant Esteve Sesrovires</t>
  </si>
  <si>
    <t>Sant Feliu de Codines</t>
  </si>
  <si>
    <t>Sant Feliu de Llobregat</t>
  </si>
  <si>
    <t>Sant Feliu Sasserra</t>
  </si>
  <si>
    <t>Sant Fost de Campsentelles</t>
  </si>
  <si>
    <t>Sant Fruitós de Bages</t>
  </si>
  <si>
    <t>Sant Hipòlit de Voltregà</t>
  </si>
  <si>
    <t>Sant Iscle de Vallalta</t>
  </si>
  <si>
    <t>Sant Jaume de Frontanyà</t>
  </si>
  <si>
    <t>Sant Joan de Vilatorrada</t>
  </si>
  <si>
    <t>Sant Joan Despí</t>
  </si>
  <si>
    <t>Sant Julià de Cerdanyola</t>
  </si>
  <si>
    <t>Sant Julià de Vilatorta</t>
  </si>
  <si>
    <t>Sant Just Desvern</t>
  </si>
  <si>
    <t>Sant Llorenç d\'Hortons</t>
  </si>
  <si>
    <t>Sant Llorenç Savall</t>
  </si>
  <si>
    <t>Sant Martí d\'Albars</t>
  </si>
  <si>
    <t>Sant Martí de Centelles</t>
  </si>
  <si>
    <t>Sant Martí de Tous</t>
  </si>
  <si>
    <t>Sant Martí Sarroca</t>
  </si>
  <si>
    <t>Sant Martí Sesgueioles</t>
  </si>
  <si>
    <t>Sant Mateu de Bages</t>
  </si>
  <si>
    <t>Sant Pere de Ribes</t>
  </si>
  <si>
    <t>Sant Pere de Riudebitlles</t>
  </si>
  <si>
    <t>Sant Pere de Torelló</t>
  </si>
  <si>
    <t>Sant Pere de Vilamajor</t>
  </si>
  <si>
    <t>Sant Pere Sallavinera</t>
  </si>
  <si>
    <t>Sant Pol de Mar</t>
  </si>
  <si>
    <t>Sant Quintí de Mediona</t>
  </si>
  <si>
    <t>Sant Quirze de Besora</t>
  </si>
  <si>
    <t>Sant Quirze del Vallès</t>
  </si>
  <si>
    <t>Sant Quirze Safaja</t>
  </si>
  <si>
    <t>Sant Sadurní d\'Anoia</t>
  </si>
  <si>
    <t>Sant Sadurní d\'Osormort</t>
  </si>
  <si>
    <t>Sant Salvador de Guardiola</t>
  </si>
  <si>
    <t>Sant Vicenç de Castellet</t>
  </si>
  <si>
    <t>Sant Vicenç de Montalt</t>
  </si>
  <si>
    <t>Sant Vicenç de Torelló</t>
  </si>
  <si>
    <t>Sant Vicenç dels Horts</t>
  </si>
  <si>
    <t>Santa Cecília de Voltregà</t>
  </si>
  <si>
    <t>Santa Coloma de Cervelló</t>
  </si>
  <si>
    <t>Santa Coloma de Gramenet</t>
  </si>
  <si>
    <t>Santa Eugènia de Berga</t>
  </si>
  <si>
    <t>Santa Eulàlia de Riuprimer</t>
  </si>
  <si>
    <t>Santa Eulàlia de Ronçana</t>
  </si>
  <si>
    <t>Santa Fe del Penedès</t>
  </si>
  <si>
    <t>Santa Margarida de Montbui</t>
  </si>
  <si>
    <t>Santa Margarida i els Monjos</t>
  </si>
  <si>
    <t>Santa Maria d\'Oló</t>
  </si>
  <si>
    <t>Santa Maria de Besora</t>
  </si>
  <si>
    <t>Santa Maria de Martorelles</t>
  </si>
  <si>
    <t>Santa Maria de Merlès</t>
  </si>
  <si>
    <t>Santa Maria de Miralles</t>
  </si>
  <si>
    <t>Santa Maria de Palautordera</t>
  </si>
  <si>
    <t>Santa Perpètua de Mogoda</t>
  </si>
  <si>
    <t>Santa Susanna</t>
  </si>
  <si>
    <t>Santpedor</t>
  </si>
  <si>
    <t>Sentmenat</t>
  </si>
  <si>
    <t>Seva</t>
  </si>
  <si>
    <t>Sitges</t>
  </si>
  <si>
    <t>Sobremunt</t>
  </si>
  <si>
    <t>Sora</t>
  </si>
  <si>
    <t>Subirats</t>
  </si>
  <si>
    <t>Súria</t>
  </si>
  <si>
    <t>Tagamanent</t>
  </si>
  <si>
    <t>Talamanca</t>
  </si>
  <si>
    <t>Taradell</t>
  </si>
  <si>
    <t>Tavèrnoles</t>
  </si>
  <si>
    <t>Tavertet</t>
  </si>
  <si>
    <t>Teià</t>
  </si>
  <si>
    <t>Terrassa</t>
  </si>
  <si>
    <t>Tiana</t>
  </si>
  <si>
    <t>Tona</t>
  </si>
  <si>
    <t>Tordera</t>
  </si>
  <si>
    <t>Torelló</t>
  </si>
  <si>
    <t>Torrelavit</t>
  </si>
  <si>
    <t>Torrelles de Foix</t>
  </si>
  <si>
    <t>Torrelles de Llobregat</t>
  </si>
  <si>
    <t>Ullastrell</t>
  </si>
  <si>
    <t>Vacarisses</t>
  </si>
  <si>
    <t>Vallbona d\'Anoia</t>
  </si>
  <si>
    <t>Vallcebre</t>
  </si>
  <si>
    <t>Vallgorguina</t>
  </si>
  <si>
    <t>Vallirana</t>
  </si>
  <si>
    <t>Vallromanes</t>
  </si>
  <si>
    <t>Veciana</t>
  </si>
  <si>
    <t>Vic</t>
  </si>
  <si>
    <t>Vilada</t>
  </si>
  <si>
    <t>Viladecans</t>
  </si>
  <si>
    <t>Viladecavalls</t>
  </si>
  <si>
    <t>Vilafranca del Penedès</t>
  </si>
  <si>
    <t>Vilalba Sasserra</t>
  </si>
  <si>
    <t>Vilanova de Sau</t>
  </si>
  <si>
    <t>Vilanova del Camí</t>
  </si>
  <si>
    <t>Vilanova del Vallès</t>
  </si>
  <si>
    <t>Vilanova i la Geltrú</t>
  </si>
  <si>
    <t>Vilassar de Dalt</t>
  </si>
  <si>
    <t>Vilassar de Mar</t>
  </si>
  <si>
    <t>Vilobí del Penedès</t>
  </si>
  <si>
    <t>Viver i Serrateix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</si>
</sst>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6">
    <font>
      <sz val="11"/>
      <color theme="1"/>
      <name val="Aptos Narrow"/>
      <family val="2"/>
      <scheme val="minor"/>
    </font>
    <font>
      <sz val="11"/>
      <color theme="1"/>
      <name val="Aptos Narrow"/>
      <family val="2"/>
      <scheme val="minor"/>
    </font>
    <font>
      <b/>
      <sz val="11"/>
      <color theme="1"/>
      <name val="Aptos Narrow"/>
      <family val="2"/>
      <scheme val="minor"/>
    </font>
    <font>
      <b/>
      <sz val="20"/>
      <color rgb="FF000000"/>
      <name val="Calibri"/>
      <family val="2"/>
    </font>
    <font>
      <b/>
      <sz val="11"/>
      <color rgb="FFC00000"/>
      <name val="Aptos Narrow"/>
      <family val="2"/>
      <scheme val="minor"/>
    </font>
    <font>
      <sz val="8"/>
      <name val="Aptos Narrow"/>
      <family val="2"/>
      <scheme val="minor"/>
    </font>
    <font>
      <b/>
      <sz val="11"/>
      <color theme="0"/>
      <name val="Aptos Narrow"/>
      <family val="2"/>
      <scheme val="minor"/>
    </font>
    <font>
      <sz val="12"/>
      <color rgb="FF000000"/>
      <name val="Calibri"/>
      <family val="2"/>
    </font>
    <font>
      <b/>
      <i/>
      <sz val="11"/>
      <color theme="0" tint="-0.499984740745262"/>
      <name val="Aptos Narrow"/>
      <family val="2"/>
      <scheme val="minor"/>
    </font>
    <font>
      <i/>
      <sz val="11"/>
      <color theme="0" tint="-0.499984740745262"/>
      <name val="Aptos Narrow"/>
      <family val="2"/>
      <scheme val="minor"/>
    </font>
    <font>
      <b/>
      <sz val="11"/>
      <color rgb="FF000000"/>
      <name val="Calibri"/>
      <family val="2"/>
    </font>
    <font>
      <sz val="11"/>
      <color rgb="FF000000"/>
      <name val="Calibri"/>
      <family val="2"/>
    </font>
    <font>
      <b/>
      <sz val="10"/>
      <name val="Calibri"/>
      <family val="2"/>
    </font>
    <font>
      <sz val="11"/>
      <color theme="1"/>
      <name val="Arial"/>
      <family val="2"/>
    </font>
    <font>
      <sz val="12"/>
      <color theme="1"/>
      <name val="Aptos Narrow"/>
      <family val="2"/>
      <scheme val="minor"/>
    </font>
    <font>
      <b/>
      <sz val="14"/>
      <color theme="1"/>
      <name val="Arial"/>
      <family val="2"/>
    </font>
    <font>
      <b/>
      <sz val="14"/>
      <color theme="1"/>
      <name val="Aptos Narrow"/>
      <family val="2"/>
      <scheme val="minor"/>
    </font>
    <font>
      <b/>
      <sz val="22"/>
      <color rgb="FF9E1732"/>
      <name val="Arial"/>
      <family val="2"/>
    </font>
    <font>
      <b/>
      <sz val="12"/>
      <color rgb="FFFFFFFF"/>
      <name val="Calibri"/>
      <family val="2"/>
    </font>
    <font>
      <b/>
      <sz val="11"/>
      <color theme="1"/>
      <name val="Arial"/>
      <family val="2"/>
    </font>
    <font>
      <u/>
      <sz val="11"/>
      <color theme="10"/>
      <name val="Aptos Narrow"/>
      <family val="2"/>
      <scheme val="minor"/>
    </font>
    <font>
      <b/>
      <sz val="14"/>
      <color rgb="FF9E1732"/>
      <name val="Aptos Narrow"/>
      <family val="2"/>
      <scheme val="minor"/>
    </font>
    <font>
      <b/>
      <i/>
      <sz val="10"/>
      <name val="Calibri"/>
      <family val="2"/>
    </font>
    <font>
      <sz val="9"/>
      <color theme="0"/>
      <name val="Aptos Narrow"/>
      <family val="2"/>
      <scheme val="minor"/>
    </font>
    <font>
      <sz val="9"/>
      <color theme="1"/>
      <name val="Aptos Narrow"/>
      <family val="2"/>
      <scheme val="minor"/>
    </font>
    <font>
      <b/>
      <i/>
      <sz val="14"/>
      <color theme="0" tint="-0.499984740745262"/>
      <name val="Aptos Narrow"/>
      <family val="2"/>
      <scheme val="minor"/>
    </font>
    <font>
      <sz val="10"/>
      <name val="Verdana"/>
      <family val="2"/>
    </font>
    <font>
      <b/>
      <i/>
      <sz val="11"/>
      <color rgb="FF000000"/>
      <name val="Calibri"/>
      <family val="2"/>
    </font>
    <font>
      <b/>
      <sz val="14"/>
      <color rgb="FF000000"/>
      <name val="Calibri"/>
      <family val="2"/>
    </font>
    <font>
      <i/>
      <sz val="10"/>
      <color theme="1"/>
      <name val="Aptos Narrow"/>
      <family val="2"/>
      <scheme val="minor"/>
    </font>
    <font>
      <sz val="10"/>
      <color theme="1"/>
      <name val="Aptos Narrow"/>
      <family val="2"/>
      <scheme val="minor"/>
    </font>
    <font>
      <b/>
      <sz val="10"/>
      <color theme="1"/>
      <name val="Aptos Narrow"/>
      <family val="2"/>
      <scheme val="minor"/>
    </font>
    <font>
      <b/>
      <i/>
      <sz val="16"/>
      <color rgb="FF9E1732"/>
      <name val="Arial"/>
      <family val="2"/>
    </font>
    <font>
      <sz val="20"/>
      <color rgb="FF000000"/>
      <name val="Calibri"/>
      <family val="2"/>
    </font>
    <font>
      <sz val="14"/>
      <color theme="1"/>
      <name val="Aptos Narrow"/>
      <family val="2"/>
      <scheme val="minor"/>
    </font>
    <font>
      <sz val="22"/>
      <color rgb="FF9E1732"/>
      <name val="Arial"/>
      <family val="2"/>
    </font>
    <font>
      <sz val="10.5"/>
      <name val="Source Sans Pro"/>
      <family val="2"/>
    </font>
    <font>
      <sz val="8"/>
      <color rgb="FF21211E"/>
      <name val="Source Sans Pro"/>
      <family val="2"/>
    </font>
    <font>
      <sz val="9"/>
      <color indexed="81"/>
      <name val="Tahoma"/>
      <family val="2"/>
    </font>
    <font>
      <b/>
      <sz val="16"/>
      <color rgb="FF9E1732"/>
      <name val="Aptos Narrow"/>
      <family val="2"/>
      <scheme val="minor"/>
    </font>
    <font>
      <sz val="11"/>
      <color rgb="FF000000"/>
      <name val="Arial"/>
    </font>
    <font>
      <b/>
      <sz val="11"/>
      <color rgb="FF000000"/>
      <name val="Arial"/>
    </font>
    <font>
      <sz val="11"/>
      <color rgb="FF000000"/>
      <name val="Aptos Narrow"/>
      <charset val="1"/>
    </font>
    <font>
      <sz val="9"/>
      <color theme="1"/>
      <name val="Ui-Sans-Serif"/>
      <charset val="1"/>
    </font>
    <font>
      <sz val="11"/>
      <color theme="1"/>
      <name val="Ui-Sans-Serif"/>
      <charset val="1"/>
    </font>
    <font>
      <sz val="11"/>
      <color rgb="FF242424"/>
      <name val="Aptos Narrow"/>
      <charset val="1"/>
    </font>
  </fonts>
  <fills count="15">
    <fill>
      <patternFill patternType="none"/>
    </fill>
    <fill>
      <patternFill patternType="gray125"/>
    </fill>
    <fill>
      <patternFill patternType="solid">
        <fgColor theme="0"/>
        <bgColor indexed="64"/>
      </patternFill>
    </fill>
    <fill>
      <patternFill patternType="solid">
        <fgColor rgb="FFF8CCD4"/>
        <bgColor indexed="64"/>
      </patternFill>
    </fill>
    <fill>
      <patternFill patternType="solid">
        <fgColor theme="2"/>
        <bgColor indexed="64"/>
      </patternFill>
    </fill>
    <fill>
      <patternFill patternType="solid">
        <fgColor rgb="FF9E1732"/>
        <bgColor indexed="64"/>
      </patternFill>
    </fill>
    <fill>
      <patternFill patternType="solid">
        <fgColor rgb="FFFFFFCC"/>
        <bgColor indexed="64"/>
      </patternFill>
    </fill>
    <fill>
      <patternFill patternType="solid">
        <fgColor rgb="FFFFFFFF"/>
        <bgColor rgb="FF000000"/>
      </patternFill>
    </fill>
    <fill>
      <patternFill patternType="solid">
        <fgColor rgb="FFD9D9D9"/>
        <bgColor rgb="FF000000"/>
      </patternFill>
    </fill>
    <fill>
      <patternFill patternType="solid">
        <fgColor rgb="FF9E1732"/>
        <bgColor rgb="FF000000"/>
      </patternFill>
    </fill>
    <fill>
      <patternFill patternType="solid">
        <fgColor rgb="FFFFFFCC"/>
        <bgColor rgb="FF000000"/>
      </patternFill>
    </fill>
    <fill>
      <patternFill patternType="solid">
        <fgColor theme="0"/>
        <bgColor rgb="FF000000"/>
      </patternFill>
    </fill>
    <fill>
      <patternFill patternType="solid">
        <fgColor theme="0" tint="-0.14999847407452621"/>
        <bgColor rgb="FF000000"/>
      </patternFill>
    </fill>
    <fill>
      <patternFill patternType="solid">
        <fgColor theme="0" tint="-4.9989318521683403E-2"/>
        <bgColor indexed="64"/>
      </patternFill>
    </fill>
    <fill>
      <patternFill patternType="solid">
        <fgColor rgb="FFFFEDD5"/>
        <bgColor indexed="64"/>
      </patternFill>
    </fill>
  </fills>
  <borders count="23">
    <border>
      <left/>
      <right/>
      <top/>
      <bottom/>
      <diagonal/>
    </border>
    <border>
      <left/>
      <right/>
      <top/>
      <bottom style="thick">
        <color rgb="FF9E1732"/>
      </bottom>
      <diagonal/>
    </border>
    <border>
      <left style="thin">
        <color rgb="FF9E1732"/>
      </left>
      <right style="thin">
        <color rgb="FF9E1732"/>
      </right>
      <top style="thin">
        <color rgb="FF9E1732"/>
      </top>
      <bottom style="thin">
        <color rgb="FF9E173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9E1732"/>
      </left>
      <right/>
      <top style="thin">
        <color rgb="FF9E1732"/>
      </top>
      <bottom style="thin">
        <color rgb="FF9E1732"/>
      </bottom>
      <diagonal/>
    </border>
    <border>
      <left/>
      <right/>
      <top style="thin">
        <color rgb="FF9E1732"/>
      </top>
      <bottom style="thin">
        <color rgb="FF9E1732"/>
      </bottom>
      <diagonal/>
    </border>
    <border>
      <left/>
      <right style="thin">
        <color rgb="FF9E1732"/>
      </right>
      <top style="thin">
        <color rgb="FF9E1732"/>
      </top>
      <bottom style="thin">
        <color rgb="FF9E173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thin">
        <color theme="1" tint="0.499984740745262"/>
      </left>
      <right/>
      <top/>
      <bottom style="thin">
        <color theme="1" tint="0.499984740745262"/>
      </bottom>
      <diagonal/>
    </border>
    <border>
      <left style="thin">
        <color rgb="FF000000"/>
      </left>
      <right style="thin">
        <color rgb="FF000000"/>
      </right>
      <top style="thin">
        <color rgb="FF000000"/>
      </top>
      <bottom style="thin">
        <color rgb="FF000000"/>
      </bottom>
      <diagonal/>
    </border>
    <border>
      <left style="thin">
        <color theme="1" tint="0.499984740745262"/>
      </left>
      <right style="thin">
        <color theme="1" tint="0.499984740745262"/>
      </right>
      <top style="thin">
        <color theme="1" tint="0.499984740745262"/>
      </top>
      <bottom/>
      <diagonal/>
    </border>
    <border>
      <left style="thin">
        <color rgb="FF000000"/>
      </left>
      <right style="thin">
        <color rgb="FF000000"/>
      </right>
      <top style="thin">
        <color rgb="FF000000"/>
      </top>
      <bottom/>
      <diagonal/>
    </border>
    <border>
      <left style="thin">
        <color theme="1" tint="0.499984740745262"/>
      </left>
      <right/>
      <top style="thin">
        <color theme="1" tint="0.499984740745262"/>
      </top>
      <bottom/>
      <diagonal/>
    </border>
    <border>
      <left style="thin">
        <color rgb="FF000000"/>
      </left>
      <right/>
      <top style="thin">
        <color rgb="FF000000"/>
      </top>
      <bottom/>
      <diagonal/>
    </border>
    <border>
      <left/>
      <right style="thin">
        <color theme="1" tint="0.499984740745262"/>
      </right>
      <top style="thin">
        <color theme="1" tint="0.499984740745262"/>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tint="0.499984740745262"/>
      </left>
      <right style="thin">
        <color theme="1" tint="0.499984740745262"/>
      </right>
      <top/>
      <bottom style="thin">
        <color theme="1" tint="0.499984740745262"/>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7">
    <xf numFmtId="0" fontId="0" fillId="0" borderId="0"/>
    <xf numFmtId="9" fontId="1" fillId="0" borderId="0" applyFont="0" applyFill="0" applyBorder="0" applyAlignment="0" applyProtection="0"/>
    <xf numFmtId="0" fontId="11" fillId="0" borderId="0"/>
    <xf numFmtId="0" fontId="1" fillId="0" borderId="0"/>
    <xf numFmtId="0" fontId="1" fillId="0" borderId="0"/>
    <xf numFmtId="0" fontId="20" fillId="0" borderId="0" applyNumberFormat="0" applyFill="0" applyBorder="0" applyAlignment="0" applyProtection="0"/>
    <xf numFmtId="0" fontId="20" fillId="0" borderId="0" applyNumberFormat="0" applyFill="0" applyBorder="0" applyAlignment="0" applyProtection="0"/>
  </cellStyleXfs>
  <cellXfs count="182">
    <xf numFmtId="0" fontId="0" fillId="0" borderId="0" xfId="0"/>
    <xf numFmtId="0" fontId="0" fillId="2" borderId="0" xfId="0" applyFill="1" applyAlignment="1">
      <alignment vertical="top" wrapText="1"/>
    </xf>
    <xf numFmtId="0" fontId="0" fillId="2" borderId="0" xfId="0" applyFill="1"/>
    <xf numFmtId="0" fontId="3" fillId="2" borderId="1" xfId="0" applyFont="1" applyFill="1" applyBorder="1" applyAlignment="1">
      <alignment horizontal="left" vertical="center" readingOrder="1"/>
    </xf>
    <xf numFmtId="0" fontId="0" fillId="2" borderId="1" xfId="0" applyFill="1" applyBorder="1" applyAlignment="1">
      <alignment vertical="top" wrapText="1"/>
    </xf>
    <xf numFmtId="0" fontId="0" fillId="2" borderId="1" xfId="0" applyFill="1" applyBorder="1"/>
    <xf numFmtId="0" fontId="0" fillId="2" borderId="2" xfId="0" applyFill="1" applyBorder="1"/>
    <xf numFmtId="0" fontId="3" fillId="2" borderId="0" xfId="0" applyFont="1" applyFill="1" applyAlignment="1">
      <alignment horizontal="left" vertical="center" readingOrder="1"/>
    </xf>
    <xf numFmtId="0" fontId="2" fillId="2" borderId="0" xfId="0" applyFont="1" applyFill="1" applyAlignment="1">
      <alignment vertical="center"/>
    </xf>
    <xf numFmtId="9" fontId="4" fillId="2" borderId="1" xfId="1" applyFont="1" applyFill="1" applyBorder="1"/>
    <xf numFmtId="0" fontId="2" fillId="2" borderId="2" xfId="0" applyFont="1" applyFill="1" applyBorder="1" applyAlignment="1">
      <alignment vertical="top" wrapText="1"/>
    </xf>
    <xf numFmtId="9" fontId="4" fillId="2" borderId="0" xfId="1" applyFont="1" applyFill="1" applyBorder="1"/>
    <xf numFmtId="0" fontId="6" fillId="5" borderId="2" xfId="0" applyFont="1" applyFill="1" applyBorder="1" applyAlignment="1">
      <alignment vertical="center" wrapText="1"/>
    </xf>
    <xf numFmtId="0" fontId="6" fillId="5" borderId="2" xfId="0" applyFont="1" applyFill="1" applyBorder="1" applyAlignment="1">
      <alignment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8" fillId="2" borderId="0" xfId="0" applyFont="1" applyFill="1" applyAlignment="1">
      <alignment vertical="center"/>
    </xf>
    <xf numFmtId="0" fontId="8" fillId="3" borderId="2" xfId="0" applyFont="1" applyFill="1" applyBorder="1" applyAlignment="1">
      <alignment horizontal="center" vertical="center"/>
    </xf>
    <xf numFmtId="0" fontId="9" fillId="2" borderId="0" xfId="0" applyFont="1" applyFill="1"/>
    <xf numFmtId="0" fontId="9" fillId="2"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0" fillId="6" borderId="2" xfId="0" applyFill="1" applyBorder="1" applyAlignment="1">
      <alignment vertical="center" wrapText="1"/>
    </xf>
    <xf numFmtId="0" fontId="7" fillId="2" borderId="0" xfId="0" applyFont="1" applyFill="1" applyAlignment="1">
      <alignment horizontal="left" vertical="top" wrapText="1" readingOrder="1"/>
    </xf>
    <xf numFmtId="0" fontId="13" fillId="2" borderId="0" xfId="2" applyFont="1" applyFill="1" applyAlignment="1">
      <alignment horizontal="left" vertical="center"/>
    </xf>
    <xf numFmtId="49" fontId="0" fillId="2" borderId="0" xfId="0" applyNumberFormat="1" applyFill="1"/>
    <xf numFmtId="49" fontId="0" fillId="2" borderId="0" xfId="0" applyNumberFormat="1" applyFill="1" applyAlignment="1">
      <alignment vertical="center"/>
    </xf>
    <xf numFmtId="0" fontId="15" fillId="2" borderId="0" xfId="2" applyFont="1" applyFill="1" applyAlignment="1">
      <alignment horizontal="left" vertical="center"/>
    </xf>
    <xf numFmtId="49" fontId="16" fillId="2" borderId="0" xfId="0" applyNumberFormat="1" applyFont="1" applyFill="1"/>
    <xf numFmtId="0" fontId="17" fillId="2" borderId="0" xfId="2" applyFont="1" applyFill="1" applyAlignment="1">
      <alignment horizontal="left" vertical="center"/>
    </xf>
    <xf numFmtId="0" fontId="14" fillId="0" borderId="0" xfId="0" applyFont="1"/>
    <xf numFmtId="0" fontId="14" fillId="2" borderId="0" xfId="0" applyFont="1" applyFill="1"/>
    <xf numFmtId="0" fontId="21" fillId="2" borderId="0" xfId="0" applyFont="1" applyFill="1"/>
    <xf numFmtId="0" fontId="20" fillId="2" borderId="0" xfId="5" applyFill="1" applyAlignment="1">
      <alignment horizontal="justify" vertical="center" wrapText="1"/>
    </xf>
    <xf numFmtId="0" fontId="21" fillId="5" borderId="0" xfId="0" applyFont="1" applyFill="1"/>
    <xf numFmtId="0" fontId="0" fillId="5" borderId="0" xfId="0" applyFill="1"/>
    <xf numFmtId="0" fontId="21" fillId="2" borderId="0" xfId="0" applyFont="1" applyFill="1" applyAlignment="1">
      <alignment vertical="center"/>
    </xf>
    <xf numFmtId="0" fontId="21" fillId="2" borderId="0" xfId="0" applyFont="1" applyFill="1" applyAlignment="1">
      <alignment vertical="center" wrapText="1"/>
    </xf>
    <xf numFmtId="0" fontId="0" fillId="2" borderId="0" xfId="0" applyFill="1" applyAlignment="1">
      <alignment vertical="center"/>
    </xf>
    <xf numFmtId="0" fontId="0" fillId="2" borderId="0" xfId="0" applyFill="1" applyAlignment="1">
      <alignment vertical="center" wrapText="1"/>
    </xf>
    <xf numFmtId="49" fontId="16" fillId="2" borderId="0" xfId="0" applyNumberFormat="1" applyFont="1" applyFill="1" applyAlignment="1">
      <alignment vertical="center"/>
    </xf>
    <xf numFmtId="0" fontId="0" fillId="0" borderId="0" xfId="0" applyAlignment="1">
      <alignment vertical="center"/>
    </xf>
    <xf numFmtId="49" fontId="0" fillId="2" borderId="0" xfId="0" applyNumberFormat="1" applyFill="1" applyAlignment="1">
      <alignment vertical="center" wrapText="1"/>
    </xf>
    <xf numFmtId="49" fontId="16" fillId="2" borderId="0" xfId="0" applyNumberFormat="1" applyFont="1" applyFill="1" applyAlignment="1">
      <alignment vertical="center" wrapText="1"/>
    </xf>
    <xf numFmtId="0" fontId="0" fillId="0" borderId="0" xfId="0" applyAlignment="1">
      <alignment vertical="center" wrapText="1"/>
    </xf>
    <xf numFmtId="0" fontId="23" fillId="5" borderId="2" xfId="0" applyFont="1" applyFill="1" applyBorder="1" applyAlignment="1">
      <alignment horizontal="center" vertical="center"/>
    </xf>
    <xf numFmtId="0" fontId="24" fillId="2" borderId="2" xfId="0" applyFont="1" applyFill="1" applyBorder="1" applyAlignment="1">
      <alignment vertical="center"/>
    </xf>
    <xf numFmtId="0" fontId="0" fillId="2" borderId="3" xfId="0" applyFill="1" applyBorder="1" applyAlignment="1">
      <alignment vertical="center"/>
    </xf>
    <xf numFmtId="0" fontId="0" fillId="2" borderId="3" xfId="0" applyFill="1" applyBorder="1" applyAlignment="1">
      <alignment vertical="center" wrapText="1"/>
    </xf>
    <xf numFmtId="0" fontId="2" fillId="2" borderId="3" xfId="0" applyFont="1" applyFill="1" applyBorder="1" applyAlignment="1">
      <alignment vertical="center"/>
    </xf>
    <xf numFmtId="0" fontId="0" fillId="0" borderId="0" xfId="0" applyAlignment="1">
      <alignment wrapText="1"/>
    </xf>
    <xf numFmtId="0" fontId="0" fillId="2" borderId="0" xfId="0" applyFill="1" applyAlignment="1">
      <alignment vertical="top"/>
    </xf>
    <xf numFmtId="0" fontId="9" fillId="2" borderId="2" xfId="0" applyFont="1" applyFill="1" applyBorder="1" applyAlignment="1">
      <alignment horizontal="center" vertical="center"/>
    </xf>
    <xf numFmtId="0" fontId="9" fillId="2" borderId="2" xfId="0" applyFont="1" applyFill="1" applyBorder="1" applyAlignment="1">
      <alignment horizontal="left" vertical="center"/>
    </xf>
    <xf numFmtId="0" fontId="0" fillId="2" borderId="0" xfId="0" applyFill="1" applyAlignment="1">
      <alignment horizontal="left" vertical="center"/>
    </xf>
    <xf numFmtId="0" fontId="9" fillId="13" borderId="2" xfId="0" applyFont="1" applyFill="1" applyBorder="1" applyAlignment="1">
      <alignment horizontal="center" vertical="center" wrapText="1"/>
    </xf>
    <xf numFmtId="0" fontId="9" fillId="13" borderId="2" xfId="0" applyFont="1" applyFill="1" applyBorder="1" applyAlignment="1">
      <alignment horizontal="left" vertical="center"/>
    </xf>
    <xf numFmtId="164" fontId="8" fillId="2" borderId="0" xfId="0" applyNumberFormat="1" applyFont="1" applyFill="1" applyAlignment="1">
      <alignment horizontal="center" vertical="center"/>
    </xf>
    <xf numFmtId="164" fontId="25" fillId="2" borderId="0" xfId="0" applyNumberFormat="1" applyFont="1" applyFill="1" applyAlignment="1">
      <alignment horizontal="center" vertical="center"/>
    </xf>
    <xf numFmtId="0" fontId="0" fillId="0" borderId="0" xfId="0" applyAlignment="1">
      <alignment horizontal="left"/>
    </xf>
    <xf numFmtId="0" fontId="0" fillId="0" borderId="0" xfId="0" applyAlignment="1">
      <alignment horizontal="left" indent="1"/>
    </xf>
    <xf numFmtId="0" fontId="0" fillId="0" borderId="0" xfId="0" applyAlignment="1">
      <alignment horizontal="left" vertical="top" wrapText="1" indent="2"/>
    </xf>
    <xf numFmtId="14" fontId="24" fillId="2" borderId="2" xfId="0" applyNumberFormat="1" applyFont="1" applyFill="1" applyBorder="1" applyAlignment="1">
      <alignment vertical="center"/>
    </xf>
    <xf numFmtId="0" fontId="24" fillId="2" borderId="2" xfId="0" applyFont="1" applyFill="1" applyBorder="1" applyAlignment="1">
      <alignment horizontal="center" vertical="center" wrapText="1"/>
    </xf>
    <xf numFmtId="0" fontId="15" fillId="2" borderId="0" xfId="2" applyFont="1" applyFill="1" applyAlignment="1">
      <alignment horizontal="center" vertical="center"/>
    </xf>
    <xf numFmtId="0" fontId="2" fillId="2" borderId="0" xfId="0" applyFont="1" applyFill="1" applyAlignment="1">
      <alignment vertical="center" wrapText="1"/>
    </xf>
    <xf numFmtId="0" fontId="19" fillId="2" borderId="0" xfId="2" applyFont="1" applyFill="1" applyAlignment="1">
      <alignment horizontal="left" vertical="center"/>
    </xf>
    <xf numFmtId="49" fontId="2" fillId="2" borderId="0" xfId="0" applyNumberFormat="1" applyFont="1" applyFill="1" applyAlignment="1">
      <alignment vertical="center" wrapText="1"/>
    </xf>
    <xf numFmtId="49" fontId="2" fillId="2" borderId="0" xfId="0" applyNumberFormat="1" applyFont="1" applyFill="1" applyAlignment="1">
      <alignment vertical="center"/>
    </xf>
    <xf numFmtId="0" fontId="1" fillId="2" borderId="0" xfId="0" applyFont="1" applyFill="1" applyAlignment="1">
      <alignment vertical="center"/>
    </xf>
    <xf numFmtId="0" fontId="28" fillId="2" borderId="0" xfId="0" applyFont="1" applyFill="1" applyAlignment="1">
      <alignment horizontal="left" vertical="center" readingOrder="1"/>
    </xf>
    <xf numFmtId="0" fontId="28" fillId="2" borderId="0" xfId="0" applyFont="1" applyFill="1" applyAlignment="1">
      <alignment horizontal="left" readingOrder="1"/>
    </xf>
    <xf numFmtId="0" fontId="2" fillId="13" borderId="7" xfId="0" applyFont="1" applyFill="1" applyBorder="1" applyAlignment="1">
      <alignment vertical="top" wrapText="1"/>
    </xf>
    <xf numFmtId="0" fontId="2" fillId="13" borderId="8" xfId="0" applyFont="1" applyFill="1" applyBorder="1" applyAlignment="1">
      <alignment vertical="top" wrapText="1"/>
    </xf>
    <xf numFmtId="0" fontId="3" fillId="2" borderId="0" xfId="0" applyFont="1" applyFill="1" applyAlignment="1">
      <alignment horizontal="left" readingOrder="1"/>
    </xf>
    <xf numFmtId="0" fontId="0" fillId="13" borderId="3" xfId="0" applyFill="1" applyBorder="1" applyAlignment="1">
      <alignment vertical="top" wrapText="1"/>
    </xf>
    <xf numFmtId="0" fontId="0" fillId="6" borderId="3" xfId="0" applyFill="1" applyBorder="1" applyAlignment="1">
      <alignment vertical="center" wrapText="1"/>
    </xf>
    <xf numFmtId="0" fontId="0" fillId="2" borderId="3" xfId="0" applyFill="1" applyBorder="1"/>
    <xf numFmtId="0" fontId="30" fillId="2" borderId="0" xfId="0" applyFont="1" applyFill="1" applyAlignment="1">
      <alignment horizontal="center" vertical="center"/>
    </xf>
    <xf numFmtId="0" fontId="30" fillId="2" borderId="3" xfId="0" applyFont="1" applyFill="1" applyBorder="1" applyAlignment="1">
      <alignment horizontal="center" vertical="center"/>
    </xf>
    <xf numFmtId="164" fontId="30" fillId="2" borderId="3" xfId="0" applyNumberFormat="1" applyFont="1" applyFill="1" applyBorder="1" applyAlignment="1">
      <alignment horizontal="center" vertical="center"/>
    </xf>
    <xf numFmtId="0" fontId="2" fillId="2" borderId="0" xfId="0" applyFont="1" applyFill="1" applyAlignment="1">
      <alignment horizontal="right" vertical="center"/>
    </xf>
    <xf numFmtId="0" fontId="0" fillId="2" borderId="0" xfId="0" applyFill="1" applyAlignment="1">
      <alignment horizontal="right" vertical="center"/>
    </xf>
    <xf numFmtId="164" fontId="31" fillId="2" borderId="0" xfId="0" applyNumberFormat="1" applyFont="1" applyFill="1" applyAlignment="1">
      <alignment horizontal="center" vertical="center"/>
    </xf>
    <xf numFmtId="0" fontId="23" fillId="5" borderId="3" xfId="0" applyFont="1" applyFill="1" applyBorder="1" applyAlignment="1">
      <alignment horizontal="center" vertical="center"/>
    </xf>
    <xf numFmtId="0" fontId="18" fillId="9" borderId="3" xfId="0" applyFont="1" applyFill="1" applyBorder="1" applyAlignment="1">
      <alignment horizontal="center" vertical="center"/>
    </xf>
    <xf numFmtId="0" fontId="10" fillId="8" borderId="3" xfId="0" applyFont="1" applyFill="1" applyBorder="1" applyAlignment="1">
      <alignment horizontal="center" vertical="center" wrapText="1"/>
    </xf>
    <xf numFmtId="0" fontId="11" fillId="0" borderId="3" xfId="0" applyFont="1" applyBorder="1" applyAlignment="1">
      <alignment vertical="center" wrapText="1"/>
    </xf>
    <xf numFmtId="49" fontId="11" fillId="0" borderId="3" xfId="2" applyNumberFormat="1" applyBorder="1" applyAlignment="1">
      <alignment vertical="center"/>
    </xf>
    <xf numFmtId="0" fontId="24" fillId="3" borderId="3" xfId="0" applyFont="1" applyFill="1" applyBorder="1" applyAlignment="1">
      <alignment horizontal="center" vertical="center"/>
    </xf>
    <xf numFmtId="49" fontId="11" fillId="2" borderId="3" xfId="2" applyNumberFormat="1" applyFill="1" applyBorder="1" applyAlignment="1">
      <alignment vertical="center" wrapText="1"/>
    </xf>
    <xf numFmtId="49" fontId="11" fillId="2" borderId="3" xfId="2" applyNumberFormat="1" applyFill="1" applyBorder="1" applyAlignment="1">
      <alignment vertical="center"/>
    </xf>
    <xf numFmtId="49" fontId="11" fillId="0" borderId="3" xfId="2" applyNumberFormat="1" applyBorder="1" applyAlignment="1">
      <alignment vertical="center" wrapText="1"/>
    </xf>
    <xf numFmtId="49" fontId="26" fillId="0" borderId="3" xfId="2" applyNumberFormat="1" applyFont="1" applyBorder="1" applyAlignment="1">
      <alignment vertical="center"/>
    </xf>
    <xf numFmtId="0" fontId="22" fillId="12" borderId="3" xfId="0" applyFont="1" applyFill="1" applyBorder="1" applyAlignment="1">
      <alignment horizontal="center" vertical="center"/>
    </xf>
    <xf numFmtId="0" fontId="12" fillId="10" borderId="3" xfId="0" applyFont="1" applyFill="1" applyBorder="1" applyAlignment="1">
      <alignment horizontal="center" vertical="center"/>
    </xf>
    <xf numFmtId="0" fontId="12" fillId="11" borderId="3" xfId="0" applyFont="1" applyFill="1" applyBorder="1" applyAlignment="1">
      <alignment horizontal="center" vertical="center"/>
    </xf>
    <xf numFmtId="0" fontId="13" fillId="2" borderId="0" xfId="2" applyFont="1" applyFill="1" applyAlignment="1">
      <alignment horizontal="left" vertical="center" wrapText="1"/>
    </xf>
    <xf numFmtId="0" fontId="15" fillId="2" borderId="0" xfId="2" applyFont="1" applyFill="1" applyAlignment="1">
      <alignment horizontal="left" vertical="center" wrapText="1"/>
    </xf>
    <xf numFmtId="0" fontId="17" fillId="2" borderId="0" xfId="2" applyFont="1" applyFill="1" applyAlignment="1">
      <alignment horizontal="left" vertical="center" wrapText="1"/>
    </xf>
    <xf numFmtId="49" fontId="0" fillId="2" borderId="0" xfId="0" applyNumberFormat="1" applyFill="1" applyAlignment="1">
      <alignment wrapText="1"/>
    </xf>
    <xf numFmtId="0" fontId="13" fillId="2" borderId="0" xfId="2" applyFont="1" applyFill="1" applyAlignment="1">
      <alignment wrapText="1"/>
    </xf>
    <xf numFmtId="0" fontId="0" fillId="2" borderId="0" xfId="0" applyFill="1" applyAlignment="1">
      <alignment wrapText="1"/>
    </xf>
    <xf numFmtId="0" fontId="2" fillId="2" borderId="0" xfId="0" applyFont="1" applyFill="1" applyAlignment="1">
      <alignment wrapText="1"/>
    </xf>
    <xf numFmtId="0" fontId="13" fillId="2" borderId="0" xfId="2" quotePrefix="1" applyFont="1" applyFill="1" applyAlignment="1">
      <alignment wrapText="1"/>
    </xf>
    <xf numFmtId="0" fontId="6" fillId="5"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14" fontId="1" fillId="2" borderId="3" xfId="0" applyNumberFormat="1"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horizontal="center" vertical="center"/>
    </xf>
    <xf numFmtId="0" fontId="1" fillId="2" borderId="3" xfId="0" applyFont="1" applyFill="1" applyBorder="1" applyAlignment="1">
      <alignment vertical="center" wrapText="1"/>
    </xf>
    <xf numFmtId="0" fontId="1" fillId="2" borderId="3" xfId="0" applyFont="1" applyFill="1" applyBorder="1" applyAlignment="1">
      <alignment horizontal="center" vertical="center" wrapText="1"/>
    </xf>
    <xf numFmtId="0" fontId="20" fillId="2" borderId="3" xfId="5" applyFill="1" applyBorder="1" applyAlignment="1">
      <alignment horizontal="center" vertical="center" wrapText="1"/>
    </xf>
    <xf numFmtId="14" fontId="0" fillId="6" borderId="3" xfId="0" applyNumberFormat="1" applyFill="1" applyBorder="1" applyAlignment="1">
      <alignment horizontal="center" vertical="center"/>
    </xf>
    <xf numFmtId="0" fontId="21" fillId="6" borderId="3" xfId="0" applyFont="1" applyFill="1" applyBorder="1" applyAlignment="1">
      <alignment vertical="center" wrapText="1"/>
    </xf>
    <xf numFmtId="0" fontId="16" fillId="2" borderId="0" xfId="0" applyFont="1" applyFill="1" applyAlignment="1">
      <alignment horizontal="right" vertical="center"/>
    </xf>
    <xf numFmtId="164" fontId="32" fillId="2" borderId="0" xfId="2" applyNumberFormat="1" applyFont="1" applyFill="1" applyAlignment="1">
      <alignment horizontal="center" vertical="center"/>
    </xf>
    <xf numFmtId="0" fontId="8" fillId="3" borderId="2" xfId="0" applyFont="1" applyFill="1" applyBorder="1" applyAlignment="1">
      <alignment horizontal="center" vertical="center" wrapText="1"/>
    </xf>
    <xf numFmtId="0" fontId="0" fillId="2" borderId="0" xfId="0" applyFill="1" applyAlignment="1">
      <alignment horizontal="center"/>
    </xf>
    <xf numFmtId="0" fontId="6" fillId="5" borderId="0" xfId="0" applyFont="1" applyFill="1" applyAlignment="1">
      <alignment vertical="center"/>
    </xf>
    <xf numFmtId="0" fontId="2" fillId="2" borderId="0" xfId="0" applyFont="1" applyFill="1"/>
    <xf numFmtId="0" fontId="2" fillId="0" borderId="0" xfId="0" applyFont="1" applyAlignment="1">
      <alignment vertical="center"/>
    </xf>
    <xf numFmtId="0" fontId="33" fillId="2" borderId="1" xfId="0" applyFont="1" applyFill="1" applyBorder="1" applyAlignment="1">
      <alignment horizontal="left" vertical="center" readingOrder="1"/>
    </xf>
    <xf numFmtId="49" fontId="34" fillId="2" borderId="0" xfId="0" applyNumberFormat="1" applyFont="1" applyFill="1" applyAlignment="1">
      <alignment vertical="center" wrapText="1"/>
    </xf>
    <xf numFmtId="0" fontId="35" fillId="2" borderId="0" xfId="2" applyFont="1" applyFill="1" applyAlignment="1">
      <alignment horizontal="left" vertical="center"/>
    </xf>
    <xf numFmtId="0" fontId="0" fillId="13" borderId="9" xfId="0" applyFill="1" applyBorder="1" applyAlignment="1">
      <alignment horizontal="center" vertical="center" wrapText="1"/>
    </xf>
    <xf numFmtId="0" fontId="0" fillId="6" borderId="9" xfId="0" applyFill="1" applyBorder="1" applyAlignment="1">
      <alignment horizontal="center" vertical="center" wrapText="1"/>
    </xf>
    <xf numFmtId="49" fontId="2" fillId="2" borderId="0" xfId="0" applyNumberFormat="1" applyFont="1" applyFill="1" applyAlignment="1">
      <alignment horizontal="center" vertical="center" wrapText="1"/>
    </xf>
    <xf numFmtId="0" fontId="0" fillId="2" borderId="7" xfId="0" applyFill="1" applyBorder="1" applyAlignment="1">
      <alignment vertical="top" wrapText="1"/>
    </xf>
    <xf numFmtId="0" fontId="0" fillId="2" borderId="10" xfId="0" applyFill="1" applyBorder="1" applyAlignment="1">
      <alignment vertical="top" wrapText="1"/>
    </xf>
    <xf numFmtId="0" fontId="0" fillId="2" borderId="9" xfId="0" applyFill="1" applyBorder="1" applyAlignment="1">
      <alignment vertical="top" wrapText="1"/>
    </xf>
    <xf numFmtId="0" fontId="0" fillId="0" borderId="9" xfId="0" applyBorder="1" applyAlignment="1">
      <alignment vertical="top" wrapText="1"/>
    </xf>
    <xf numFmtId="0" fontId="39" fillId="0" borderId="0" xfId="0" applyFont="1"/>
    <xf numFmtId="0" fontId="40" fillId="2" borderId="0" xfId="2" applyFont="1" applyFill="1" applyAlignment="1">
      <alignment wrapText="1"/>
    </xf>
    <xf numFmtId="0" fontId="20" fillId="2" borderId="0" xfId="6" applyFill="1" applyBorder="1" applyAlignment="1">
      <alignment vertical="center"/>
    </xf>
    <xf numFmtId="0" fontId="2" fillId="2" borderId="11" xfId="0" applyFont="1" applyFill="1" applyBorder="1" applyAlignment="1">
      <alignment vertical="center"/>
    </xf>
    <xf numFmtId="0" fontId="0" fillId="2" borderId="11" xfId="0" applyFill="1" applyBorder="1" applyAlignment="1">
      <alignment vertical="center" wrapText="1"/>
    </xf>
    <xf numFmtId="0" fontId="20" fillId="2" borderId="11" xfId="6" applyFill="1" applyBorder="1" applyAlignment="1">
      <alignment vertical="center"/>
    </xf>
    <xf numFmtId="0" fontId="0" fillId="2" borderId="11" xfId="0" applyFill="1" applyBorder="1" applyAlignment="1">
      <alignment vertical="center"/>
    </xf>
    <xf numFmtId="0" fontId="2" fillId="2" borderId="13" xfId="0" applyFont="1" applyFill="1" applyBorder="1" applyAlignment="1">
      <alignment vertical="center"/>
    </xf>
    <xf numFmtId="0" fontId="0" fillId="0" borderId="11" xfId="0" applyBorder="1"/>
    <xf numFmtId="0" fontId="0" fillId="2" borderId="8" xfId="0" applyFill="1" applyBorder="1" applyAlignment="1">
      <alignment vertical="center" wrapText="1"/>
    </xf>
    <xf numFmtId="0" fontId="0" fillId="2" borderId="16" xfId="0" applyFill="1" applyBorder="1" applyAlignment="1">
      <alignment vertical="center" wrapText="1"/>
    </xf>
    <xf numFmtId="0" fontId="0" fillId="2" borderId="17" xfId="0" applyFill="1" applyBorder="1" applyAlignment="1">
      <alignment vertical="center" wrapText="1"/>
    </xf>
    <xf numFmtId="0" fontId="0" fillId="2" borderId="18" xfId="0" applyFill="1" applyBorder="1" applyAlignment="1">
      <alignment vertical="center"/>
    </xf>
    <xf numFmtId="0" fontId="20" fillId="0" borderId="0" xfId="6"/>
    <xf numFmtId="0" fontId="20" fillId="0" borderId="11" xfId="6" applyBorder="1"/>
    <xf numFmtId="0" fontId="0" fillId="2" borderId="7" xfId="0" applyFill="1" applyBorder="1" applyAlignment="1">
      <alignment vertical="center" wrapText="1"/>
    </xf>
    <xf numFmtId="0" fontId="0" fillId="2" borderId="14" xfId="0" applyFill="1" applyBorder="1" applyAlignment="1">
      <alignment vertical="center" wrapText="1"/>
    </xf>
    <xf numFmtId="0" fontId="0" fillId="2" borderId="15" xfId="0" applyFill="1" applyBorder="1" applyAlignment="1">
      <alignment vertical="center" wrapText="1"/>
    </xf>
    <xf numFmtId="0" fontId="0" fillId="0" borderId="19" xfId="0" applyBorder="1"/>
    <xf numFmtId="0" fontId="0" fillId="2" borderId="8" xfId="0" applyFill="1" applyBorder="1" applyAlignment="1">
      <alignment vertical="center"/>
    </xf>
    <xf numFmtId="0" fontId="0" fillId="2" borderId="20" xfId="0" applyFill="1" applyBorder="1" applyAlignment="1">
      <alignment vertical="center"/>
    </xf>
    <xf numFmtId="0" fontId="42" fillId="0" borderId="0" xfId="0" applyFont="1"/>
    <xf numFmtId="0" fontId="20" fillId="2" borderId="3" xfId="6" applyFill="1" applyBorder="1" applyAlignment="1">
      <alignment horizontal="center" vertical="center" wrapText="1"/>
    </xf>
    <xf numFmtId="0" fontId="6" fillId="5" borderId="12" xfId="0" applyFont="1" applyFill="1" applyBorder="1" applyAlignment="1">
      <alignment horizontal="center" vertical="center" wrapText="1"/>
    </xf>
    <xf numFmtId="0" fontId="20" fillId="0" borderId="21" xfId="6" applyBorder="1"/>
    <xf numFmtId="0" fontId="20" fillId="0" borderId="13" xfId="6" applyBorder="1"/>
    <xf numFmtId="0" fontId="0" fillId="0" borderId="17" xfId="0" applyBorder="1"/>
    <xf numFmtId="0" fontId="2" fillId="2" borderId="7" xfId="0" applyFont="1" applyFill="1" applyBorder="1" applyAlignment="1">
      <alignment vertical="center"/>
    </xf>
    <xf numFmtId="0" fontId="0" fillId="2" borderId="16" xfId="0" applyFill="1" applyBorder="1" applyAlignment="1">
      <alignment vertical="center"/>
    </xf>
    <xf numFmtId="0" fontId="0" fillId="2" borderId="19" xfId="0" applyFill="1" applyBorder="1" applyAlignment="1">
      <alignment vertical="center"/>
    </xf>
    <xf numFmtId="0" fontId="0" fillId="2" borderId="10" xfId="0" applyFill="1" applyBorder="1" applyAlignment="1">
      <alignment vertical="center" wrapText="1"/>
    </xf>
    <xf numFmtId="0" fontId="20" fillId="2" borderId="18" xfId="6" applyFill="1" applyBorder="1" applyAlignment="1">
      <alignment vertical="center"/>
    </xf>
    <xf numFmtId="0" fontId="43" fillId="0" borderId="0" xfId="0" applyFont="1"/>
    <xf numFmtId="0" fontId="44" fillId="0" borderId="0" xfId="0" applyFont="1"/>
    <xf numFmtId="0" fontId="0" fillId="0" borderId="13" xfId="0" applyBorder="1"/>
    <xf numFmtId="0" fontId="20" fillId="2" borderId="0" xfId="6" applyFill="1" applyBorder="1" applyAlignment="1">
      <alignment wrapText="1"/>
    </xf>
    <xf numFmtId="0" fontId="45" fillId="0" borderId="0" xfId="0" applyFont="1"/>
    <xf numFmtId="0" fontId="0" fillId="6" borderId="7" xfId="0" applyFill="1" applyBorder="1" applyAlignment="1">
      <alignment vertical="center" wrapText="1"/>
    </xf>
    <xf numFmtId="0" fontId="0" fillId="2" borderId="22" xfId="0" applyFill="1" applyBorder="1"/>
    <xf numFmtId="0" fontId="45" fillId="0" borderId="11" xfId="0" applyFont="1" applyBorder="1"/>
    <xf numFmtId="0" fontId="44" fillId="0" borderId="11" xfId="0" applyFont="1" applyBorder="1"/>
    <xf numFmtId="0" fontId="44" fillId="14" borderId="0" xfId="0" applyFont="1" applyFill="1" applyAlignment="1">
      <alignment wrapText="1"/>
    </xf>
    <xf numFmtId="0" fontId="44" fillId="0" borderId="0" xfId="0" applyFont="1" applyAlignment="1">
      <alignment wrapText="1"/>
    </xf>
    <xf numFmtId="0" fontId="30" fillId="2" borderId="3" xfId="0" applyFont="1" applyFill="1" applyBorder="1" applyAlignment="1">
      <alignment vertical="center" wrapText="1"/>
    </xf>
    <xf numFmtId="0" fontId="0" fillId="2" borderId="0" xfId="0" applyFill="1" applyAlignment="1">
      <alignment horizontal="center"/>
    </xf>
    <xf numFmtId="0" fontId="0" fillId="2" borderId="1" xfId="0" applyFill="1" applyBorder="1" applyAlignment="1">
      <alignment horizont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7" fillId="2" borderId="0" xfId="0" applyFont="1" applyFill="1" applyAlignment="1">
      <alignment horizontal="left" vertical="top" wrapText="1" readingOrder="1"/>
    </xf>
    <xf numFmtId="0" fontId="7" fillId="7" borderId="0" xfId="0" applyFont="1" applyFill="1" applyAlignment="1">
      <alignment horizontal="left" vertical="top" wrapText="1" readingOrder="1"/>
    </xf>
  </cellXfs>
  <cellStyles count="7">
    <cellStyle name="Enllaç" xfId="5" builtinId="8"/>
    <cellStyle name="Hyperlink" xfId="6" xr:uid="{00000000-000B-0000-0000-000008000000}"/>
    <cellStyle name="Normal" xfId="0" builtinId="0"/>
    <cellStyle name="Normal 2" xfId="2" xr:uid="{D63E08BA-A6F1-46EF-8B7F-D5F4DA3CBFEF}"/>
    <cellStyle name="Normal 2 2" xfId="3" xr:uid="{B2721F9D-8CBA-4766-BF6A-BA7050C1DA0A}"/>
    <cellStyle name="Normal 3" xfId="4" xr:uid="{0D0A6EDF-07E1-4A3D-A1A1-A34D91CE0AE5}"/>
    <cellStyle name="Percentatge" xfId="1" builtinId="5"/>
  </cellStyles>
  <dxfs count="3">
    <dxf>
      <fill>
        <patternFill patternType="solid">
          <bgColor rgb="FF9E1732"/>
        </patternFill>
      </fill>
    </dxf>
    <dxf>
      <alignment vertical="center" wrapText="1"/>
    </dxf>
    <dxf>
      <alignment vertical="top"/>
    </dxf>
  </dxfs>
  <tableStyles count="0" defaultTableStyle="TableStyleMedium2" defaultPivotStyle="PivotStyleLight16"/>
  <colors>
    <mruColors>
      <color rgb="FF9E1732"/>
      <color rgb="FFF8CCD4"/>
      <color rgb="FFFFFFCC"/>
      <color rgb="FFF098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radarChart>
        <c:radarStyle val="marker"/>
        <c:varyColors val="0"/>
        <c:ser>
          <c:idx val="0"/>
          <c:order val="0"/>
          <c:tx>
            <c:strRef>
              <c:f>Resultat!$B$6</c:f>
              <c:strCache>
                <c:ptCount val="1"/>
                <c:pt idx="0">
                  <c:v>Resultat</c:v>
                </c:pt>
              </c:strCache>
            </c:strRef>
          </c:tx>
          <c:spPr>
            <a:ln w="28575" cap="rnd">
              <a:solidFill>
                <a:schemeClr val="accent1"/>
              </a:solidFill>
              <a:round/>
            </a:ln>
            <a:effectLst/>
          </c:spPr>
          <c:marker>
            <c:symbol val="none"/>
          </c:marker>
          <c:cat>
            <c:strRef>
              <c:f>Resultat!$B$31:$B$33</c:f>
              <c:strCache>
                <c:ptCount val="3"/>
                <c:pt idx="0">
                  <c:v>Govern</c:v>
                </c:pt>
                <c:pt idx="1">
                  <c:v>Gestió de dades</c:v>
                </c:pt>
                <c:pt idx="2">
                  <c:v>Qualitat de la dada</c:v>
                </c:pt>
              </c:strCache>
            </c:strRef>
          </c:cat>
          <c:val>
            <c:numRef>
              <c:f>Resultat!$C$31:$C$33</c:f>
              <c:numCache>
                <c:formatCode>0.0</c:formatCode>
                <c:ptCount val="3"/>
                <c:pt idx="0">
                  <c:v>1</c:v>
                </c:pt>
                <c:pt idx="1">
                  <c:v>1.5</c:v>
                </c:pt>
                <c:pt idx="2">
                  <c:v>1</c:v>
                </c:pt>
              </c:numCache>
            </c:numRef>
          </c:val>
          <c:extLst>
            <c:ext xmlns:c16="http://schemas.microsoft.com/office/drawing/2014/chart" uri="{C3380CC4-5D6E-409C-BE32-E72D297353CC}">
              <c16:uniqueId val="{00000000-8AF8-48F4-8AFE-A29163678EAC}"/>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radarChart>
        <c:radarStyle val="marker"/>
        <c:varyColors val="0"/>
        <c:ser>
          <c:idx val="0"/>
          <c:order val="0"/>
          <c:tx>
            <c:strRef>
              <c:f>Resultat!$B$12</c:f>
              <c:strCache>
                <c:ptCount val="1"/>
                <c:pt idx="0">
                  <c:v>Govern</c:v>
                </c:pt>
              </c:strCache>
            </c:strRef>
          </c:tx>
          <c:spPr>
            <a:ln w="28575" cap="rnd">
              <a:solidFill>
                <a:schemeClr val="accent1"/>
              </a:solidFill>
              <a:round/>
            </a:ln>
            <a:effectLst/>
          </c:spPr>
          <c:marker>
            <c:symbol val="none"/>
          </c:marker>
          <c:cat>
            <c:multiLvlStrRef>
              <c:f>Resultat!$C$13:$F$16</c:f>
              <c:multiLvlStrCache>
                <c:ptCount val="4"/>
                <c:lvl/>
                <c:lvl/>
                <c:lvl/>
                <c:lvl>
                  <c:pt idx="0">
                    <c:v>Establiment d'estàndards, polítiques, bones pràctiques i procediments</c:v>
                  </c:pt>
                  <c:pt idx="1">
                    <c:v>Establiment d'estratègies de dades</c:v>
                  </c:pt>
                  <c:pt idx="2">
                    <c:v>Establiment d'estructures organitzacionals</c:v>
                  </c:pt>
                  <c:pt idx="3">
                    <c:v>Gestió de recursos humans</c:v>
                  </c:pt>
                </c:lvl>
              </c:multiLvlStrCache>
            </c:multiLvlStrRef>
          </c:cat>
          <c:val>
            <c:numRef>
              <c:f>Resultat!$G$13:$G$16</c:f>
              <c:numCache>
                <c:formatCode>General</c:formatCode>
                <c:ptCount val="4"/>
                <c:pt idx="0">
                  <c:v>1</c:v>
                </c:pt>
                <c:pt idx="1">
                  <c:v>1</c:v>
                </c:pt>
                <c:pt idx="2">
                  <c:v>1</c:v>
                </c:pt>
                <c:pt idx="3" formatCode="0.0">
                  <c:v>1</c:v>
                </c:pt>
              </c:numCache>
            </c:numRef>
          </c:val>
          <c:extLst>
            <c:ext xmlns:c16="http://schemas.microsoft.com/office/drawing/2014/chart" uri="{C3380CC4-5D6E-409C-BE32-E72D297353CC}">
              <c16:uniqueId val="{00000000-EDD6-494A-A7BC-257A18AC9892}"/>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radarChart>
        <c:radarStyle val="marker"/>
        <c:varyColors val="0"/>
        <c:ser>
          <c:idx val="0"/>
          <c:order val="0"/>
          <c:tx>
            <c:strRef>
              <c:f>Resultat!$B$18</c:f>
              <c:strCache>
                <c:ptCount val="1"/>
                <c:pt idx="0">
                  <c:v>Gestió de dades</c:v>
                </c:pt>
              </c:strCache>
            </c:strRef>
          </c:tx>
          <c:spPr>
            <a:ln w="28575" cap="rnd">
              <a:solidFill>
                <a:schemeClr val="accent1"/>
              </a:solidFill>
              <a:round/>
            </a:ln>
            <a:effectLst/>
          </c:spPr>
          <c:marker>
            <c:symbol val="none"/>
          </c:marker>
          <c:cat>
            <c:multiLvlStrRef>
              <c:f>Resultat!$C$19:$F$23</c:f>
              <c:multiLvlStrCache>
                <c:ptCount val="5"/>
                <c:lvl/>
                <c:lvl/>
                <c:lvl/>
                <c:lvl>
                  <c:pt idx="0">
                    <c:v>Gestió de seguretat de dades</c:v>
                  </c:pt>
                  <c:pt idx="1">
                    <c:v>Gestió de dades històriques</c:v>
                  </c:pt>
                  <c:pt idx="2">
                    <c:v>Gestió de fonts i destinacions de dades</c:v>
                  </c:pt>
                  <c:pt idx="3">
                    <c:v>Gestió de la integració de les dades</c:v>
                  </c:pt>
                  <c:pt idx="4">
                    <c:v>Gestió de Dades Mestre i Dades de Referència</c:v>
                  </c:pt>
                </c:lvl>
              </c:multiLvlStrCache>
            </c:multiLvlStrRef>
          </c:cat>
          <c:val>
            <c:numRef>
              <c:f>Resultat!$G$19:$G$23</c:f>
              <c:numCache>
                <c:formatCode>General</c:formatCode>
                <c:ptCount val="5"/>
                <c:pt idx="0">
                  <c:v>2.5</c:v>
                </c:pt>
                <c:pt idx="1">
                  <c:v>2</c:v>
                </c:pt>
                <c:pt idx="2">
                  <c:v>1</c:v>
                </c:pt>
                <c:pt idx="3">
                  <c:v>1</c:v>
                </c:pt>
                <c:pt idx="4">
                  <c:v>1</c:v>
                </c:pt>
              </c:numCache>
            </c:numRef>
          </c:val>
          <c:extLst>
            <c:ext xmlns:c16="http://schemas.microsoft.com/office/drawing/2014/chart" uri="{C3380CC4-5D6E-409C-BE32-E72D297353CC}">
              <c16:uniqueId val="{00000000-EC24-417A-97EE-A6CD36BC531C}"/>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manualLayout>
          <c:layoutTarget val="inner"/>
          <c:xMode val="edge"/>
          <c:yMode val="edge"/>
          <c:x val="0.30498724398428501"/>
          <c:y val="0.29857259564408756"/>
          <c:w val="0.39002551203142993"/>
          <c:h val="0.61517268950652693"/>
        </c:manualLayout>
      </c:layout>
      <c:radarChart>
        <c:radarStyle val="marker"/>
        <c:varyColors val="0"/>
        <c:ser>
          <c:idx val="0"/>
          <c:order val="0"/>
          <c:tx>
            <c:strRef>
              <c:f>Resultat!$B$25</c:f>
              <c:strCache>
                <c:ptCount val="1"/>
                <c:pt idx="0">
                  <c:v>Qualitat de la dada</c:v>
                </c:pt>
              </c:strCache>
            </c:strRef>
          </c:tx>
          <c:spPr>
            <a:ln w="28575" cap="rnd">
              <a:solidFill>
                <a:schemeClr val="accent1"/>
              </a:solidFill>
              <a:round/>
            </a:ln>
            <a:effectLst/>
          </c:spPr>
          <c:marker>
            <c:symbol val="none"/>
          </c:marker>
          <c:cat>
            <c:multiLvlStrRef>
              <c:f>Resultat!$C$26:$F$28</c:f>
              <c:multiLvlStrCache>
                <c:ptCount val="3"/>
                <c:lvl/>
                <c:lvl/>
                <c:lvl/>
                <c:lvl>
                  <c:pt idx="0">
                    <c:v>Establiment d'estàndards, polítiques, bones pràctiques i procediments</c:v>
                  </c:pt>
                  <c:pt idx="1">
                    <c:v>Control i monitorització de la qualitat de les dades</c:v>
                  </c:pt>
                  <c:pt idx="2">
                    <c:v>Planificació de la qualitat de les dades</c:v>
                  </c:pt>
                </c:lvl>
              </c:multiLvlStrCache>
            </c:multiLvlStrRef>
          </c:cat>
          <c:val>
            <c:numRef>
              <c:f>Resultat!$G$26:$G$28</c:f>
              <c:numCache>
                <c:formatCode>General</c:formatCode>
                <c:ptCount val="3"/>
                <c:pt idx="0">
                  <c:v>1</c:v>
                </c:pt>
                <c:pt idx="1">
                  <c:v>1</c:v>
                </c:pt>
                <c:pt idx="2">
                  <c:v>1</c:v>
                </c:pt>
              </c:numCache>
            </c:numRef>
          </c:val>
          <c:extLst>
            <c:ext xmlns:c16="http://schemas.microsoft.com/office/drawing/2014/chart" uri="{C3380CC4-5D6E-409C-BE32-E72D297353CC}">
              <c16:uniqueId val="{00000000-EC24-417A-97EE-A6CD36BC531C}"/>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radarChart>
        <c:radarStyle val="marker"/>
        <c:varyColors val="0"/>
        <c:ser>
          <c:idx val="0"/>
          <c:order val="0"/>
          <c:tx>
            <c:strRef>
              <c:f>'Resultat (2)'!$B$6</c:f>
              <c:strCache>
                <c:ptCount val="1"/>
                <c:pt idx="0">
                  <c:v>Resultat</c:v>
                </c:pt>
              </c:strCache>
            </c:strRef>
          </c:tx>
          <c:spPr>
            <a:ln w="28575" cap="rnd">
              <a:solidFill>
                <a:schemeClr val="accent1"/>
              </a:solidFill>
              <a:round/>
            </a:ln>
            <a:effectLst/>
          </c:spPr>
          <c:marker>
            <c:symbol val="none"/>
          </c:marker>
          <c:cat>
            <c:strRef>
              <c:f>'Resultat (2)'!$B$35:$B$37</c:f>
              <c:strCache>
                <c:ptCount val="3"/>
                <c:pt idx="0">
                  <c:v>Persones</c:v>
                </c:pt>
                <c:pt idx="1">
                  <c:v>Tecnologia</c:v>
                </c:pt>
                <c:pt idx="2">
                  <c:v>Organització/Processos</c:v>
                </c:pt>
              </c:strCache>
            </c:strRef>
          </c:cat>
          <c:val>
            <c:numRef>
              <c:f>'Resultat (2)'!$C$35:$C$37</c:f>
              <c:numCache>
                <c:formatCode>0.0</c:formatCode>
                <c:ptCount val="3"/>
                <c:pt idx="0">
                  <c:v>1</c:v>
                </c:pt>
                <c:pt idx="1">
                  <c:v>1.5</c:v>
                </c:pt>
                <c:pt idx="2">
                  <c:v>1</c:v>
                </c:pt>
              </c:numCache>
            </c:numRef>
          </c:val>
          <c:extLst>
            <c:ext xmlns:c16="http://schemas.microsoft.com/office/drawing/2014/chart" uri="{C3380CC4-5D6E-409C-BE32-E72D297353CC}">
              <c16:uniqueId val="{00000000-2C21-4600-90F6-95F8879EF347}"/>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radarChart>
        <c:radarStyle val="marker"/>
        <c:varyColors val="0"/>
        <c:ser>
          <c:idx val="0"/>
          <c:order val="0"/>
          <c:tx>
            <c:strRef>
              <c:f>'Resultat (2)'!$B$12</c:f>
              <c:strCache>
                <c:ptCount val="1"/>
                <c:pt idx="0">
                  <c:v>Persones</c:v>
                </c:pt>
              </c:strCache>
            </c:strRef>
          </c:tx>
          <c:spPr>
            <a:ln w="28575" cap="rnd">
              <a:solidFill>
                <a:schemeClr val="accent1"/>
              </a:solidFill>
              <a:round/>
            </a:ln>
            <a:effectLst/>
          </c:spPr>
          <c:marker>
            <c:symbol val="none"/>
          </c:marker>
          <c:cat>
            <c:multiLvlStrRef>
              <c:f>'Resultat (2)'!$C$13:$F$16</c:f>
              <c:multiLvlStrCache>
                <c:ptCount val="4"/>
                <c:lvl/>
                <c:lvl/>
                <c:lvl/>
                <c:lvl>
                  <c:pt idx="0">
                    <c:v>Cultura i Sensibilització</c:v>
                  </c:pt>
                  <c:pt idx="1">
                    <c:v>Formació i capacitació</c:v>
                  </c:pt>
                  <c:pt idx="2">
                    <c:v>Rols i responsabilitats</c:v>
                  </c:pt>
                  <c:pt idx="3">
                    <c:v>Desenvolupament organitzatiu</c:v>
                  </c:pt>
                </c:lvl>
              </c:multiLvlStrCache>
            </c:multiLvlStrRef>
          </c:cat>
          <c:val>
            <c:numRef>
              <c:f>'Resultat (2)'!$G$13:$G$16</c:f>
              <c:numCache>
                <c:formatCode>General</c:formatCode>
                <c:ptCount val="4"/>
                <c:pt idx="0">
                  <c:v>1</c:v>
                </c:pt>
                <c:pt idx="1">
                  <c:v>1</c:v>
                </c:pt>
                <c:pt idx="2">
                  <c:v>1</c:v>
                </c:pt>
                <c:pt idx="3" formatCode="0.0">
                  <c:v>1</c:v>
                </c:pt>
              </c:numCache>
            </c:numRef>
          </c:val>
          <c:extLst>
            <c:ext xmlns:c16="http://schemas.microsoft.com/office/drawing/2014/chart" uri="{C3380CC4-5D6E-409C-BE32-E72D297353CC}">
              <c16:uniqueId val="{00000000-DED9-4CC1-B69F-1C0A0BA43EB9}"/>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radarChart>
        <c:radarStyle val="marker"/>
        <c:varyColors val="0"/>
        <c:ser>
          <c:idx val="0"/>
          <c:order val="0"/>
          <c:tx>
            <c:strRef>
              <c:f>'Resultat (2)'!$B$18</c:f>
              <c:strCache>
                <c:ptCount val="1"/>
                <c:pt idx="0">
                  <c:v>Tecnologia</c:v>
                </c:pt>
              </c:strCache>
            </c:strRef>
          </c:tx>
          <c:spPr>
            <a:ln w="28575" cap="rnd">
              <a:solidFill>
                <a:schemeClr val="accent1"/>
              </a:solidFill>
              <a:round/>
            </a:ln>
            <a:effectLst/>
          </c:spPr>
          <c:marker>
            <c:symbol val="none"/>
          </c:marker>
          <c:cat>
            <c:multiLvlStrRef>
              <c:f>'Resultat (2)'!$C$19:$F$23</c:f>
              <c:multiLvlStrCache>
                <c:ptCount val="5"/>
                <c:lvl/>
                <c:lvl/>
                <c:lvl/>
                <c:lvl>
                  <c:pt idx="0">
                    <c:v>Govern i catalogació</c:v>
                  </c:pt>
                  <c:pt idx="1">
                    <c:v>Seguretat i control</c:v>
                  </c:pt>
                  <c:pt idx="2">
                    <c:v>Integració o arquitectura</c:v>
                  </c:pt>
                  <c:pt idx="3">
                    <c:v>Qualitat i monitorització</c:v>
                  </c:pt>
                  <c:pt idx="4">
                    <c:v>Gestió del cicle de vida de la dada</c:v>
                  </c:pt>
                </c:lvl>
              </c:multiLvlStrCache>
            </c:multiLvlStrRef>
          </c:cat>
          <c:val>
            <c:numRef>
              <c:f>'Resultat (2)'!$G$19:$G$23</c:f>
              <c:numCache>
                <c:formatCode>General</c:formatCode>
                <c:ptCount val="5"/>
                <c:pt idx="0">
                  <c:v>2.5</c:v>
                </c:pt>
                <c:pt idx="1">
                  <c:v>2</c:v>
                </c:pt>
                <c:pt idx="2">
                  <c:v>1</c:v>
                </c:pt>
                <c:pt idx="3">
                  <c:v>1</c:v>
                </c:pt>
                <c:pt idx="4">
                  <c:v>1</c:v>
                </c:pt>
              </c:numCache>
            </c:numRef>
          </c:val>
          <c:extLst>
            <c:ext xmlns:c16="http://schemas.microsoft.com/office/drawing/2014/chart" uri="{C3380CC4-5D6E-409C-BE32-E72D297353CC}">
              <c16:uniqueId val="{00000000-F12C-43D2-B778-D8E76B720A63}"/>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374890638670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ca-ES"/>
        </a:p>
      </c:txPr>
    </c:title>
    <c:autoTitleDeleted val="0"/>
    <c:plotArea>
      <c:layout>
        <c:manualLayout>
          <c:layoutTarget val="inner"/>
          <c:xMode val="edge"/>
          <c:yMode val="edge"/>
          <c:x val="0.30498724398428501"/>
          <c:y val="0.29857259564408756"/>
          <c:w val="0.39002551203142993"/>
          <c:h val="0.61517268950652693"/>
        </c:manualLayout>
      </c:layout>
      <c:radarChart>
        <c:radarStyle val="marker"/>
        <c:varyColors val="0"/>
        <c:ser>
          <c:idx val="0"/>
          <c:order val="0"/>
          <c:tx>
            <c:strRef>
              <c:f>'Resultat (2)'!$B$25</c:f>
              <c:strCache>
                <c:ptCount val="1"/>
                <c:pt idx="0">
                  <c:v>Organització/Processos</c:v>
                </c:pt>
              </c:strCache>
            </c:strRef>
          </c:tx>
          <c:spPr>
            <a:ln w="28575" cap="rnd">
              <a:solidFill>
                <a:schemeClr val="accent1"/>
              </a:solidFill>
              <a:round/>
            </a:ln>
            <a:effectLst/>
          </c:spPr>
          <c:marker>
            <c:symbol val="none"/>
          </c:marker>
          <c:cat>
            <c:multiLvlStrRef>
              <c:f>'Resultat (2)'!$C$26:$F$28</c:f>
              <c:multiLvlStrCache>
                <c:ptCount val="3"/>
                <c:lvl/>
                <c:lvl/>
                <c:lvl/>
                <c:lvl>
                  <c:pt idx="0">
                    <c:v>Govern i normativa</c:v>
                  </c:pt>
                  <c:pt idx="1">
                    <c:v>Estrategia i planificació</c:v>
                  </c:pt>
                  <c:pt idx="2">
                    <c:v>Estructura de govern</c:v>
                  </c:pt>
                </c:lvl>
              </c:multiLvlStrCache>
            </c:multiLvlStrRef>
          </c:cat>
          <c:val>
            <c:numRef>
              <c:f>'Resultat (2)'!$G$26:$G$28</c:f>
              <c:numCache>
                <c:formatCode>General</c:formatCode>
                <c:ptCount val="3"/>
                <c:pt idx="0">
                  <c:v>1</c:v>
                </c:pt>
                <c:pt idx="1">
                  <c:v>1</c:v>
                </c:pt>
                <c:pt idx="2">
                  <c:v>1</c:v>
                </c:pt>
              </c:numCache>
            </c:numRef>
          </c:val>
          <c:extLst>
            <c:ext xmlns:c16="http://schemas.microsoft.com/office/drawing/2014/chart" uri="{C3380CC4-5D6E-409C-BE32-E72D297353CC}">
              <c16:uniqueId val="{00000000-806E-4F8D-A384-B773E2BAA8B7}"/>
            </c:ext>
          </c:extLst>
        </c:ser>
        <c:dLbls>
          <c:showLegendKey val="0"/>
          <c:showVal val="0"/>
          <c:showCatName val="0"/>
          <c:showSerName val="0"/>
          <c:showPercent val="0"/>
          <c:showBubbleSize val="0"/>
        </c:dLbls>
        <c:axId val="1130872767"/>
        <c:axId val="1130873247"/>
      </c:radarChart>
      <c:catAx>
        <c:axId val="11308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ca-ES"/>
          </a:p>
        </c:txPr>
        <c:crossAx val="1130873247"/>
        <c:crosses val="autoZero"/>
        <c:auto val="1"/>
        <c:lblAlgn val="ctr"/>
        <c:lblOffset val="100"/>
        <c:noMultiLvlLbl val="0"/>
      </c:catAx>
      <c:valAx>
        <c:axId val="11308732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11308727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1438275</xdr:colOff>
      <xdr:row>1</xdr:row>
      <xdr:rowOff>485775</xdr:rowOff>
    </xdr:to>
    <xdr:pic>
      <xdr:nvPicPr>
        <xdr:cNvPr id="2" name="Gráfico 413">
          <a:extLst>
            <a:ext uri="{FF2B5EF4-FFF2-40B4-BE49-F238E27FC236}">
              <a16:creationId xmlns:a16="http://schemas.microsoft.com/office/drawing/2014/main" id="{4D3EFAB2-EC2C-440F-82C4-0CF50CCF6C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975" y="180975"/>
          <a:ext cx="1438275"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342900</xdr:colOff>
      <xdr:row>1</xdr:row>
      <xdr:rowOff>484505</xdr:rowOff>
    </xdr:to>
    <xdr:pic>
      <xdr:nvPicPr>
        <xdr:cNvPr id="2" name="Gráfico 413">
          <a:extLst>
            <a:ext uri="{FF2B5EF4-FFF2-40B4-BE49-F238E27FC236}">
              <a16:creationId xmlns:a16="http://schemas.microsoft.com/office/drawing/2014/main" id="{A0BFCA88-C407-4FCC-97B2-C1F01679EE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2425" y="180975"/>
          <a:ext cx="1428750" cy="485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170793</xdr:rowOff>
    </xdr:from>
    <xdr:to>
      <xdr:col>1</xdr:col>
      <xdr:colOff>1352550</xdr:colOff>
      <xdr:row>3</xdr:row>
      <xdr:rowOff>88462</xdr:rowOff>
    </xdr:to>
    <xdr:pic>
      <xdr:nvPicPr>
        <xdr:cNvPr id="7" name="Gráfico 413">
          <a:extLst>
            <a:ext uri="{FF2B5EF4-FFF2-40B4-BE49-F238E27FC236}">
              <a16:creationId xmlns:a16="http://schemas.microsoft.com/office/drawing/2014/main" id="{779EBC1C-34CB-47E4-9081-CE4F0CD0E0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552" y="170793"/>
          <a:ext cx="1398314" cy="4694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1577975</xdr:colOff>
      <xdr:row>0</xdr:row>
      <xdr:rowOff>6350</xdr:rowOff>
    </xdr:from>
    <xdr:to>
      <xdr:col>9</xdr:col>
      <xdr:colOff>0</xdr:colOff>
      <xdr:row>1</xdr:row>
      <xdr:rowOff>313690</xdr:rowOff>
    </xdr:to>
    <xdr:pic>
      <xdr:nvPicPr>
        <xdr:cNvPr id="2" name="Gráfico 413">
          <a:extLst>
            <a:ext uri="{FF2B5EF4-FFF2-40B4-BE49-F238E27FC236}">
              <a16:creationId xmlns:a16="http://schemas.microsoft.com/office/drawing/2014/main" id="{6A6D3EF6-8836-4D60-A169-52EB4C8482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31375" y="6350"/>
          <a:ext cx="1438275" cy="485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1577975</xdr:colOff>
      <xdr:row>0</xdr:row>
      <xdr:rowOff>6350</xdr:rowOff>
    </xdr:from>
    <xdr:to>
      <xdr:col>7</xdr:col>
      <xdr:colOff>0</xdr:colOff>
      <xdr:row>1</xdr:row>
      <xdr:rowOff>314325</xdr:rowOff>
    </xdr:to>
    <xdr:pic>
      <xdr:nvPicPr>
        <xdr:cNvPr id="3" name="Gráfico 413">
          <a:extLst>
            <a:ext uri="{FF2B5EF4-FFF2-40B4-BE49-F238E27FC236}">
              <a16:creationId xmlns:a16="http://schemas.microsoft.com/office/drawing/2014/main" id="{3A8C882A-9230-49DC-8525-92582FBA80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31375" y="9525"/>
          <a:ext cx="1441450" cy="485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1577975</xdr:colOff>
      <xdr:row>0</xdr:row>
      <xdr:rowOff>6350</xdr:rowOff>
    </xdr:from>
    <xdr:to>
      <xdr:col>7</xdr:col>
      <xdr:colOff>0</xdr:colOff>
      <xdr:row>1</xdr:row>
      <xdr:rowOff>314325</xdr:rowOff>
    </xdr:to>
    <xdr:pic>
      <xdr:nvPicPr>
        <xdr:cNvPr id="3" name="Gráfico 413">
          <a:extLst>
            <a:ext uri="{FF2B5EF4-FFF2-40B4-BE49-F238E27FC236}">
              <a16:creationId xmlns:a16="http://schemas.microsoft.com/office/drawing/2014/main" id="{F53A3DC3-1096-4E33-824F-23E418BBAD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31375" y="9525"/>
          <a:ext cx="1441450" cy="485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139065</xdr:colOff>
      <xdr:row>0</xdr:row>
      <xdr:rowOff>0</xdr:rowOff>
    </xdr:from>
    <xdr:to>
      <xdr:col>10</xdr:col>
      <xdr:colOff>1450340</xdr:colOff>
      <xdr:row>1</xdr:row>
      <xdr:rowOff>317500</xdr:rowOff>
    </xdr:to>
    <xdr:pic>
      <xdr:nvPicPr>
        <xdr:cNvPr id="2" name="Gráfico 413">
          <a:extLst>
            <a:ext uri="{FF2B5EF4-FFF2-40B4-BE49-F238E27FC236}">
              <a16:creationId xmlns:a16="http://schemas.microsoft.com/office/drawing/2014/main" id="{84FC8E13-A918-4F19-9D5E-BB3EF85BD3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17405" y="0"/>
          <a:ext cx="1311275" cy="5003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7362825</xdr:colOff>
      <xdr:row>0</xdr:row>
      <xdr:rowOff>19050</xdr:rowOff>
    </xdr:from>
    <xdr:to>
      <xdr:col>2</xdr:col>
      <xdr:colOff>2540</xdr:colOff>
      <xdr:row>2</xdr:row>
      <xdr:rowOff>1270</xdr:rowOff>
    </xdr:to>
    <xdr:pic>
      <xdr:nvPicPr>
        <xdr:cNvPr id="2" name="Gráfico 413">
          <a:extLst>
            <a:ext uri="{FF2B5EF4-FFF2-40B4-BE49-F238E27FC236}">
              <a16:creationId xmlns:a16="http://schemas.microsoft.com/office/drawing/2014/main" id="{370EE9BB-0FA1-4D6C-A7F6-6D75C837CD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15250" y="19050"/>
          <a:ext cx="1428750" cy="482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190500</xdr:colOff>
      <xdr:row>1</xdr:row>
      <xdr:rowOff>485775</xdr:rowOff>
    </xdr:to>
    <xdr:pic>
      <xdr:nvPicPr>
        <xdr:cNvPr id="3" name="Gráfico 413">
          <a:extLst>
            <a:ext uri="{FF2B5EF4-FFF2-40B4-BE49-F238E27FC236}">
              <a16:creationId xmlns:a16="http://schemas.microsoft.com/office/drawing/2014/main" id="{E02EA294-344F-4B4B-9C12-897B9465BD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2425" y="180975"/>
          <a:ext cx="1438275" cy="485775"/>
        </a:xfrm>
        <a:prstGeom prst="rect">
          <a:avLst/>
        </a:prstGeom>
      </xdr:spPr>
    </xdr:pic>
    <xdr:clientData/>
  </xdr:twoCellAnchor>
  <xdr:twoCellAnchor>
    <xdr:from>
      <xdr:col>1</xdr:col>
      <xdr:colOff>196850</xdr:colOff>
      <xdr:row>35</xdr:row>
      <xdr:rowOff>53975</xdr:rowOff>
    </xdr:from>
    <xdr:to>
      <xdr:col>7</xdr:col>
      <xdr:colOff>15875</xdr:colOff>
      <xdr:row>50</xdr:row>
      <xdr:rowOff>76200</xdr:rowOff>
    </xdr:to>
    <xdr:graphicFrame macro="">
      <xdr:nvGraphicFramePr>
        <xdr:cNvPr id="8" name="Gráfico 3">
          <a:extLst>
            <a:ext uri="{FF2B5EF4-FFF2-40B4-BE49-F238E27FC236}">
              <a16:creationId xmlns:a16="http://schemas.microsoft.com/office/drawing/2014/main" id="{63A2F7D6-60B5-4316-81CB-39FAE2658BCE}"/>
            </a:ext>
            <a:ext uri="{147F2762-F138-4A5C-976F-8EAC2B608ADB}">
              <a16:predDERef xmlns:a16="http://schemas.microsoft.com/office/drawing/2014/main" pred="{E02EA294-344F-4B4B-9C12-897B9465B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152400</xdr:colOff>
      <xdr:row>9</xdr:row>
      <xdr:rowOff>158750</xdr:rowOff>
    </xdr:from>
    <xdr:to>
      <xdr:col>21</xdr:col>
      <xdr:colOff>190500</xdr:colOff>
      <xdr:row>23</xdr:row>
      <xdr:rowOff>168275</xdr:rowOff>
    </xdr:to>
    <xdr:graphicFrame macro="">
      <xdr:nvGraphicFramePr>
        <xdr:cNvPr id="2" name="Gráfico 3">
          <a:extLst>
            <a:ext uri="{FF2B5EF4-FFF2-40B4-BE49-F238E27FC236}">
              <a16:creationId xmlns:a16="http://schemas.microsoft.com/office/drawing/2014/main" id="{3A20F699-D96A-483C-B1D9-2E4E79CA2ADC}"/>
            </a:ext>
            <a:ext uri="{147F2762-F138-4A5C-976F-8EAC2B608ADB}">
              <a16:predDERef xmlns:a16="http://schemas.microsoft.com/office/drawing/2014/main" pred="{63A2F7D6-60B5-4316-81CB-39FAE2658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25400</xdr:colOff>
      <xdr:row>9</xdr:row>
      <xdr:rowOff>158750</xdr:rowOff>
    </xdr:from>
    <xdr:to>
      <xdr:col>33</xdr:col>
      <xdr:colOff>577850</xdr:colOff>
      <xdr:row>23</xdr:row>
      <xdr:rowOff>171450</xdr:rowOff>
    </xdr:to>
    <xdr:graphicFrame macro="">
      <xdr:nvGraphicFramePr>
        <xdr:cNvPr id="4" name="Gráfico 3">
          <a:extLst>
            <a:ext uri="{FF2B5EF4-FFF2-40B4-BE49-F238E27FC236}">
              <a16:creationId xmlns:a16="http://schemas.microsoft.com/office/drawing/2014/main" id="{22A38B5E-3274-4042-9C43-4D0E3D751C7F}"/>
            </a:ext>
            <a:ext uri="{147F2762-F138-4A5C-976F-8EAC2B608ADB}">
              <a16:predDERef xmlns:a16="http://schemas.microsoft.com/office/drawing/2014/main" pred="{3A20F699-D96A-483C-B1D9-2E4E79CA2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161925</xdr:colOff>
      <xdr:row>25</xdr:row>
      <xdr:rowOff>19050</xdr:rowOff>
    </xdr:from>
    <xdr:to>
      <xdr:col>21</xdr:col>
      <xdr:colOff>196850</xdr:colOff>
      <xdr:row>40</xdr:row>
      <xdr:rowOff>44450</xdr:rowOff>
    </xdr:to>
    <xdr:graphicFrame macro="">
      <xdr:nvGraphicFramePr>
        <xdr:cNvPr id="5" name="Gráfico 4">
          <a:extLst>
            <a:ext uri="{FF2B5EF4-FFF2-40B4-BE49-F238E27FC236}">
              <a16:creationId xmlns:a16="http://schemas.microsoft.com/office/drawing/2014/main" id="{326D8E05-0D6E-41C1-8739-173716D081D0}"/>
            </a:ext>
            <a:ext uri="{147F2762-F138-4A5C-976F-8EAC2B608ADB}">
              <a16:predDERef xmlns:a16="http://schemas.microsoft.com/office/drawing/2014/main" pred="{22A38B5E-3274-4042-9C43-4D0E3D751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139065</xdr:colOff>
      <xdr:row>0</xdr:row>
      <xdr:rowOff>0</xdr:rowOff>
    </xdr:from>
    <xdr:to>
      <xdr:col>10</xdr:col>
      <xdr:colOff>1450340</xdr:colOff>
      <xdr:row>1</xdr:row>
      <xdr:rowOff>317500</xdr:rowOff>
    </xdr:to>
    <xdr:pic>
      <xdr:nvPicPr>
        <xdr:cNvPr id="2" name="Gráfico 413">
          <a:extLst>
            <a:ext uri="{FF2B5EF4-FFF2-40B4-BE49-F238E27FC236}">
              <a16:creationId xmlns:a16="http://schemas.microsoft.com/office/drawing/2014/main" id="{439A17EA-6F06-4461-B10A-16CD6FA9F9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12215" y="0"/>
          <a:ext cx="1311275" cy="508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1362075</xdr:colOff>
      <xdr:row>1</xdr:row>
      <xdr:rowOff>485775</xdr:rowOff>
    </xdr:to>
    <xdr:pic>
      <xdr:nvPicPr>
        <xdr:cNvPr id="2" name="Gráfico 413">
          <a:extLst>
            <a:ext uri="{FF2B5EF4-FFF2-40B4-BE49-F238E27FC236}">
              <a16:creationId xmlns:a16="http://schemas.microsoft.com/office/drawing/2014/main" id="{674911A6-631F-4A7D-ADCF-3013C2F368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5" y="190500"/>
          <a:ext cx="1362075" cy="485775"/>
        </a:xfrm>
        <a:prstGeom prst="rect">
          <a:avLst/>
        </a:prstGeom>
      </xdr:spPr>
    </xdr:pic>
    <xdr:clientData/>
  </xdr:twoCellAnchor>
  <xdr:twoCellAnchor>
    <xdr:from>
      <xdr:col>1</xdr:col>
      <xdr:colOff>196850</xdr:colOff>
      <xdr:row>39</xdr:row>
      <xdr:rowOff>53975</xdr:rowOff>
    </xdr:from>
    <xdr:to>
      <xdr:col>7</xdr:col>
      <xdr:colOff>15875</xdr:colOff>
      <xdr:row>54</xdr:row>
      <xdr:rowOff>76200</xdr:rowOff>
    </xdr:to>
    <xdr:graphicFrame macro="">
      <xdr:nvGraphicFramePr>
        <xdr:cNvPr id="3" name="Gráfico 3">
          <a:extLst>
            <a:ext uri="{FF2B5EF4-FFF2-40B4-BE49-F238E27FC236}">
              <a16:creationId xmlns:a16="http://schemas.microsoft.com/office/drawing/2014/main" id="{4500D767-212E-49CF-8886-EC3155E78156}"/>
            </a:ext>
            <a:ext uri="{147F2762-F138-4A5C-976F-8EAC2B608ADB}">
              <a16:predDERef xmlns:a16="http://schemas.microsoft.com/office/drawing/2014/main" pred="{674911A6-631F-4A7D-ADCF-3013C2F36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161925</xdr:colOff>
      <xdr:row>9</xdr:row>
      <xdr:rowOff>187325</xdr:rowOff>
    </xdr:from>
    <xdr:to>
      <xdr:col>21</xdr:col>
      <xdr:colOff>200025</xdr:colOff>
      <xdr:row>24</xdr:row>
      <xdr:rowOff>6350</xdr:rowOff>
    </xdr:to>
    <xdr:graphicFrame macro="">
      <xdr:nvGraphicFramePr>
        <xdr:cNvPr id="4" name="Gráfico 3">
          <a:extLst>
            <a:ext uri="{FF2B5EF4-FFF2-40B4-BE49-F238E27FC236}">
              <a16:creationId xmlns:a16="http://schemas.microsoft.com/office/drawing/2014/main" id="{F4EF3151-5FF7-457B-A0B6-88CCD3754FCC}"/>
            </a:ext>
            <a:ext uri="{147F2762-F138-4A5C-976F-8EAC2B608ADB}">
              <a16:predDERef xmlns:a16="http://schemas.microsoft.com/office/drawing/2014/main" pred="{4500D767-212E-49CF-8886-EC3155E78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339725</xdr:colOff>
      <xdr:row>9</xdr:row>
      <xdr:rowOff>158750</xdr:rowOff>
    </xdr:from>
    <xdr:to>
      <xdr:col>33</xdr:col>
      <xdr:colOff>549275</xdr:colOff>
      <xdr:row>23</xdr:row>
      <xdr:rowOff>171450</xdr:rowOff>
    </xdr:to>
    <xdr:graphicFrame macro="">
      <xdr:nvGraphicFramePr>
        <xdr:cNvPr id="5" name="Gráfico 3">
          <a:extLst>
            <a:ext uri="{FF2B5EF4-FFF2-40B4-BE49-F238E27FC236}">
              <a16:creationId xmlns:a16="http://schemas.microsoft.com/office/drawing/2014/main" id="{171C9036-E9E9-4ECE-8640-0974D75CF5EA}"/>
            </a:ext>
            <a:ext uri="{147F2762-F138-4A5C-976F-8EAC2B608ADB}">
              <a16:predDERef xmlns:a16="http://schemas.microsoft.com/office/drawing/2014/main" pred="{F4EF3151-5FF7-457B-A0B6-88CCD3754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161925</xdr:colOff>
      <xdr:row>25</xdr:row>
      <xdr:rowOff>19050</xdr:rowOff>
    </xdr:from>
    <xdr:to>
      <xdr:col>21</xdr:col>
      <xdr:colOff>200025</xdr:colOff>
      <xdr:row>42</xdr:row>
      <xdr:rowOff>38100</xdr:rowOff>
    </xdr:to>
    <xdr:graphicFrame macro="">
      <xdr:nvGraphicFramePr>
        <xdr:cNvPr id="6" name="Gráfico 4">
          <a:extLst>
            <a:ext uri="{FF2B5EF4-FFF2-40B4-BE49-F238E27FC236}">
              <a16:creationId xmlns:a16="http://schemas.microsoft.com/office/drawing/2014/main" id="{5BF35F67-990F-49FA-AEF4-1439E31DBAF9}"/>
            </a:ext>
            <a:ext uri="{147F2762-F138-4A5C-976F-8EAC2B608ADB}">
              <a16:predDERef xmlns:a16="http://schemas.microsoft.com/office/drawing/2014/main" pred="{171C9036-E9E9-4ECE-8640-0974D75CF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1425575</xdr:colOff>
      <xdr:row>1</xdr:row>
      <xdr:rowOff>482600</xdr:rowOff>
    </xdr:to>
    <xdr:pic>
      <xdr:nvPicPr>
        <xdr:cNvPr id="6" name="Gráfico 413">
          <a:extLst>
            <a:ext uri="{FF2B5EF4-FFF2-40B4-BE49-F238E27FC236}">
              <a16:creationId xmlns:a16="http://schemas.microsoft.com/office/drawing/2014/main" id="{2CF9747F-7FCF-49EC-B834-E84C20D35B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975" y="180975"/>
          <a:ext cx="1431925" cy="4794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ibacat.sharepoint.com/sites/GID_EXTERN-PILOT-PREMIDEDALT.GOVERNDELADADA/Documentos%20compartidos/MUNI_PREMI&#192;%20DE%20DALT_GD/2.%20Documents%20de%20projecte/1b.%20Q&#252;estionari%20d'avaluaci&#243;%20de%20la%20situaci&#243;%20actual_PdD.xlsx" TargetMode="External"/><Relationship Id="rId1" Type="http://schemas.openxmlformats.org/officeDocument/2006/relationships/externalLinkPath" Target="1b.%20Q&#252;estionari%20d'avaluaci&#243;%20de%20la%20situaci&#243;%20actual_Pd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uUgUTh4JEWa6W5uqZ-b-xhgBZky_xxKqRiJLvS2bimhckS_elycR719OuJv11QO" itemId="01SIF4NSHDOC7WCAP5FVHLMCT2W4JPJO34">
      <xxl21:absoluteUrl r:id="rId2"/>
    </xxl21:alternateUrls>
    <sheetNames>
      <sheetName val="Instruccions"/>
      <sheetName val="MapaResponsables"/>
      <sheetName val="Sistemes"/>
      <sheetName val="Capacitats tecnologiques"/>
      <sheetName val=" Talent (RRHH)"/>
      <sheetName val="Instruments aprovats"/>
      <sheetName val="Reptes de mandat o amb dades"/>
      <sheetName val="Qüestionari"/>
      <sheetName val="Gestió de la dada"/>
      <sheetName val="Qualitat de la dada"/>
      <sheetName val="Pla d'accions"/>
      <sheetName val="Pla d'accions (anàlisi)"/>
      <sheetName val="Resultat"/>
      <sheetName val="Llegenda"/>
      <sheetName val="Llistes"/>
    </sheetNames>
    <sheetDataSet>
      <sheetData sheetId="0"/>
      <sheetData sheetId="1"/>
      <sheetData sheetId="2"/>
      <sheetData sheetId="3"/>
      <sheetData sheetId="4"/>
      <sheetData sheetId="5"/>
      <sheetData sheetId="6"/>
      <sheetData sheetId="7">
        <row r="1">
          <cell r="I1"/>
        </row>
        <row r="2">
          <cell r="D2"/>
          <cell r="E2"/>
          <cell r="F2"/>
          <cell r="G2"/>
          <cell r="H2"/>
          <cell r="I2"/>
          <cell r="J2"/>
        </row>
        <row r="3">
          <cell r="D3"/>
          <cell r="E3"/>
          <cell r="J3"/>
        </row>
        <row r="4">
          <cell r="D4" t="str">
            <v>Id.</v>
          </cell>
          <cell r="E4" t="str">
            <v>Procés</v>
          </cell>
          <cell r="F4" t="str">
            <v>Qüestió</v>
          </cell>
          <cell r="G4" t="str">
            <v>Resposta</v>
          </cell>
          <cell r="H4" t="str">
            <v>Observacions</v>
          </cell>
          <cell r="I4" t="str">
            <v>Evidències i documentació</v>
          </cell>
          <cell r="L4"/>
          <cell r="M4" t="str">
            <v>Respostes</v>
          </cell>
          <cell r="N4"/>
          <cell r="O4"/>
          <cell r="P4"/>
          <cell r="R4" t="str">
            <v>Accions</v>
          </cell>
          <cell r="S4"/>
          <cell r="T4"/>
          <cell r="U4"/>
          <cell r="X4"/>
          <cell r="Y4"/>
          <cell r="Z4"/>
        </row>
        <row r="5">
          <cell r="E5"/>
          <cell r="F5"/>
          <cell r="G5"/>
          <cell r="H5"/>
          <cell r="I5"/>
          <cell r="J5">
            <v>1</v>
          </cell>
          <cell r="L5"/>
          <cell r="M5">
            <v>1</v>
          </cell>
          <cell r="N5">
            <v>2</v>
          </cell>
          <cell r="O5">
            <v>3</v>
          </cell>
          <cell r="P5">
            <v>4</v>
          </cell>
          <cell r="R5">
            <v>1</v>
          </cell>
          <cell r="S5">
            <v>2</v>
          </cell>
          <cell r="T5">
            <v>3</v>
          </cell>
          <cell r="U5">
            <v>4</v>
          </cell>
          <cell r="W5" t="str">
            <v>Àmbit</v>
          </cell>
          <cell r="X5" t="str">
            <v>Procés</v>
          </cell>
          <cell r="Y5" t="str">
            <v>Pla acció</v>
          </cell>
          <cell r="Z5" t="str">
            <v>Prioritat</v>
          </cell>
        </row>
        <row r="6">
          <cell r="E6" t="str">
            <v>Establiment d'estàndards, polítiques, bones pràctiques i procediments</v>
          </cell>
          <cell r="F6"/>
          <cell r="G6"/>
          <cell r="H6"/>
          <cell r="I6"/>
          <cell r="J6">
            <v>1</v>
          </cell>
          <cell r="L6"/>
          <cell r="M6"/>
          <cell r="N6"/>
          <cell r="O6"/>
          <cell r="P6"/>
          <cell r="R6"/>
          <cell r="S6"/>
          <cell r="T6"/>
          <cell r="U6"/>
          <cell r="W6" t="str">
            <v>Govern</v>
          </cell>
          <cell r="X6" t="str">
            <v>Establiment d'estàndards, polítiques, bones pràctiques i procediments</v>
          </cell>
          <cell r="Y6"/>
          <cell r="Z6"/>
        </row>
        <row r="7">
          <cell r="D7" t="str">
            <v>GA01</v>
          </cell>
          <cell r="E7"/>
          <cell r="F7" t="str">
            <v>Existeix un marc de Govern de la dada establert? (Polítiques, estàndards, procediments, inventari de dades, bones pràctiques, …)</v>
          </cell>
          <cell r="G7" t="str">
            <v>No, no existeix un marc de Govern de la dada establert</v>
          </cell>
          <cell r="H7" t="str">
            <v>No tenen cap marc establert ni rreconegut per tota l'organització sobre com s'han de governar le dades</v>
          </cell>
          <cell r="I7"/>
          <cell r="J7">
            <v>1</v>
          </cell>
          <cell r="L7" t="str">
            <v>GA01</v>
          </cell>
          <cell r="M7" t="str">
            <v>No, no existeix un marc de Govern de la dada establert</v>
          </cell>
          <cell r="N7" t="str">
            <v>Si, però cada Àrea identifica i desenvolupa els seus processos amb el seu propi criteri</v>
          </cell>
          <cell r="O7" t="str">
            <v>Sí, hi ha un marc de Govern de la dada establert i publicat, que coneixen i utilitzen les diferents Àrees</v>
          </cell>
          <cell r="P7" t="str">
            <v xml:space="preserve">Sí, hi ha un marc de Govern de la dada establert i publicat, que coneixen i utilitzen les diferents Àrees, i que està subjecte a processos de millora continua de manera periòdica. </v>
          </cell>
          <cell r="R7" t="str">
            <v>Definir un Marc de Govern de la dada de marea senzilla i escalable alineat amb els objectius de l'Ajuntament/Organisme, definint regles clares de gestió de les dades (qualitat, seguretat i accés), rols i responsabilitats i processos clau)</v>
          </cell>
          <cell r="S7" t="str">
            <v>Establir un marc de Govern del Dada unificat per garantir coherència i alineació entre àrees fent un treball de centralització de la governança i unificació de criteris.</v>
          </cell>
          <cell r="T7" t="str">
            <v>Assegurar la aplicació del Marc de Govern de la dada de manera efectiva, avaluant el compliment i efectivitat, i executant processos de millora contínua</v>
          </cell>
          <cell r="U7" t="str">
            <v>-</v>
          </cell>
          <cell r="W7" t="str">
            <v>Govern</v>
          </cell>
          <cell r="X7" t="str">
            <v>Establiment d'estàndards, polítiques, bones pràctiques i procediments</v>
          </cell>
          <cell r="Y7" t="str">
            <v>1 - Definir un Marc de Govern de la dada de marea senzilla i escalable alineat amb els objectius de l'Ajuntament/Organisme, definint regles clares de gestió de les dades (qualitat, seguretat i accés), rols i responsabilitats i processos clau)</v>
          </cell>
          <cell r="Z7">
            <v>1</v>
          </cell>
        </row>
        <row r="8">
          <cell r="D8" t="str">
            <v>GA02</v>
          </cell>
          <cell r="E8"/>
          <cell r="F8" t="str">
            <v>Estan documentades les Polítiques de Govern de la dada i aquestes estan orientades a optimitzar el valor de les dades? (estan publicades, el personal les coneix, s'actualitzen periòdicament, i es mesura i monitoritza el compliment)</v>
          </cell>
          <cell r="G8" t="str">
            <v>No, no hi ha polítiques per a la optimització del valor de les dades</v>
          </cell>
          <cell r="H8" t="str">
            <v>No existeix cap repositori compartit per l'organització sobre els conjunts de dades que  hi ha a disposició dels diferents departaments i/o personal</v>
          </cell>
          <cell r="I8"/>
          <cell r="J8">
            <v>1</v>
          </cell>
          <cell r="L8" t="str">
            <v>GA02</v>
          </cell>
          <cell r="M8" t="str">
            <v>No, no hi ha polítiques per a la optimització del valor de les dades</v>
          </cell>
          <cell r="N8" t="str">
            <v>Sí, hi ha algunes polítiques, però no s'implementen adequadament</v>
          </cell>
          <cell r="O8" t="str">
            <v>Sí, hi ha polítiques per a la optimització del valor de les dades i s'implementen adequadament</v>
          </cell>
          <cell r="P8" t="str">
            <v>Sí, hi ha polítiques  per a la optimització del valor de les dades, s'implementen adequadament,  i es porten a terme accions periòdiques de millora continua</v>
          </cell>
          <cell r="R8" t="e">
            <v>#VALUE!</v>
          </cell>
          <cell r="S8" t="e">
            <v>#VALUE!</v>
          </cell>
          <cell r="T8" t="str">
            <v>És recomanable revisar les Polítiques periòdicament per tal d'optimitzar-les i assegurar que s'adapten a les noves necessitats.</v>
          </cell>
          <cell r="U8" t="str">
            <v>_</v>
          </cell>
          <cell r="W8" t="str">
            <v>Govern</v>
          </cell>
          <cell r="X8" t="str">
            <v>Establiment d'estàndards, polítiques, bones pràctiques i procediments</v>
          </cell>
          <cell r="Y8" t="e">
            <v>#VALUE!</v>
          </cell>
          <cell r="Z8">
            <v>1</v>
          </cell>
        </row>
        <row r="9">
          <cell r="E9" t="str">
            <v>Establiment d'estratègies de dades</v>
          </cell>
          <cell r="F9"/>
          <cell r="G9"/>
          <cell r="H9"/>
          <cell r="I9"/>
          <cell r="J9">
            <v>1</v>
          </cell>
          <cell r="L9"/>
          <cell r="M9"/>
          <cell r="N9"/>
          <cell r="O9"/>
          <cell r="P9"/>
          <cell r="R9"/>
          <cell r="S9"/>
          <cell r="T9"/>
          <cell r="U9"/>
          <cell r="W9" t="str">
            <v>Govern</v>
          </cell>
          <cell r="X9" t="str">
            <v>Establiment d'estratègies de dades</v>
          </cell>
          <cell r="Y9"/>
          <cell r="Z9"/>
        </row>
        <row r="10">
          <cell r="D10" t="str">
            <v>GB01</v>
          </cell>
          <cell r="E10"/>
          <cell r="F10" t="str">
            <v>Existeix una estratègia de dades que inclogui iniciatives, objectius i fites, i aquesta es coneguda per l'Ajuntament/Organisme?</v>
          </cell>
          <cell r="G10" t="str">
            <v>No, no hi ha una estratègia de dades coneguda</v>
          </cell>
          <cell r="H10" t="str">
            <v>Les dades no son reconegudes com un actiu de l'organització sobre  les que extreure informació de valor. Per tant no hi ha una estratègia al respecte</v>
          </cell>
          <cell r="I10"/>
          <cell r="J10">
            <v>1</v>
          </cell>
          <cell r="L10" t="str">
            <v>GB01</v>
          </cell>
          <cell r="M10" t="str">
            <v>No, no hi ha una estratègia de dades coneguda</v>
          </cell>
          <cell r="N10" t="str">
            <v>Sí, existeix una estratègia de dades però no es molt coneguda o no defineix clarament les iniciatives, objectius o fites.</v>
          </cell>
          <cell r="O10" t="str">
            <v>Si, existeix una estratègia de dades coneguda que inclou el detall d'iniciatives, objectius i fites</v>
          </cell>
          <cell r="P10" t="str">
            <v>Si, existeix una estratègia de dades coneguda que inclou el detall d'iniciatives, objectius i fites, i es fa un seguiment periòdic del compliment.</v>
          </cell>
          <cell r="R10" t="str">
            <v>Definir una estratègia de dades de manera clara i accessible per a tots els actors implicats, que detalli els objectius estratègics, concreti iniciatives/un pla d'acció amb prioritats i involucrar als equips de treball</v>
          </cell>
          <cell r="S10" t="str">
            <v>Revisar 'l'estratègia de dades per concretar iniciatives, objectius mesurables i fites clares, i assegurar que tots els equips implicats la coneguin i facin seva</v>
          </cell>
          <cell r="T10" t="str">
            <v>Assegurar el compliment de l'estratègia de dades fent un seguiment regular de les iniciatives, revisant els objectius i les fites i fomentant la millora continua</v>
          </cell>
          <cell r="U10" t="str">
            <v>-</v>
          </cell>
          <cell r="W10" t="str">
            <v>Govern</v>
          </cell>
          <cell r="X10" t="str">
            <v>Establiment d'estratègies de dades</v>
          </cell>
          <cell r="Y10" t="str">
            <v>1 - Definir una estratègia de dades de manera clara i accessible per a tots els actors implicats, que detalli els objectius estratègics, concreti iniciatives/un pla d'acció amb prioritats i involucrar als equips de treball</v>
          </cell>
          <cell r="Z10">
            <v>1</v>
          </cell>
        </row>
        <row r="11">
          <cell r="D11" t="str">
            <v>GB02</v>
          </cell>
          <cell r="E11"/>
          <cell r="F11" t="str">
            <v>Hi ha mètriques d'utilització i rendiment de les dades?</v>
          </cell>
          <cell r="G11" t="str">
            <v>No, no hi ha mètriques d'utilització i rendiment de les dades</v>
          </cell>
          <cell r="H11" t="str">
            <v>Al no ser considerades un actiu, no hi ha cap tipus de mètrica al voltant de la dada.</v>
          </cell>
          <cell r="I11"/>
          <cell r="J11">
            <v>1</v>
          </cell>
          <cell r="L11" t="str">
            <v>GB02</v>
          </cell>
          <cell r="M11" t="str">
            <v>No, no hi ha mètriques d'utilització i rendiment de les dades</v>
          </cell>
          <cell r="N11" t="str">
            <v>Si, per a alguna àrea hi ha alguna mètrica d'utilització i rendiment, però no es fa un seguiment</v>
          </cell>
          <cell r="O11" t="str">
            <v>Si, hi ha mètriques d'utilització i rendiment a les àrees, i es fa un seguiment i utilització d'aquestes dades</v>
          </cell>
          <cell r="P11" t="str">
            <v>Si, hi ha mètriques d'utilització i rendiment a les àrees, es fa un seguiment i utilització d'aquestes dades, i periòdicament es revisen (definició, necessitat, llindars, etc.) per tal de garantir una millora contínua</v>
          </cell>
          <cell r="R11" t="e">
            <v>#VALUE!</v>
          </cell>
          <cell r="S11" t="e">
            <v>#VALUE!</v>
          </cell>
          <cell r="T11" t="str">
            <v>Es recomana optimitzar els processos d'anàlisi per tal d'identificar tendències i punts de millora de manera proactiva, i fer revisions periòdiques per alinear les mètriques amb els objectius estratègics (p.e. el PAM de l'Ajuntament).</v>
          </cell>
          <cell r="U11" t="str">
            <v>_</v>
          </cell>
          <cell r="W11" t="str">
            <v>Govern</v>
          </cell>
          <cell r="X11" t="str">
            <v>Establiment d'estratègies de dades</v>
          </cell>
          <cell r="Y11" t="e">
            <v>#VALUE!</v>
          </cell>
          <cell r="Z11">
            <v>1</v>
          </cell>
        </row>
        <row r="12">
          <cell r="E12" t="str">
            <v>Establiment d'estructures organitzacionals</v>
          </cell>
          <cell r="F12"/>
          <cell r="G12"/>
          <cell r="H12"/>
          <cell r="I12"/>
          <cell r="J12">
            <v>1</v>
          </cell>
          <cell r="L12"/>
          <cell r="M12"/>
          <cell r="N12"/>
          <cell r="O12"/>
          <cell r="P12"/>
          <cell r="R12"/>
          <cell r="S12"/>
          <cell r="T12"/>
          <cell r="U12"/>
          <cell r="W12" t="str">
            <v>Govern</v>
          </cell>
          <cell r="X12" t="str">
            <v>Establiment d'estructures organitzacionals</v>
          </cell>
          <cell r="Y12"/>
          <cell r="Z12"/>
        </row>
        <row r="13">
          <cell r="D13" t="str">
            <v>GC01</v>
          </cell>
          <cell r="E13"/>
          <cell r="F13" t="str">
            <v>Existeix una estructura organitzativa formal per al Govern de la dada i es porten a terme comitès de dades?</v>
          </cell>
          <cell r="G13" t="str">
            <v>No existeix una estructura organitzativa formal per al Govern de la dada ni es porten a terme comitès de dades</v>
          </cell>
          <cell r="H13" t="str">
            <v>No, no hi ha cap estructura interna que fixi polítiques i protocols d'us de les dades. Sí que tenen la regulació de protecció de dades</v>
          </cell>
          <cell r="I13"/>
          <cell r="J13">
            <v>1</v>
          </cell>
          <cell r="L13" t="str">
            <v>GC01</v>
          </cell>
          <cell r="M13" t="str">
            <v>No existeix una estructura organitzativa formal per al Govern de la dada ni es porten a terme comitès de dades</v>
          </cell>
          <cell r="N13" t="str">
            <v>Si, existeix una estructura organitzativa formal per al Govern de la dada, però no es porten a terme comitès de dades de manera regular</v>
          </cell>
          <cell r="O13" t="str">
            <v>Si, existeix una estructura organitzativa formal per al Govern de la dada i si es porten a terme comitès de dades de manera regular</v>
          </cell>
          <cell r="P13" t="str">
            <v>Si, existeix una estructura organitzativa formal per al Govern de la dada i si es porten a terme comitès de dades de manera regular amb un alt grau de col·laboració entre les diferents àrees</v>
          </cell>
          <cell r="R13" t="str">
            <v>Crear una estructura organitzativa mínima viable que permeti iniciar la governança de manera efectiva, definint rols clau, com Responsable de dades i Propietari de dades, i establir un Comitè de Dades per a la coordinació entre àrees</v>
          </cell>
          <cell r="S13" t="str">
            <v>Establir reunions del comitè de dades amb la periodicitat que sigui necessari per fer seguiment de la governança de les dades</v>
          </cell>
          <cell r="T13" t="str">
            <v>Assegurar que les decisions i accions derivades dels comitès estan alineats amb l'estratègia, avaluar i optimitzar els resultats dels Comitès</v>
          </cell>
          <cell r="U13" t="str">
            <v>-</v>
          </cell>
          <cell r="W13" t="str">
            <v>Govern</v>
          </cell>
          <cell r="X13" t="str">
            <v>Establiment d'estructures organitzacionals</v>
          </cell>
          <cell r="Y13" t="str">
            <v>1 - Crear una estructura organitzativa mínima viable que permeti iniciar la governança de manera efectiva, definint rols clau, com Responsable de dades i Propietari de dades, i establir un Comitè de Dades per a la coordinació entre àrees</v>
          </cell>
          <cell r="Z13">
            <v>1</v>
          </cell>
        </row>
        <row r="14">
          <cell r="E14" t="str">
            <v>Gestió de recursos humans</v>
          </cell>
          <cell r="F14"/>
          <cell r="G14"/>
          <cell r="H14"/>
          <cell r="I14"/>
          <cell r="J14">
            <v>1</v>
          </cell>
          <cell r="L14"/>
          <cell r="M14"/>
          <cell r="N14"/>
          <cell r="O14"/>
          <cell r="P14"/>
          <cell r="R14"/>
          <cell r="S14"/>
          <cell r="T14"/>
          <cell r="U14"/>
          <cell r="W14" t="str">
            <v>Govern</v>
          </cell>
          <cell r="X14" t="str">
            <v>Gestió de recursos humans</v>
          </cell>
          <cell r="Y14"/>
          <cell r="Z14"/>
        </row>
        <row r="15">
          <cell r="D15" t="str">
            <v>GD01</v>
          </cell>
          <cell r="E15"/>
          <cell r="F15" t="str">
            <v>Estan definits els rols i responsabilitats per al Govern de la dada (al menys Responsable de les dades i Propietari de les dades)?</v>
          </cell>
          <cell r="G15" t="str">
            <v>No, no estan definits els rols i responsabilitats  adequadament</v>
          </cell>
          <cell r="H15" t="str">
            <v>No, no tenen una estructura definida i publicada per tal de definir els rols de propietari, gestor, custodi, etc.. de les dades que gestionen. Cal definir tots els rols per tal de que el govern de la dada sigui efectiu.</v>
          </cell>
          <cell r="I15" t="str">
            <v xml:space="preserve">En la reunió es va fer laès que era necessari tenir </v>
          </cell>
          <cell r="J15">
            <v>1</v>
          </cell>
          <cell r="L15" t="str">
            <v>GD01</v>
          </cell>
          <cell r="M15" t="str">
            <v>No, no estan definits els rols i responsabilitats  adequadament</v>
          </cell>
          <cell r="N15" t="str">
            <v>Sí, estan definits els rols i responsabilitats, però no estan assignats a personal qualificat.</v>
          </cell>
          <cell r="O15" t="str">
            <v>Sí, estan definits els rols i responsabilitats, i estan assignats a personal qualificat</v>
          </cell>
          <cell r="P15" t="str">
            <v>Sí, estan definits els rols i responsabilitats, es revisen periòdicament i es forma al personal assignat per a garantir una millora continua</v>
          </cell>
          <cell r="R15" t="e">
            <v>#VALUE!</v>
          </cell>
          <cell r="S15" t="str">
            <v>Cal identificar a les persones adequades dins de l'Ajuntament o Organisme i formalitzar l'assignació de rols, comunicar clarament les responsabilitats, capacitar-los i fer seguiment de les seves funcions.</v>
          </cell>
          <cell r="T15" t="str">
            <v xml:space="preserve">Cal considerar establir mètriques d'ús i rendiment, assegurar que s'utilitzen a la presa de decisions, i implantar processos de millora contínua. </v>
          </cell>
          <cell r="U15" t="str">
            <v>_</v>
          </cell>
          <cell r="W15" t="str">
            <v>Govern</v>
          </cell>
          <cell r="X15" t="str">
            <v>Gestió de recursos humans</v>
          </cell>
          <cell r="Y15" t="e">
            <v>#VALUE!</v>
          </cell>
          <cell r="Z15">
            <v>1</v>
          </cell>
        </row>
        <row r="16">
          <cell r="D16" t="str">
            <v>GD02</v>
          </cell>
          <cell r="E16"/>
          <cell r="F16" t="str">
            <v>Està definit i assignat el rol de  Responsable de les dades?</v>
          </cell>
          <cell r="G16" t="str">
            <v>No, no està definit clarament aquest rol i no hi ha personal assignat</v>
          </cell>
          <cell r="H16" t="str">
            <v>Actualment tenen un responsable extern com a respnsable protecció de dades, però no tenen cap respnsable gbeneral de l'organització que vetlli per la bona gestió de les dades</v>
          </cell>
          <cell r="I16" t="str">
            <v>Tenim identificat el responsable de la LOPD. Ho enen externalitzat</v>
          </cell>
          <cell r="J16">
            <v>1</v>
          </cell>
          <cell r="L16" t="str">
            <v>GD02</v>
          </cell>
          <cell r="M16" t="str">
            <v>No, no està definit clarament aquest rol i no hi ha personal assignat</v>
          </cell>
          <cell r="N16" t="str">
            <v>Sí, està definit i assignat però, però el personal no coneix clarament les seves funcions</v>
          </cell>
          <cell r="O16" t="str">
            <v>Sí, està definit i assignat, i el personal coneix clarament les seves funcions</v>
          </cell>
          <cell r="P16" t="str">
            <v>Sí, està definit i assignat i el personal coneix clarament les seves funcions i es fan accions periòdiques per tal de garantir una millora continua</v>
          </cell>
          <cell r="R16" t="str">
            <v>S'hauria de definir clarament les funcions del Responsable de dades (Data Stewart), identificar els perfils adequats dins de l'Ajuntament o Organisme i capacitar-los per a portar a terme les seves funcions de manera efectiva.</v>
          </cell>
          <cell r="S16" t="str">
            <v>Cal capacitar al Responsable de dades (Data Stewart) i comunicar clarament les seves funcions dins l'Ajuntament o Organisme per a que pugui desenvolupar les seves funcions de manera efectiva.</v>
          </cell>
          <cell r="T16" t="str">
            <v>És recomanable establir mètriques, optimitzar processos contínuament i fomentar la col·laboració entre els diferents rols per enfortir la governança de dades.</v>
          </cell>
          <cell r="U16" t="str">
            <v>_</v>
          </cell>
          <cell r="W16" t="str">
            <v>Govern</v>
          </cell>
          <cell r="X16" t="str">
            <v>Gestió de recursos humans</v>
          </cell>
          <cell r="Y16" t="str">
            <v>1 - S'hauria de definir clarament les funcions del Responsable de dades (Data Stewart), identificar els perfils adequats dins de l'Ajuntament o Organisme i capacitar-los per a portar a terme les seves funcions de manera efectiva.</v>
          </cell>
          <cell r="Z16">
            <v>1</v>
          </cell>
        </row>
        <row r="17">
          <cell r="D17" t="str">
            <v>GD03</v>
          </cell>
          <cell r="E17"/>
          <cell r="F17" t="str">
            <v>Està identificat i es coneix  el propietari de les dades de cada Àrea?</v>
          </cell>
          <cell r="G17" t="str">
            <v>No, no està definit clarament aquest rol i no hi ha personal assignat</v>
          </cell>
          <cell r="H17" t="str">
            <v>De manera oficiosa cada cap de departament és el responsable de l'ús que s'en fa de les dades. Però en cap cas això es oficial dins de l'organització</v>
          </cell>
          <cell r="I17" t="str">
            <v>Cal reflectir la responsabilitat en temes d'us de dades per art dels caps de cada àrea.</v>
          </cell>
          <cell r="J17">
            <v>1</v>
          </cell>
          <cell r="L17" t="str">
            <v>GD03</v>
          </cell>
          <cell r="M17" t="str">
            <v>No, no està definit clarament aquest rol i no hi ha personal assignat</v>
          </cell>
          <cell r="N17" t="str">
            <v>Sí, està definit i assignat però, però el personal no coneix clarament les seves funcions, o hi ha alguna àrea per a les que no hi ha personal assignat</v>
          </cell>
          <cell r="O17" t="str">
            <v>Sí, està definit i assignat, i el personal a cada àrea coneix clarament les seves funcions.</v>
          </cell>
          <cell r="P17" t="str">
            <v>Sí, està definit i assignat, i el personal a cada àrea coneix clarament les seves funcions, i es fan accions periòdiques per tal de garantir una millora continua</v>
          </cell>
          <cell r="R17" t="e">
            <v>#VALUE!</v>
          </cell>
          <cell r="S17" t="str">
            <v>Cal comunicar l'existència del rol de Propietari de dades, el personal que té assignat i les responsabilitats de manera clara dins l'Ajuntament o Organisme.</v>
          </cell>
          <cell r="T17" t="str">
            <v xml:space="preserve"> És interessant garantir l'autoritat i visibilitat dels Propietaris de dades, assegurant que tingui els recursos i que s'implementen activitats de millora contínua.</v>
          </cell>
          <cell r="U17" t="str">
            <v>_</v>
          </cell>
          <cell r="W17" t="str">
            <v>Govern</v>
          </cell>
          <cell r="X17" t="str">
            <v>Gestió de recursos humans</v>
          </cell>
          <cell r="Y17" t="e">
            <v>#VALUE!</v>
          </cell>
          <cell r="Z17">
            <v>1</v>
          </cell>
        </row>
        <row r="18">
          <cell r="E18"/>
          <cell r="F18"/>
          <cell r="G18"/>
          <cell r="H18"/>
          <cell r="I18"/>
          <cell r="J18">
            <v>1.5</v>
          </cell>
          <cell r="L18"/>
          <cell r="M18"/>
          <cell r="N18"/>
          <cell r="O18"/>
          <cell r="P18"/>
          <cell r="R18"/>
          <cell r="S18"/>
          <cell r="T18"/>
          <cell r="U18"/>
          <cell r="W18" t="str">
            <v>Govern</v>
          </cell>
          <cell r="X18" t="str">
            <v>Gestió de recursos humans</v>
          </cell>
          <cell r="Y18"/>
          <cell r="Z18"/>
        </row>
        <row r="19">
          <cell r="E19" t="str">
            <v>Gestió de seguretat de dades</v>
          </cell>
          <cell r="F19"/>
          <cell r="G19"/>
          <cell r="H19"/>
          <cell r="I19"/>
          <cell r="J19">
            <v>2.5</v>
          </cell>
          <cell r="L19"/>
          <cell r="M19"/>
          <cell r="N19"/>
          <cell r="O19"/>
          <cell r="P19"/>
          <cell r="R19"/>
          <cell r="S19"/>
          <cell r="T19"/>
          <cell r="U19"/>
          <cell r="W19" t="str">
            <v>Gestió de dades</v>
          </cell>
          <cell r="X19" t="str">
            <v>Gestió de seguretat de dades</v>
          </cell>
          <cell r="Y19"/>
          <cell r="Z19"/>
        </row>
        <row r="20">
          <cell r="D20" t="str">
            <v>MA01</v>
          </cell>
          <cell r="E20"/>
          <cell r="F20" t="str">
            <v>Existeixen Polítiques de seguretat i privadesa de les dades alineades amb les regulacions vigents i s'avalua el seu compliment?</v>
          </cell>
          <cell r="G20" t="str">
            <v xml:space="preserve">Si, hi ha Polítiques de seguretat i privadesa alineades amb les regulacions vigents, però no son conegudes pel personal i/o no s'avalua el seu compliment </v>
          </cell>
          <cell r="H20" t="str">
            <v>Sí, com ja s'ha comentat anteriorment tenen un servei externalitzat que els proveeix de la normativa de privacitat i protecció de dades</v>
          </cell>
          <cell r="I20" t="e">
            <v>#VALUE!</v>
          </cell>
          <cell r="J20">
            <v>2</v>
          </cell>
          <cell r="L20" t="str">
            <v>MA01</v>
          </cell>
          <cell r="M20" t="str">
            <v xml:space="preserve">No, no hi ha Polítiques de seguretat i privadesa alineades amb les regulacions vigents </v>
          </cell>
          <cell r="N20" t="str">
            <v xml:space="preserve">Si, hi ha Polítiques de seguretat i privadesa alineades amb les regulacions vigents, però no son conegudes pel personal i/o no s'avalua el seu compliment </v>
          </cell>
          <cell r="O20" t="str">
            <v xml:space="preserve">Si, hi ha Polítiques de seguretat i privadesa alineades amb les regulacions vigents que son  conegudes pel personal, i es fan revisions del seu compliment </v>
          </cell>
          <cell r="P20" t="e">
            <v>#VALUE!</v>
          </cell>
          <cell r="R20" t="str">
            <v>Definir les Polítiques de seguretat i privadesa alineades amb les regulacions vigents. Per tal de fer aquest camí més senzill i aprofitant l'experiència de la DIBA, aquesta facilita el procediment d'adhesió a les seves Polítiques.</v>
          </cell>
          <cell r="S20" t="str">
            <v>Divulgar les Polítiques de seguretat i privadesa entre el personal per tal que aquestes siguin conegudes, i fer avaluacions periòdiques del seu compliment</v>
          </cell>
          <cell r="T20" t="str">
            <v>Fer revisions periòdiques de les Polítiques per tal d'assegurar que aquestes es mantenen actualitzades amb les regulacions vigents i cercar oportunitats de millora continua</v>
          </cell>
          <cell r="U20" t="str">
            <v>-</v>
          </cell>
          <cell r="W20" t="str">
            <v>Gestió de dades</v>
          </cell>
          <cell r="X20" t="str">
            <v>Gestió de seguretat de dades</v>
          </cell>
          <cell r="Y20" t="str">
            <v>2 - Divulgar les Polítiques de seguretat i privadesa entre el personal per tal que aquestes siguin conegudes, i fer avaluacions periòdiques del seu compliment</v>
          </cell>
          <cell r="Z20">
            <v>2</v>
          </cell>
        </row>
        <row r="21">
          <cell r="D21" t="str">
            <v>MA02</v>
          </cell>
          <cell r="E21"/>
          <cell r="F21" t="str">
            <v>Les dades s'identifiquen i classifiquen en nivells de sensibilitat en funció de l'àmbit d'actuació dins de l'Ajuntament/Organisme?</v>
          </cell>
          <cell r="G21" t="str">
            <v>Si, les dades es classifiquen en funció de la seva sensibilitat i el personal coneix i utilitza les dades d'acord a aquesta classificació</v>
          </cell>
          <cell r="H21" t="str">
            <v>Sí, el responsable de protecció de dades juntament amb cada departament classifiquen la criticitat de cada tipologia de dada per saber quines dades han de tenir una protecció determinada</v>
          </cell>
          <cell r="I21"/>
          <cell r="J21">
            <v>3</v>
          </cell>
          <cell r="L21" t="str">
            <v>MA02</v>
          </cell>
          <cell r="M21" t="str">
            <v>No, no es classifiquen les dades en funció de la seva sensibilitat</v>
          </cell>
          <cell r="N21" t="str">
            <v>Si, algunes dades es classifiquen en funció de la seva sensibilitat i/o el personal no coneix aquesta classificació</v>
          </cell>
          <cell r="O21" t="str">
            <v>Si, les dades es classifiquen en funció de la seva sensibilitat i el personal coneix i utilitza les dades d'acord a aquesta classificació</v>
          </cell>
          <cell r="P21" t="str">
            <v>Si, les dades es classifiquen en funció de la seva sensibilitat i el personal coneix i utilitza les dades d'acord a aquesta classificació, i es fan auditories periòdiques per tal de detectar possibles errors i fer millora continua</v>
          </cell>
          <cell r="R21" t="str">
            <v>Identificar i classificar les dades clau en funció de la seva sensibilitat</v>
          </cell>
          <cell r="S21" t="str">
            <v>Assegurar que estan identificades i classificades totes les dades clau en funció de la seva sensibilitat i que el personal utilitza les dades d'acord a aquesta classificació</v>
          </cell>
          <cell r="T21" t="str">
            <v>Es recomana establir auditories que ajudin a detectar errors i definir accions de millora continua</v>
          </cell>
          <cell r="U21" t="str">
            <v>_</v>
          </cell>
          <cell r="W21" t="str">
            <v>Gestió de dades</v>
          </cell>
          <cell r="X21" t="str">
            <v>Gestió de seguretat de dades</v>
          </cell>
          <cell r="Y21" t="str">
            <v>3 - Es recomana establir auditories que ajudin a detectar errors i definir accions de millora continua</v>
          </cell>
          <cell r="Z21">
            <v>3</v>
          </cell>
        </row>
        <row r="22">
          <cell r="E22" t="str">
            <v>Gestió de dades històriques</v>
          </cell>
          <cell r="F22"/>
          <cell r="G22"/>
          <cell r="H22"/>
          <cell r="I22"/>
          <cell r="J22">
            <v>2</v>
          </cell>
          <cell r="L22"/>
          <cell r="M22"/>
          <cell r="N22"/>
          <cell r="O22"/>
          <cell r="P22"/>
          <cell r="R22"/>
          <cell r="S22"/>
          <cell r="T22"/>
          <cell r="U22"/>
          <cell r="W22" t="str">
            <v>Gestió de dades</v>
          </cell>
          <cell r="X22" t="str">
            <v>Gestió de dades històriques</v>
          </cell>
          <cell r="Y22"/>
          <cell r="Z22"/>
        </row>
        <row r="23">
          <cell r="D23" t="str">
            <v>MB01</v>
          </cell>
          <cell r="E23"/>
          <cell r="F23" t="str">
            <v>Existeixen Polítiques d'arxivat i restauració de dades?</v>
          </cell>
          <cell r="G23" t="str">
            <v>Si, hi ha Polítiques d'arxivat i restauració de dades, però no s'apliquen adequadament</v>
          </cell>
          <cell r="H23" t="str">
            <v>Tenen regulat la part dels expdients,. toa la resta de documentació no ho tenen sota polítiques de gestió de documenació</v>
          </cell>
          <cell r="I23" t="str">
            <v>La part de documnetació de gestió d'expedients sí, la resta de dades no.</v>
          </cell>
          <cell r="J23">
            <v>2</v>
          </cell>
          <cell r="L23" t="str">
            <v>MB01</v>
          </cell>
          <cell r="M23" t="str">
            <v xml:space="preserve">No, no hi ha Polítiques d'arxivat i restauració de dades </v>
          </cell>
          <cell r="N23" t="str">
            <v>Si, hi ha Polítiques d'arxivat i restauració de dades, però no s'apliquen adequadament</v>
          </cell>
          <cell r="O23" t="str">
            <v>Si, hi ha Polítiques d'arxivat i restauració de dades que s'apliquen adequadament</v>
          </cell>
          <cell r="P23" t="str">
            <v>Si, hi ha Polítiques d'arxivat i restauració de dades que s'apliquen adequadament i son revisades de forma periòdica per tal de millorar-les</v>
          </cell>
          <cell r="R23" t="str">
            <v>Definir les Polítiques d'arxivat i restauració de dades . Per tal de fer aquest camí més senzill i aprofitant l'experiència de la DIBA, aquesta facilita el procediment d'adhesió a les seves Polítiques.</v>
          </cell>
          <cell r="S23" t="str">
            <v>Revisar i implicar al personal en l'aplicació de les Polítiques d'arxivat i restauració de dades</v>
          </cell>
          <cell r="T23" t="str">
            <v xml:space="preserve">Portar a terme accions de millora continua de les Polítiques d'arxivat i restauració de dades </v>
          </cell>
          <cell r="U23" t="str">
            <v>-</v>
          </cell>
          <cell r="W23" t="str">
            <v>Gestió de dades</v>
          </cell>
          <cell r="X23" t="str">
            <v>Gestió de dades històriques</v>
          </cell>
          <cell r="Y23" t="str">
            <v>2 - Revisar i implicar al personal en l'aplicació de les Polítiques d'arxivat i restauració de dades</v>
          </cell>
          <cell r="Z23">
            <v>2</v>
          </cell>
        </row>
        <row r="24">
          <cell r="E24" t="str">
            <v>Gestió de fonts i destinacions de dades</v>
          </cell>
          <cell r="F24"/>
          <cell r="G24"/>
          <cell r="H24"/>
          <cell r="I24"/>
          <cell r="J24">
            <v>1</v>
          </cell>
          <cell r="L24"/>
          <cell r="M24"/>
          <cell r="N24"/>
          <cell r="O24"/>
          <cell r="P24"/>
          <cell r="R24"/>
          <cell r="S24"/>
          <cell r="T24"/>
          <cell r="U24"/>
          <cell r="W24" t="str">
            <v>Gestió de dades</v>
          </cell>
          <cell r="X24" t="str">
            <v>Gestió de fonts i destinacions de dades</v>
          </cell>
          <cell r="Y24"/>
          <cell r="Z24"/>
        </row>
        <row r="25">
          <cell r="D25" t="str">
            <v>MC01</v>
          </cell>
          <cell r="E25"/>
          <cell r="F25" t="str">
            <v>Existeix un Inventari de dades, que inclou conjunts de dades, dades mestre i de referència, i metadades, i on s'identifiquen les fonts de dades de l'Ajuntament/Organisme que és compartit i conegut pel personal?</v>
          </cell>
          <cell r="G25" t="str">
            <v>No, no existeix un Catàleg de dades ni Inventari de dades</v>
          </cell>
          <cell r="H25" t="str">
            <v>No existeix cap repositori sobre totes les dades que existeix a la pròpia organització. El 2006 van fer un recull de totes les bases de dades que hi havia per departament de cada a la protecció de dades</v>
          </cell>
          <cell r="I25" t="str">
            <v>Va fer una auditoria per al compliment de la LOPD per a totes les àrees a excepció de serveis econòmics i secretaria. Fer referència  tots els dossiers on s'identifica totes les taules.</v>
          </cell>
          <cell r="J25">
            <v>1</v>
          </cell>
          <cell r="L25" t="str">
            <v>MC01</v>
          </cell>
          <cell r="M25" t="str">
            <v>No, no existeix un Catàleg de dades ni Inventari de dades</v>
          </cell>
          <cell r="N25" t="str">
            <v>Si, existeix el Catàleg de dades i l'Inventari de dades, però aquest no és complet i/o el seu us és bastant limitat</v>
          </cell>
          <cell r="O25" t="str">
            <v>Si, existeix el Catàleg de dades i l'Inventari de dades, on s'identifiquen les fonts de dades de l'Ajuntament/Organisme, les dades clau, i son coneguts i utilitzats de manera regular</v>
          </cell>
          <cell r="P25" t="e">
            <v>#VALUE!</v>
          </cell>
          <cell r="R25" t="str">
            <v>Iniciar les tasques d'implementació de l'Inventari de dades</v>
          </cell>
          <cell r="S25" t="str">
            <v>Ampliar l'Inventari de dades a totes les dades clau, i difondre i promoure la seva utilització</v>
          </cell>
          <cell r="T25" t="str">
            <v>Fer revisions periòdiques de l'Inventari de dades per tal d'assegurar que aquest es manté actualitzat i cercar oportunitats de millora continua</v>
          </cell>
          <cell r="U25" t="str">
            <v>-</v>
          </cell>
          <cell r="W25" t="str">
            <v>Gestió de dades</v>
          </cell>
          <cell r="X25" t="str">
            <v>Gestió de fonts i destinacions de dades</v>
          </cell>
          <cell r="Y25" t="str">
            <v>1 - Iniciar les tasques d'implementació de l'Inventari de dades</v>
          </cell>
          <cell r="Z25">
            <v>1</v>
          </cell>
        </row>
        <row r="26">
          <cell r="D26" t="str">
            <v>MC02</v>
          </cell>
          <cell r="E26"/>
          <cell r="F26" t="str">
            <v>Estan identificades les dades i fonts de dades externes i aquestes es gestionen mitjançant acords formals i s'estableixen controls de qualitat específics?</v>
          </cell>
          <cell r="G26" t="str">
            <v>No, no estan identificades les dades ni fonts de dades externes</v>
          </cell>
          <cell r="H26" t="str">
            <v>No, no existeix cap desenvolupament en aquest sentit</v>
          </cell>
          <cell r="I26"/>
          <cell r="J26">
            <v>1</v>
          </cell>
          <cell r="L26" t="str">
            <v>MC02</v>
          </cell>
          <cell r="M26" t="str">
            <v>No, no estan identificades les dades ni fonts de dades externes</v>
          </cell>
          <cell r="N26" t="str">
            <v>Si, estan identificades les dades i les fonts de dades externes però no hi ha una gestió específica sobre aquestes</v>
          </cell>
          <cell r="O26" t="str">
            <v>Si, estan identificades les dades i les fonts de dades externes i es fa una gestió específica sobre aquestes per tal d'assegurar que son de qualitat i segures</v>
          </cell>
          <cell r="P26" t="str">
            <v>Si, estan identificades les dades i les fonts de dades externes i es fa una gestió específica sobre aquestes per tal d'assegurar que son de qualitat i segures, i es fan avaluacions periòdiques per tal de trobar punts de millora continua</v>
          </cell>
          <cell r="R26" t="str">
            <v>Identificar les fonts de dades externes i les dades associades per tal de poder fer una gestió específica d'aquestes</v>
          </cell>
          <cell r="S26" t="str">
            <v>Fer una gestió específica sobre les fonts de dades i dades externes per tal d'assegurar que son de qualitat i segures</v>
          </cell>
          <cell r="T26" t="str">
            <v>Establir mecanismes de millora continua als processos de gestió de dades i fonts de dades externes</v>
          </cell>
          <cell r="U26" t="str">
            <v>_</v>
          </cell>
          <cell r="W26" t="str">
            <v>Gestió de dades</v>
          </cell>
          <cell r="X26" t="str">
            <v>Gestió de fonts i destinacions de dades</v>
          </cell>
          <cell r="Y26" t="str">
            <v>1 - Identificar les fonts de dades externes i les dades associades per tal de poder fer una gestió específica d'aquestes</v>
          </cell>
          <cell r="Z26">
            <v>1</v>
          </cell>
        </row>
        <row r="27">
          <cell r="E27" t="str">
            <v>Gestió de la integració de les dades</v>
          </cell>
          <cell r="F27"/>
          <cell r="G27"/>
          <cell r="H27"/>
          <cell r="I27"/>
          <cell r="J27">
            <v>1</v>
          </cell>
          <cell r="L27"/>
          <cell r="M27"/>
          <cell r="N27"/>
          <cell r="O27"/>
          <cell r="P27"/>
          <cell r="R27"/>
          <cell r="S27"/>
          <cell r="T27"/>
          <cell r="U27"/>
          <cell r="W27" t="str">
            <v>Gestió de dades</v>
          </cell>
          <cell r="X27" t="str">
            <v>Gestió de la integració de les dades</v>
          </cell>
          <cell r="Y27"/>
          <cell r="Z27"/>
        </row>
        <row r="28">
          <cell r="D28" t="str">
            <v>MD01</v>
          </cell>
          <cell r="E28"/>
          <cell r="F28" t="str">
            <v>Existeixen Polítiques i procediments d'integració, gestió i utilització de les dades?</v>
          </cell>
          <cell r="G28" t="str">
            <v>No, no hi ha Polítiques ni procediments d'integració, gestió ni utilització de les dades</v>
          </cell>
          <cell r="H28" t="str">
            <v>No toes les fonts i aactius de dades operen de manera independent i sota els objectius de cada departament.</v>
          </cell>
          <cell r="I28"/>
          <cell r="J28">
            <v>1</v>
          </cell>
          <cell r="L28" t="str">
            <v>MD01</v>
          </cell>
          <cell r="M28" t="str">
            <v>No, no hi ha Polítiques ni procediments d'integració, gestió ni utilització de les dades</v>
          </cell>
          <cell r="N28" t="str">
            <v>Si, hi ha Polítiques i procediments d'integració, gestió i utilització de les dades, però no s'apliquen adequadament</v>
          </cell>
          <cell r="O28" t="str">
            <v>Si, hi ha Polítiques i procediments d'integració, gestió i utilització de les dades, que s'apliquen adequadament</v>
          </cell>
          <cell r="P28" t="str">
            <v>Si, hi ha Polítiques i procediments d'integració, gestió i utilització de les dades, que s'apliquen adequadament, que son avaluats paròdicament per tal de trobar punts de millora continua</v>
          </cell>
          <cell r="R28" t="str">
            <v>Definir les Polítiques i procediments d'integració, gestió i utilització de les dades . Per tal de fer aquest camí més senzill i aprofitant l'experiència de la DIBA, aquesta facilita el procediment d'adhesió a les seves Polítiques.</v>
          </cell>
          <cell r="S28" t="str">
            <v>Revisar i implicar al personal en l'aplicació de les Polítiques i procediments d'integració, gestió i utilització de les dades</v>
          </cell>
          <cell r="T28" t="str">
            <v>Portar a terme accions de millora continua de les Polítiques i procediments d'integració, gestió i utilització de les dades</v>
          </cell>
          <cell r="U28" t="str">
            <v>-</v>
          </cell>
          <cell r="W28" t="str">
            <v>Gestió de dades</v>
          </cell>
          <cell r="X28" t="str">
            <v>Gestió de la integració de les dades</v>
          </cell>
          <cell r="Y28" t="str">
            <v>1 - Definir les Polítiques i procediments d'integració, gestió i utilització de les dades . Per tal de fer aquest camí més senzill i aprofitant l'experiència de la DIBA, aquesta facilita el procediment d'adhesió a les seves Polítiques.</v>
          </cell>
          <cell r="Z28">
            <v>1</v>
          </cell>
        </row>
        <row r="29">
          <cell r="E29" t="str">
            <v>Gestió de Dades Mestre i Dades de Referència</v>
          </cell>
          <cell r="F29"/>
          <cell r="G29"/>
          <cell r="H29"/>
          <cell r="I29"/>
          <cell r="J29">
            <v>1</v>
          </cell>
          <cell r="L29"/>
          <cell r="M29"/>
          <cell r="N29"/>
          <cell r="O29"/>
          <cell r="P29"/>
          <cell r="R29"/>
          <cell r="S29"/>
          <cell r="T29"/>
          <cell r="U29"/>
          <cell r="W29" t="str">
            <v>Gestió de dades</v>
          </cell>
          <cell r="X29" t="str">
            <v>Gestió de Dades Mestre i Dades de Referència</v>
          </cell>
          <cell r="Y29"/>
          <cell r="Z29"/>
        </row>
        <row r="30">
          <cell r="D30" t="str">
            <v>ME01</v>
          </cell>
          <cell r="E30"/>
          <cell r="F30" t="e">
            <v>#VALUE!</v>
          </cell>
          <cell r="G30" t="str">
            <v>No, no estan identificades les Dades Mestre ni les Dades de Referència</v>
          </cell>
          <cell r="H30" t="str">
            <v>No han fet aquest treball d'identificar i classificar la tipologia de dades si son Mestres o de Referència</v>
          </cell>
          <cell r="I30"/>
          <cell r="J30">
            <v>1</v>
          </cell>
          <cell r="L30" t="str">
            <v>ME01</v>
          </cell>
          <cell r="M30" t="str">
            <v>No, no estan identificades les Dades Mestre ni les Dades de Referència</v>
          </cell>
          <cell r="N30" t="str">
            <v>Si, hi ha identificades Dades Mestre i les Dades de Referència, però la identificació no és completa</v>
          </cell>
          <cell r="O30" t="str">
            <v>Si, hi ha identificades totes les Dades Mestre i les Dades de Referència clau per a l'Ajuntament/Organisme</v>
          </cell>
          <cell r="P30" t="str">
            <v>Si, hi ha identificades totes les Dades Mestre i les Dades de Referència clau per a l'Ajuntament/Organisme, i periòdicament es revisen les definicions d'aquestes, la completitut i es porten a terme tasques de millora continua</v>
          </cell>
          <cell r="R30" t="str">
            <v>Definir les Polítiques i procediments d'integració, gestió i utilització de les dades . Per tal de fer aquest camí més senzill i aprofitant l'experiència de la DIBA, aquesta facilita el procediment d'adhesió a les seves Polítiques.</v>
          </cell>
          <cell r="S30" t="str">
            <v>Revisar i implicar al personal en l'aplicació de les Polítiques i procediments d'integració, gestió i utilització de les dades</v>
          </cell>
          <cell r="T30" t="str">
            <v>Portar a terme accions de millora continua de les Polítiques i procediments d'integració, gestió i utilització de les dades</v>
          </cell>
          <cell r="U30" t="str">
            <v>-</v>
          </cell>
          <cell r="W30" t="str">
            <v>Gestió de dades</v>
          </cell>
          <cell r="X30" t="str">
            <v>Gestió de Dades Mestre i Dades de Referència</v>
          </cell>
          <cell r="Y30" t="str">
            <v>1 - Definir les Polítiques i procediments d'integració, gestió i utilització de les dades . Per tal de fer aquest camí més senzill i aprofitant l'experiència de la DIBA, aquesta facilita el procediment d'adhesió a les seves Polítiques.</v>
          </cell>
          <cell r="Z30">
            <v>1</v>
          </cell>
        </row>
        <row r="31">
          <cell r="E31"/>
          <cell r="F31"/>
          <cell r="G31"/>
          <cell r="H31"/>
          <cell r="I31"/>
          <cell r="J31">
            <v>1</v>
          </cell>
          <cell r="L31"/>
          <cell r="M31"/>
          <cell r="N31"/>
          <cell r="O31"/>
          <cell r="P31"/>
          <cell r="R31"/>
          <cell r="S31"/>
          <cell r="T31"/>
          <cell r="U31"/>
          <cell r="W31" t="str">
            <v>Gestió de dades</v>
          </cell>
          <cell r="X31" t="str">
            <v>Gestió de Dades Mestre i Dades de Referència</v>
          </cell>
          <cell r="Y31"/>
          <cell r="Z31"/>
        </row>
        <row r="32">
          <cell r="E32" t="str">
            <v>Establiment d'estàndards, polítiques, bones pràctiques i procediments</v>
          </cell>
          <cell r="F32"/>
          <cell r="G32"/>
          <cell r="H32"/>
          <cell r="I32"/>
          <cell r="J32">
            <v>1</v>
          </cell>
          <cell r="L32"/>
          <cell r="M32"/>
          <cell r="N32"/>
          <cell r="O32"/>
          <cell r="P32"/>
          <cell r="R32"/>
          <cell r="S32"/>
          <cell r="T32"/>
          <cell r="U32"/>
          <cell r="W32" t="str">
            <v>Qualitat de la dada</v>
          </cell>
          <cell r="X32" t="str">
            <v>Establiment d'estàndards, polítiques, bones pràctiques i procediments</v>
          </cell>
          <cell r="Y32"/>
          <cell r="Z32"/>
        </row>
        <row r="33">
          <cell r="D33" t="str">
            <v>QA01</v>
          </cell>
          <cell r="E33"/>
          <cell r="F33" t="str">
            <v>Estan documentats els requeriments de qualitat de les dades (precisió, integritat, consistència, completitut, puntualitat, etc.?</v>
          </cell>
          <cell r="G33" t="str">
            <v>No, no estan documentats els requeriments de qualitat de les dades</v>
          </cell>
          <cell r="H33" t="str">
            <v>No hi ha un document que ho especifiqui tot i que els programaris ja defineix l'estructura de la dada a introduir.</v>
          </cell>
          <cell r="I33"/>
          <cell r="J33">
            <v>1</v>
          </cell>
          <cell r="L33" t="str">
            <v>QA01</v>
          </cell>
          <cell r="M33" t="str">
            <v>No, no estan documentats els requeriments de qualitat de les dades</v>
          </cell>
          <cell r="N33" t="str">
            <v>Si, estan documentats alguns requeriments de qualitat d'algunes dades</v>
          </cell>
          <cell r="O33" t="str">
            <v>Si, estan documentats els requeriments de qualitat de les dades i hi ha processos automàtics orientats a garantir la qualitat de les dades</v>
          </cell>
          <cell r="P33" t="str">
            <v>Si, estan documentats els requeriments de qualitat de les dades i hi ha processos automàtics orientats a garantir la qualitat de les dades, i aquests es revisen de manera regular per tal d'identificar i aplicar millores</v>
          </cell>
          <cell r="R33" t="str">
            <v>Iniciar la documentació dels requeriments de qualitat de les dades, prioritzant  les dades clau i crítiques</v>
          </cell>
          <cell r="S33" t="str">
            <v xml:space="preserve">Completar la documentació de requeriments de qualitat de les dades i valorar l'automatització de processos que ajudin a garantir la qualitat de les dades </v>
          </cell>
          <cell r="T33" t="str">
            <v>Maximitzar l'automatització de processos que ajudin a garantir la qualitat de les dades i establir mecanismes de millora continua</v>
          </cell>
          <cell r="U33" t="str">
            <v>-</v>
          </cell>
          <cell r="W33" t="str">
            <v>Qualitat de la dada</v>
          </cell>
          <cell r="X33" t="str">
            <v>Establiment d'estàndards, polítiques, bones pràctiques i procediments</v>
          </cell>
          <cell r="Y33" t="str">
            <v>1 - Iniciar la documentació dels requeriments de qualitat de les dades, prioritzant  les dades clau i crítiques</v>
          </cell>
          <cell r="Z33">
            <v>1</v>
          </cell>
        </row>
        <row r="34">
          <cell r="E34" t="str">
            <v>Control i monitorització de la qualitat de les dades</v>
          </cell>
          <cell r="F34"/>
          <cell r="G34"/>
          <cell r="H34"/>
          <cell r="I34"/>
          <cell r="J34">
            <v>1</v>
          </cell>
          <cell r="L34"/>
          <cell r="M34"/>
          <cell r="N34"/>
          <cell r="O34"/>
          <cell r="P34"/>
          <cell r="R34"/>
          <cell r="S34"/>
          <cell r="T34"/>
          <cell r="U34"/>
          <cell r="W34" t="str">
            <v>Qualitat de la dada</v>
          </cell>
          <cell r="X34" t="str">
            <v>Control i monitorització de la qualitat de les dades</v>
          </cell>
          <cell r="Y34"/>
          <cell r="Z34"/>
        </row>
        <row r="35">
          <cell r="D35" t="str">
            <v>QB01</v>
          </cell>
          <cell r="E35"/>
          <cell r="F35" t="str">
            <v>Es fa un seguiment actiu i monitoratge de la qualitat de les dades?</v>
          </cell>
          <cell r="G35" t="str">
            <v>No, no es fa un seguiment actiu ni es monitoritza la qualitat de les dades</v>
          </cell>
          <cell r="H35" t="str">
            <v>Al no tenir una política de qualitat de les dades no es fa el seguiment</v>
          </cell>
          <cell r="I35" t="str">
            <v>Aquí farem un quadre de comendament sobre la qualitat de dades sobre tots els indicadors del serveis tècnics.</v>
          </cell>
          <cell r="J35">
            <v>1</v>
          </cell>
          <cell r="L35" t="str">
            <v>QB01</v>
          </cell>
          <cell r="M35" t="str">
            <v>No, no es fa un seguiment actiu ni es monitoritza la qualitat de les dades</v>
          </cell>
          <cell r="N35" t="str">
            <v>Si, es fan seguiments i monitorització de la qualitat de les dades de manera esporàdica únicament quan es detecten errors, i s'estableixen mesures correctives.</v>
          </cell>
          <cell r="O35" t="str">
            <v>Si, es fan seguiments i monitorització de la qualitat de les dades de manera regular i planificada, per implantar mesures correctives i preventives</v>
          </cell>
          <cell r="P35" t="str">
            <v>Si, es fan seguiments i monitorització de la qualitat de les dades de manera regular i planificada, per implantar mesures correctives i preventives, i s'avaluen els propis criteris de seguiment i monitorització per tal d'optimitzar-los</v>
          </cell>
          <cell r="R35" t="str">
            <v xml:space="preserve">Començar a fer seguiment actiu i monitorització de la qualitat de les dades </v>
          </cell>
          <cell r="S35" t="str">
            <v>Periodificar i ampliar l'abast del seguiment i monitorització de la qualitat de les dades per tal que doni suport a la implantació accions orientades a la prevenció</v>
          </cell>
          <cell r="T35" t="str">
            <v>Implantar revisions periòdiques d'avaluació dels propis criteris de seguiment i monitorització de la qualitat per tal d'optimitzar-los</v>
          </cell>
          <cell r="U35" t="str">
            <v>_</v>
          </cell>
          <cell r="W35" t="str">
            <v>Qualitat de la dada</v>
          </cell>
          <cell r="X35" t="str">
            <v>Establiment d'estàndards, polítiques, bones pràctiques i procediments</v>
          </cell>
          <cell r="Y35" t="str">
            <v xml:space="preserve">1 - Començar a fer seguiment actiu i monitorització de la qualitat de les dades </v>
          </cell>
          <cell r="Z35">
            <v>1</v>
          </cell>
        </row>
        <row r="36">
          <cell r="E36" t="str">
            <v>Planificació de la qualitat de les dades</v>
          </cell>
          <cell r="F36"/>
          <cell r="G36"/>
          <cell r="H36"/>
          <cell r="I36"/>
          <cell r="J36">
            <v>1</v>
          </cell>
          <cell r="L36"/>
          <cell r="M36"/>
          <cell r="N36"/>
          <cell r="O36"/>
          <cell r="P36"/>
          <cell r="R36"/>
          <cell r="S36"/>
          <cell r="T36"/>
          <cell r="U36"/>
          <cell r="W36" t="str">
            <v>Qualitat de la dada</v>
          </cell>
          <cell r="X36" t="str">
            <v>Planificació de la qualitat de les dades</v>
          </cell>
          <cell r="Y36"/>
          <cell r="Z36"/>
        </row>
        <row r="37">
          <cell r="D37" t="str">
            <v>QC01</v>
          </cell>
          <cell r="E37"/>
          <cell r="F37" t="str">
            <v>Existeix una planificació de les activitats d'assegurament de la qualitat de les dades que detalla els objectius de qualitat, planifica el seguiment i monitorització de la qualitat de les dades, etc.?</v>
          </cell>
          <cell r="G37" t="str">
            <v>No, no es planifiquen les activitats d'assegurament de la qualitat de les dades</v>
          </cell>
          <cell r="H37" t="str">
            <v>Exactament el mateix que en l'apartat anterior</v>
          </cell>
          <cell r="I37"/>
          <cell r="J37">
            <v>1</v>
          </cell>
          <cell r="L37" t="str">
            <v>QC01</v>
          </cell>
          <cell r="M37" t="str">
            <v>No, no es planifiquen les activitats d'assegurament de la qualitat de les dades</v>
          </cell>
          <cell r="N37" t="str">
            <v>Si,  es planifiquen les activitats d'assegurament de la qualitat de les dades, però aquesta planificació no detalla els objectius de qualitat o les activitats de seguiment i monitorització de la qualitat</v>
          </cell>
          <cell r="O37" t="str">
            <v>Si, es planifiquen les activitats d'assegurament de la qualitat de les dades, detallant els objectius de qualitat i les activitats de seguiment i monitorització de la qualitat</v>
          </cell>
          <cell r="P37" t="e">
            <v>#VALUE!</v>
          </cell>
          <cell r="R37" t="str">
            <v>Preparar un pla d'assegurament de la qualitat de les dades, que inicialment posi el focus en les dades crítiques i dades clau</v>
          </cell>
          <cell r="S37" t="str">
            <v>Ampliar el detall del pla d'assegurament de la qualitat de les dades, assegurant que aquest detalla els objectius de qualitat, i les activitats de seguiment i monitorització</v>
          </cell>
          <cell r="T37" t="str">
            <v>Incorporar avaluacions de millora continua per al propi procés de planificació de la qualitat de les dades.</v>
          </cell>
          <cell r="U37" t="str">
            <v>-</v>
          </cell>
          <cell r="W37" t="str">
            <v>Qualitat de la dada</v>
          </cell>
          <cell r="X37" t="str">
            <v>Planificació de la qualitat de les dades</v>
          </cell>
          <cell r="Y37" t="str">
            <v>1 - Preparar un pla d'assegurament de la qualitat de les dades, que inicialment posi el focus en les dades crítiques i dades clau</v>
          </cell>
          <cell r="Z37">
            <v>1</v>
          </cell>
        </row>
      </sheetData>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temm" refreshedDate="45769.53550474537" createdVersion="8" refreshedVersion="8" minRefreshableVersion="3" recordCount="33" xr:uid="{B23E5A5F-9A70-4A69-8916-3F768F017466}">
  <cacheSource type="worksheet">
    <worksheetSource ref="W5:Y38" sheet="Qüestionari"/>
  </cacheSource>
  <cacheFields count="3">
    <cacheField name="Àmbit" numFmtId="0">
      <sharedItems containsBlank="1" count="5">
        <s v="Govern"/>
        <s v="Gestió de dades"/>
        <s v="Qualitat de la dada"/>
        <m/>
        <s v="Àmbit" u="1"/>
      </sharedItems>
    </cacheField>
    <cacheField name="Procés" numFmtId="0">
      <sharedItems containsBlank="1" count="15">
        <s v="Establiment d'estàndards, polítiques, bones pràctiques i procediments"/>
        <s v="Establiment d'estratègies de dades"/>
        <s v="Establiment d'estructures organitzacionals"/>
        <s v="Gestió de recursos humans"/>
        <s v="Gestió de seguretat de dades"/>
        <s v="Gestió de dades històriques"/>
        <s v="Gestió de fonts i destinacions de dades"/>
        <s v="Gestió de la integració de les dades"/>
        <s v="Gestió de Dades Mestre i Dades de Referència"/>
        <s v="Control i monitorització de la qualitat de les dades"/>
        <s v="Planificació de la qualitat de les dades"/>
        <m/>
        <s v="Establiment d'estàndars, polítiques, bones pràctiques i procediments" u="1"/>
        <s v="Establiment d'estàndars , polítiques, bones pràctiques i procediments" u="1"/>
        <s v="Procés" u="1"/>
      </sharedItems>
    </cacheField>
    <cacheField name="Pla acció" numFmtId="0">
      <sharedItems containsBlank="1" containsMixedTypes="1" containsNumber="1" containsInteger="1" minValue="0" maxValue="0" count="15">
        <m/>
        <s v=""/>
        <s v="3 - Assegurar que les decisions i accions derivades dels comitès estan alineats amb l'estratègia, avaluar i optimitzar els resultats dels Comitès"/>
        <s v="3 -  És interessant garantir l'autoritat i visibilitat dels Propietaris de dades, assegurant que tingui els recursos i que s'implementen activitats de millora contínua."/>
        <s v="2 - Divulgar les Polítiques de seguretat i privadesa entre el personal per tal que aquestes siguin conegudes, i fer avaluacions periòdiques del seu compliment"/>
        <s v="1 - Identificar i classificar les dades clau en funció de la seva sensibilitat"/>
        <s v="1 - Definir les Polítiques d'arxivat i restauració de dades . Per tal de fer aquest camí més senzill i aprofitant l'experiència de la DIBA, aquesta facilita el procediment d'adhesió a les seves Polítiques."/>
        <s v="2 - Ampliar l'Inventari de dades a totes les dades clau, i difondre i promoure la seva utilització"/>
        <s v="1 - Identificar les fonts de dades externes i les dades associades per tal de poder fer una gestió específica d'aquestes"/>
        <s v="1 - Definir les Polítiques i procediments d'integració, gestió i utilització de les dades . Per tal de fer aquest camí més senzill i aprofitant l'experiència de la DIBA, aquesta facilita el procediment d'adhesió a les seves Polítiques."/>
        <s v="2 - Revisar i implicar al personal en l'aplicació de les Polítiques i procediments d'integració, gestió i utilització de les dades"/>
        <s v="2 - Completar la documentació de requeriments de qualitat de les dades i valorar l'automatització de processos que ajudin a garantir la qualitat de les dades "/>
        <s v="1 - Començar a fer seguiment actiu i monitorització de la qualitat de les dades "/>
        <s v="1 - Preparar un pla d'assegurament de la qualitat de les dades, que inicialment posi el focus en les dades crítiques i dades clau"/>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x v="0"/>
  </r>
  <r>
    <x v="0"/>
    <x v="0"/>
    <x v="1"/>
  </r>
  <r>
    <x v="0"/>
    <x v="0"/>
    <x v="1"/>
  </r>
  <r>
    <x v="0"/>
    <x v="1"/>
    <x v="0"/>
  </r>
  <r>
    <x v="0"/>
    <x v="1"/>
    <x v="1"/>
  </r>
  <r>
    <x v="0"/>
    <x v="1"/>
    <x v="1"/>
  </r>
  <r>
    <x v="0"/>
    <x v="2"/>
    <x v="0"/>
  </r>
  <r>
    <x v="0"/>
    <x v="2"/>
    <x v="2"/>
  </r>
  <r>
    <x v="0"/>
    <x v="3"/>
    <x v="0"/>
  </r>
  <r>
    <x v="0"/>
    <x v="3"/>
    <x v="1"/>
  </r>
  <r>
    <x v="0"/>
    <x v="3"/>
    <x v="1"/>
  </r>
  <r>
    <x v="0"/>
    <x v="3"/>
    <x v="3"/>
  </r>
  <r>
    <x v="0"/>
    <x v="3"/>
    <x v="0"/>
  </r>
  <r>
    <x v="1"/>
    <x v="4"/>
    <x v="0"/>
  </r>
  <r>
    <x v="1"/>
    <x v="4"/>
    <x v="4"/>
  </r>
  <r>
    <x v="1"/>
    <x v="4"/>
    <x v="5"/>
  </r>
  <r>
    <x v="1"/>
    <x v="5"/>
    <x v="0"/>
  </r>
  <r>
    <x v="1"/>
    <x v="5"/>
    <x v="6"/>
  </r>
  <r>
    <x v="1"/>
    <x v="6"/>
    <x v="0"/>
  </r>
  <r>
    <x v="1"/>
    <x v="6"/>
    <x v="7"/>
  </r>
  <r>
    <x v="1"/>
    <x v="6"/>
    <x v="8"/>
  </r>
  <r>
    <x v="1"/>
    <x v="7"/>
    <x v="0"/>
  </r>
  <r>
    <x v="1"/>
    <x v="7"/>
    <x v="9"/>
  </r>
  <r>
    <x v="1"/>
    <x v="8"/>
    <x v="0"/>
  </r>
  <r>
    <x v="1"/>
    <x v="8"/>
    <x v="10"/>
  </r>
  <r>
    <x v="1"/>
    <x v="8"/>
    <x v="0"/>
  </r>
  <r>
    <x v="2"/>
    <x v="0"/>
    <x v="0"/>
  </r>
  <r>
    <x v="2"/>
    <x v="0"/>
    <x v="11"/>
  </r>
  <r>
    <x v="2"/>
    <x v="9"/>
    <x v="0"/>
  </r>
  <r>
    <x v="2"/>
    <x v="0"/>
    <x v="12"/>
  </r>
  <r>
    <x v="2"/>
    <x v="10"/>
    <x v="0"/>
  </r>
  <r>
    <x v="2"/>
    <x v="10"/>
    <x v="13"/>
  </r>
  <r>
    <x v="3"/>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A30F6-7E57-454F-8710-C0439DDE8109}" name="TablaDinámica1" cacheId="798"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rowHeaderCaption=" ">
  <location ref="B6:B35" firstHeaderRow="1" firstDataRow="1" firstDataCol="1"/>
  <pivotFields count="3">
    <pivotField axis="axisRow" showAll="0">
      <items count="6">
        <item x="0"/>
        <item m="1" x="4"/>
        <item x="1"/>
        <item x="3"/>
        <item x="2"/>
        <item t="default"/>
      </items>
    </pivotField>
    <pivotField axis="axisRow" showAll="0">
      <items count="16">
        <item x="1"/>
        <item x="2"/>
        <item x="3"/>
        <item m="1" x="13"/>
        <item m="1" x="14"/>
        <item x="11"/>
        <item x="4"/>
        <item x="5"/>
        <item x="6"/>
        <item x="7"/>
        <item x="8"/>
        <item m="1" x="12"/>
        <item x="9"/>
        <item x="10"/>
        <item x="0"/>
        <item t="default"/>
      </items>
    </pivotField>
    <pivotField axis="axisRow" showAll="0" sortType="ascending">
      <items count="16">
        <item m="1" x="14"/>
        <item x="1"/>
        <item x="12"/>
        <item x="6"/>
        <item x="9"/>
        <item x="5"/>
        <item x="8"/>
        <item x="13"/>
        <item x="7"/>
        <item x="11"/>
        <item x="4"/>
        <item x="10"/>
        <item x="3"/>
        <item x="2"/>
        <item x="0"/>
        <item t="default"/>
      </items>
    </pivotField>
  </pivotFields>
  <rowFields count="3">
    <field x="0"/>
    <field x="1"/>
    <field x="2"/>
  </rowFields>
  <rowItems count="29">
    <i>
      <x/>
    </i>
    <i r="1">
      <x/>
    </i>
    <i r="2">
      <x v="1"/>
    </i>
    <i r="1">
      <x v="1"/>
    </i>
    <i r="2">
      <x v="13"/>
    </i>
    <i r="1">
      <x v="2"/>
    </i>
    <i r="2">
      <x v="1"/>
    </i>
    <i r="2">
      <x v="12"/>
    </i>
    <i r="1">
      <x v="14"/>
    </i>
    <i r="2">
      <x v="1"/>
    </i>
    <i>
      <x v="2"/>
    </i>
    <i r="1">
      <x v="6"/>
    </i>
    <i r="2">
      <x v="5"/>
    </i>
    <i r="2">
      <x v="10"/>
    </i>
    <i r="1">
      <x v="7"/>
    </i>
    <i r="2">
      <x v="3"/>
    </i>
    <i r="1">
      <x v="8"/>
    </i>
    <i r="2">
      <x v="6"/>
    </i>
    <i r="2">
      <x v="8"/>
    </i>
    <i r="1">
      <x v="9"/>
    </i>
    <i r="2">
      <x v="4"/>
    </i>
    <i r="1">
      <x v="10"/>
    </i>
    <i r="2">
      <x v="11"/>
    </i>
    <i>
      <x v="4"/>
    </i>
    <i r="1">
      <x v="13"/>
    </i>
    <i r="2">
      <x v="7"/>
    </i>
    <i r="1">
      <x v="14"/>
    </i>
    <i r="2">
      <x v="2"/>
    </i>
    <i r="2">
      <x v="9"/>
    </i>
  </rowItems>
  <colItems count="1">
    <i/>
  </colItems>
  <formats count="3">
    <format dxfId="0">
      <pivotArea field="0" type="button" dataOnly="0" labelOnly="1" outline="0" axis="axisRow" fieldPosition="0"/>
    </format>
    <format dxfId="1">
      <pivotArea dataOnly="0" labelOnly="1" fieldPosition="0">
        <references count="1">
          <reference field="2" count="0"/>
        </references>
      </pivotArea>
    </format>
    <format dxfId="2">
      <pivotArea dataOnly="0" labelOnly="1" fieldPosition="0">
        <references count="1">
          <reference field="2" count="0"/>
        </references>
      </pivotArea>
    </format>
  </formats>
  <pivotTableStyleInfo name="PivotStyleLight16" showRowHeaders="1" showColHeaders="1" showRowStripes="0" showColStripes="0" showLastColumn="1"/>
  <filters count="1">
    <filter fld="2"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prmd.pl1335@premiadedalt.cat" TargetMode="External"/><Relationship Id="rId13" Type="http://schemas.openxmlformats.org/officeDocument/2006/relationships/hyperlink" Target="https://www.premiadedalt.cat/ajuntament/el-consistori/organitzacio-1/organitzacio" TargetMode="External"/><Relationship Id="rId18" Type="http://schemas.openxmlformats.org/officeDocument/2006/relationships/hyperlink" Target="mailto:ollerobd@premiadedalt.cat" TargetMode="External"/><Relationship Id="rId3" Type="http://schemas.openxmlformats.org/officeDocument/2006/relationships/hyperlink" Target="mailto:pallaresrmr@premiadedalt.cat" TargetMode="External"/><Relationship Id="rId21" Type="http://schemas.openxmlformats.org/officeDocument/2006/relationships/printerSettings" Target="../printerSettings/printerSettings1.bin"/><Relationship Id="rId7" Type="http://schemas.openxmlformats.org/officeDocument/2006/relationships/hyperlink" Target="mailto:gummabe@premiadedalt.cat" TargetMode="External"/><Relationship Id="rId12" Type="http://schemas.openxmlformats.org/officeDocument/2006/relationships/hyperlink" Target="https://www.premiadedalt.cat/ajuntament/el-pla-de-mandat/el-pla-de-govern-2023-2027" TargetMode="External"/><Relationship Id="rId17" Type="http://schemas.openxmlformats.org/officeDocument/2006/relationships/hyperlink" Target="mailto:ferrancg@premiadedalt.cat" TargetMode="External"/><Relationship Id="rId2" Type="http://schemas.openxmlformats.org/officeDocument/2006/relationships/hyperlink" Target="mailto:rieraan@premiadedalt.cat" TargetMode="External"/><Relationship Id="rId16" Type="http://schemas.openxmlformats.org/officeDocument/2006/relationships/hyperlink" Target="mailto:amayaar@premiadedalt.cat" TargetMode="External"/><Relationship Id="rId20" Type="http://schemas.openxmlformats.org/officeDocument/2006/relationships/hyperlink" Target="mailto:alvarezmgm@premiadedalt.cat" TargetMode="External"/><Relationship Id="rId1" Type="http://schemas.openxmlformats.org/officeDocument/2006/relationships/hyperlink" Target="mailto:alvarezmgm@premiadedalt.cat" TargetMode="External"/><Relationship Id="rId6" Type="http://schemas.openxmlformats.org/officeDocument/2006/relationships/hyperlink" Target="mailto:merloscv@premiadedalt.cat" TargetMode="External"/><Relationship Id="rId11" Type="http://schemas.openxmlformats.org/officeDocument/2006/relationships/hyperlink" Target="mailto:garciajll@premiadedalt.cat" TargetMode="External"/><Relationship Id="rId5" Type="http://schemas.openxmlformats.org/officeDocument/2006/relationships/hyperlink" Target="mailto:garciajll@premiadedalt.cat" TargetMode="External"/><Relationship Id="rId15" Type="http://schemas.openxmlformats.org/officeDocument/2006/relationships/hyperlink" Target="mailto:prmd.alcaldia@premiadedalt.cat" TargetMode="External"/><Relationship Id="rId10" Type="http://schemas.openxmlformats.org/officeDocument/2006/relationships/hyperlink" Target="mailto:botemmr@premiadedalt.cat" TargetMode="External"/><Relationship Id="rId19" Type="http://schemas.openxmlformats.org/officeDocument/2006/relationships/hyperlink" Target="mailto:avilaae@premiadedalt.cat" TargetMode="External"/><Relationship Id="rId4" Type="http://schemas.openxmlformats.org/officeDocument/2006/relationships/hyperlink" Target="mailto:obrerorp@premiadedalt.cat" TargetMode="External"/><Relationship Id="rId9" Type="http://schemas.openxmlformats.org/officeDocument/2006/relationships/hyperlink" Target="mailto:botemmr@premiadedalt.cat" TargetMode="External"/><Relationship Id="rId14" Type="http://schemas.openxmlformats.org/officeDocument/2006/relationships/hyperlink" Target="mailto:farresm@premiadedalt.cat" TargetMode="External"/><Relationship Id="rId2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otrerorp@premiadedalt.cat" TargetMode="External"/><Relationship Id="rId2" Type="http://schemas.openxmlformats.org/officeDocument/2006/relationships/hyperlink" Target="mailto:hernandobc@premiadedalt.cat%20/%20obrerorp@premiadedalt.cat" TargetMode="External"/><Relationship Id="rId1" Type="http://schemas.openxmlformats.org/officeDocument/2006/relationships/hyperlink" Target="mailto:hernandobc@premiadedalt.cat%20/%20obrerorp@premiadedalt.cat" TargetMode="Externa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8" Type="http://schemas.openxmlformats.org/officeDocument/2006/relationships/hyperlink" Target="https://www.seu-e.cat/web/cdrassanesreialsimuseumaritim/govern-obert-i-transparencia" TargetMode="External"/><Relationship Id="rId13" Type="http://schemas.openxmlformats.org/officeDocument/2006/relationships/hyperlink" Target="https://parcs.diba.cat/web/marina" TargetMode="External"/><Relationship Id="rId18" Type="http://schemas.openxmlformats.org/officeDocument/2006/relationships/hyperlink" Target="https://www.seu-e.cat/ca/web/cdrassanesreialsimuseumaritim/govern-obert-i-transparencia/informacio-institucional-i-organitzativa/informacio-institucional/fundacio-de-suport-al-museu-maritim-i-drassanes-reials-de-barcelona-214" TargetMode="External"/><Relationship Id="rId3" Type="http://schemas.openxmlformats.org/officeDocument/2006/relationships/hyperlink" Target="https://transparencia-patronat-apostes.diba.cat/" TargetMode="External"/><Relationship Id="rId7" Type="http://schemas.openxmlformats.org/officeDocument/2006/relationships/hyperlink" Target="https://transparencia-cemical.diba.cat/" TargetMode="External"/><Relationship Id="rId12" Type="http://schemas.openxmlformats.org/officeDocument/2006/relationships/hyperlink" Target="https://parcagrari.cat/" TargetMode="External"/><Relationship Id="rId17" Type="http://schemas.openxmlformats.org/officeDocument/2006/relationships/hyperlink" Target="https://seu-e.cat/web/cparcdelaserraladalitoral" TargetMode="External"/><Relationship Id="rId2" Type="http://schemas.openxmlformats.org/officeDocument/2006/relationships/hyperlink" Target="http://transparencia.institutdelteatre.cat/" TargetMode="External"/><Relationship Id="rId16" Type="http://schemas.openxmlformats.org/officeDocument/2006/relationships/hyperlink" Target="https://seu-e.cat/web/cespainaturalguilleries-savassona" TargetMode="External"/><Relationship Id="rId1" Type="http://schemas.openxmlformats.org/officeDocument/2006/relationships/hyperlink" Target="https://transparencia-orgt.diba.cat/" TargetMode="External"/><Relationship Id="rId6" Type="http://schemas.openxmlformats.org/officeDocument/2006/relationships/hyperlink" Target="https://seu-e.cat/es/web/cccb/govern-obert-i-transparencia" TargetMode="External"/><Relationship Id="rId11" Type="http://schemas.openxmlformats.org/officeDocument/2006/relationships/hyperlink" Target="https://cuimpb.cat/" TargetMode="External"/><Relationship Id="rId5" Type="http://schemas.openxmlformats.org/officeDocument/2006/relationships/hyperlink" Target="https://gobiernolocal.org/" TargetMode="External"/><Relationship Id="rId15" Type="http://schemas.openxmlformats.org/officeDocument/2006/relationships/hyperlink" Target="https://www.icps.cat/" TargetMode="External"/><Relationship Id="rId10" Type="http://schemas.openxmlformats.org/officeDocument/2006/relationships/hyperlink" Target="https://cdmt.cat/portal-de-transparencia/" TargetMode="External"/><Relationship Id="rId4" Type="http://schemas.openxmlformats.org/officeDocument/2006/relationships/hyperlink" Target="https://www.xal.cat/" TargetMode="External"/><Relationship Id="rId9" Type="http://schemas.openxmlformats.org/officeDocument/2006/relationships/hyperlink" Target="https://museusdesitges.cat/ca/el-consorci-del-patrimoni-de-sitges" TargetMode="External"/><Relationship Id="rId14" Type="http://schemas.openxmlformats.org/officeDocument/2006/relationships/hyperlink" Target="https://www.fundaciopalau.cat/la-fundac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D783-3DC6-4EBD-AB83-DB0895D62B46}">
  <dimension ref="A1:O24"/>
  <sheetViews>
    <sheetView workbookViewId="0">
      <pane ySplit="8" topLeftCell="B9" activePane="bottomLeft" state="frozen"/>
      <selection pane="bottomLeft" activeCell="B9" sqref="B9"/>
      <selection activeCell="B17" sqref="B17"/>
    </sheetView>
  </sheetViews>
  <sheetFormatPr defaultColWidth="11.42578125" defaultRowHeight="15"/>
  <cols>
    <col min="1" max="1" width="2.5703125" style="2" customWidth="1"/>
    <col min="2" max="2" width="125.85546875" style="49" customWidth="1"/>
    <col min="3" max="3" width="75.42578125" customWidth="1"/>
    <col min="4" max="4" width="29" customWidth="1"/>
    <col min="5" max="15" width="10.85546875" style="2"/>
  </cols>
  <sheetData>
    <row r="1" spans="1:10" s="24" customFormat="1">
      <c r="A1" s="23"/>
      <c r="B1" s="96"/>
      <c r="C1" s="23"/>
    </row>
    <row r="2" spans="1:10" s="24" customFormat="1" ht="41.45" customHeight="1">
      <c r="A2" s="23"/>
      <c r="B2" s="96"/>
      <c r="C2" s="23"/>
    </row>
    <row r="3" spans="1:10" s="24" customFormat="1">
      <c r="A3" s="23"/>
      <c r="B3" s="96"/>
      <c r="C3" s="23"/>
    </row>
    <row r="4" spans="1:10" s="27" customFormat="1" ht="18.75">
      <c r="A4" s="26"/>
      <c r="B4" s="97" t="s">
        <v>0</v>
      </c>
      <c r="C4" s="26"/>
    </row>
    <row r="5" spans="1:10" s="24" customFormat="1" ht="27.75">
      <c r="A5" s="23"/>
      <c r="B5" s="98" t="s">
        <v>1</v>
      </c>
      <c r="C5" s="23"/>
    </row>
    <row r="6" spans="1:10" s="24" customFormat="1">
      <c r="A6" s="23"/>
      <c r="B6" s="96"/>
      <c r="C6" s="23"/>
    </row>
    <row r="7" spans="1:10" s="24" customFormat="1" ht="14.45" customHeight="1">
      <c r="B7" s="99"/>
      <c r="J7" s="25"/>
    </row>
    <row r="8" spans="1:10" s="24" customFormat="1" ht="14.45" customHeight="1">
      <c r="B8" s="99"/>
      <c r="J8" s="25"/>
    </row>
    <row r="9" spans="1:10" s="2" customFormat="1">
      <c r="B9" s="132" t="s">
        <v>2</v>
      </c>
    </row>
    <row r="10" spans="1:10" s="2" customFormat="1">
      <c r="B10" s="100"/>
    </row>
    <row r="11" spans="1:10" s="2" customFormat="1">
      <c r="B11" s="100" t="s">
        <v>3</v>
      </c>
    </row>
    <row r="12" spans="1:10" s="2" customFormat="1">
      <c r="B12" s="100"/>
    </row>
    <row r="13" spans="1:10" s="2" customFormat="1" ht="29.25">
      <c r="B13" s="100" t="s">
        <v>4</v>
      </c>
    </row>
    <row r="14" spans="1:10" s="2" customFormat="1">
      <c r="B14" s="100"/>
    </row>
    <row r="15" spans="1:10" s="2" customFormat="1" ht="29.25">
      <c r="B15" s="103" t="s">
        <v>5</v>
      </c>
    </row>
    <row r="16" spans="1:10" s="2" customFormat="1">
      <c r="B16" s="100"/>
    </row>
    <row r="17" spans="2:2" s="2" customFormat="1" ht="29.25">
      <c r="B17" s="103" t="s">
        <v>6</v>
      </c>
    </row>
    <row r="18" spans="2:2" s="2" customFormat="1">
      <c r="B18" s="100"/>
    </row>
    <row r="19" spans="2:2" s="2" customFormat="1" ht="29.25">
      <c r="B19" s="103" t="s">
        <v>7</v>
      </c>
    </row>
    <row r="20" spans="2:2" s="2" customFormat="1">
      <c r="B20" s="100"/>
    </row>
    <row r="21" spans="2:2" s="2" customFormat="1" ht="30">
      <c r="B21" s="100" t="s">
        <v>8</v>
      </c>
    </row>
    <row r="22" spans="2:2" s="2" customFormat="1">
      <c r="B22" s="101"/>
    </row>
    <row r="23" spans="2:2" s="2" customFormat="1">
      <c r="B23" s="102" t="s">
        <v>9</v>
      </c>
    </row>
    <row r="24" spans="2:2" s="2" customFormat="1">
      <c r="B24" s="10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742B5-041A-41F5-9701-DC12F2B1426A}">
  <sheetPr>
    <tabColor rgb="FF00B050"/>
    <pageSetUpPr fitToPage="1"/>
  </sheetPr>
  <dimension ref="A1:G85"/>
  <sheetViews>
    <sheetView topLeftCell="B1" zoomScaleNormal="100" workbookViewId="0">
      <pane ySplit="4" topLeftCell="A61" activePane="bottomLeft" state="frozen"/>
      <selection pane="bottomLeft" activeCell="F68" sqref="F68"/>
    </sheetView>
  </sheetViews>
  <sheetFormatPr defaultColWidth="11.42578125" defaultRowHeight="15"/>
  <cols>
    <col min="1" max="1" width="2.5703125" style="37" customWidth="1"/>
    <col min="2" max="2" width="15.5703125" style="40" customWidth="1"/>
    <col min="3" max="3" width="34.42578125" style="40" customWidth="1"/>
    <col min="4" max="4" width="24.5703125" style="43" customWidth="1"/>
    <col min="5" max="5" width="30.28515625" style="40" customWidth="1"/>
    <col min="6" max="6" width="24.85546875" style="40" customWidth="1"/>
    <col min="7" max="7" width="56.85546875" style="43" customWidth="1"/>
    <col min="8" max="16384" width="11.42578125" style="40"/>
  </cols>
  <sheetData>
    <row r="1" spans="1:7" s="25" customFormat="1">
      <c r="A1" s="23"/>
      <c r="B1" s="23"/>
      <c r="C1" s="23"/>
      <c r="D1" s="41"/>
      <c r="G1" s="41"/>
    </row>
    <row r="2" spans="1:7" s="25" customFormat="1" ht="41.45" customHeight="1">
      <c r="A2" s="23"/>
      <c r="B2" s="23"/>
      <c r="C2" s="23"/>
      <c r="D2" s="41"/>
      <c r="G2" s="41"/>
    </row>
    <row r="3" spans="1:7" s="25" customFormat="1">
      <c r="A3" s="23"/>
      <c r="B3" s="23"/>
      <c r="C3" s="23"/>
      <c r="D3" s="41"/>
      <c r="G3" s="41"/>
    </row>
    <row r="4" spans="1:7" s="39" customFormat="1" ht="18.75">
      <c r="A4" s="26"/>
      <c r="B4" s="26" t="s">
        <v>10</v>
      </c>
      <c r="C4" s="26"/>
      <c r="D4" s="42"/>
      <c r="G4" s="42"/>
    </row>
    <row r="5" spans="1:7" s="39" customFormat="1" ht="18.75">
      <c r="A5" s="26"/>
      <c r="B5" s="26"/>
      <c r="C5" s="26"/>
      <c r="D5" s="42"/>
      <c r="G5" s="42"/>
    </row>
    <row r="6" spans="1:7" s="25" customFormat="1" ht="27.75">
      <c r="A6" s="23"/>
      <c r="B6" s="28" t="s">
        <v>11</v>
      </c>
      <c r="C6" s="23"/>
      <c r="D6" s="41"/>
      <c r="G6" s="41"/>
    </row>
    <row r="7" spans="1:7" s="25" customFormat="1">
      <c r="A7" s="23"/>
      <c r="B7" s="23"/>
      <c r="C7" s="23"/>
      <c r="D7" s="41"/>
      <c r="G7" s="41"/>
    </row>
    <row r="8" spans="1:7" s="37" customFormat="1" ht="18.75">
      <c r="B8" s="114" t="s">
        <v>12</v>
      </c>
      <c r="C8" s="112">
        <v>45716</v>
      </c>
      <c r="G8" s="38"/>
    </row>
    <row r="9" spans="1:7" s="37" customFormat="1" ht="18.75">
      <c r="B9" s="114" t="s">
        <v>13</v>
      </c>
      <c r="C9" s="113"/>
      <c r="D9" s="36"/>
      <c r="E9" s="35"/>
      <c r="G9" s="38"/>
    </row>
    <row r="10" spans="1:7" s="37" customFormat="1" ht="18.75">
      <c r="B10" s="114" t="s">
        <v>14</v>
      </c>
      <c r="C10" s="75" t="s">
        <v>15</v>
      </c>
      <c r="D10" s="38"/>
      <c r="G10" s="38"/>
    </row>
    <row r="11" spans="1:7" s="37" customFormat="1" ht="18.75">
      <c r="B11" s="114" t="str">
        <f>C10</f>
        <v>Ajuntament</v>
      </c>
      <c r="C11" s="75" t="s">
        <v>16</v>
      </c>
      <c r="D11" s="38"/>
      <c r="G11" s="38"/>
    </row>
    <row r="12" spans="1:7" s="37" customFormat="1" ht="18.75">
      <c r="B12" s="114" t="s">
        <v>17</v>
      </c>
      <c r="C12" s="75" t="s">
        <v>18</v>
      </c>
      <c r="D12" s="38"/>
      <c r="G12" s="38"/>
    </row>
    <row r="13" spans="1:7" s="37" customFormat="1">
      <c r="D13" s="38"/>
      <c r="G13" s="38"/>
    </row>
    <row r="14" spans="1:7" s="37" customFormat="1">
      <c r="D14" s="38"/>
      <c r="G14" s="38"/>
    </row>
    <row r="15" spans="1:7" s="39" customFormat="1" ht="18.75">
      <c r="A15" s="26"/>
      <c r="B15" s="26" t="s">
        <v>19</v>
      </c>
      <c r="C15" s="26"/>
      <c r="D15" s="42"/>
      <c r="G15" s="42"/>
    </row>
    <row r="16" spans="1:7" s="37" customFormat="1" ht="30">
      <c r="C16" s="104" t="s">
        <v>20</v>
      </c>
      <c r="D16" s="154" t="s">
        <v>21</v>
      </c>
      <c r="E16" s="154" t="s">
        <v>22</v>
      </c>
      <c r="F16" s="104" t="s">
        <v>23</v>
      </c>
      <c r="G16" s="104" t="s">
        <v>24</v>
      </c>
    </row>
    <row r="17" spans="3:7" s="37" customFormat="1">
      <c r="C17" s="158" t="s">
        <v>25</v>
      </c>
      <c r="D17" s="135"/>
      <c r="E17" s="137"/>
      <c r="F17" s="159"/>
      <c r="G17" s="47"/>
    </row>
    <row r="18" spans="3:7" s="37" customFormat="1">
      <c r="C18" s="158" t="s">
        <v>26</v>
      </c>
      <c r="D18" s="135"/>
      <c r="E18" s="137"/>
      <c r="F18" s="160"/>
      <c r="G18" s="140"/>
    </row>
    <row r="19" spans="3:7" s="37" customFormat="1" ht="87">
      <c r="C19" s="158" t="s">
        <v>27</v>
      </c>
      <c r="D19" s="135" t="s">
        <v>28</v>
      </c>
      <c r="E19" s="136" t="s">
        <v>29</v>
      </c>
      <c r="F19" s="149">
        <v>936931509</v>
      </c>
      <c r="G19" s="140" t="s">
        <v>30</v>
      </c>
    </row>
    <row r="20" spans="3:7" s="37" customFormat="1" ht="57.75">
      <c r="C20" s="48" t="s">
        <v>27</v>
      </c>
      <c r="D20" s="161" t="s">
        <v>31</v>
      </c>
      <c r="E20" s="162" t="s">
        <v>32</v>
      </c>
      <c r="F20" s="149">
        <v>674951891</v>
      </c>
      <c r="G20" s="140" t="s">
        <v>33</v>
      </c>
    </row>
    <row r="21" spans="3:7" s="37" customFormat="1" ht="29.25">
      <c r="C21" s="164" t="s">
        <v>25</v>
      </c>
      <c r="D21" s="147" t="s">
        <v>34</v>
      </c>
      <c r="E21" s="136" t="s">
        <v>35</v>
      </c>
      <c r="F21" s="149">
        <v>670961003</v>
      </c>
      <c r="G21" s="141" t="s">
        <v>36</v>
      </c>
    </row>
    <row r="22" spans="3:7" s="37" customFormat="1" ht="57.75">
      <c r="C22" s="138"/>
      <c r="D22" s="148" t="s">
        <v>37</v>
      </c>
      <c r="E22" s="136" t="s">
        <v>38</v>
      </c>
      <c r="F22" s="149">
        <v>607118371</v>
      </c>
      <c r="G22" s="142" t="s">
        <v>39</v>
      </c>
    </row>
    <row r="23" spans="3:7" s="37" customFormat="1" ht="101.25">
      <c r="C23" s="164" t="s">
        <v>27</v>
      </c>
      <c r="D23" s="148" t="s">
        <v>40</v>
      </c>
      <c r="E23" s="156" t="s">
        <v>41</v>
      </c>
      <c r="F23" s="157">
        <v>666530168</v>
      </c>
      <c r="G23" s="142" t="s">
        <v>42</v>
      </c>
    </row>
    <row r="24" spans="3:7" s="37" customFormat="1" ht="43.5">
      <c r="C24" s="138"/>
      <c r="D24" s="148" t="s">
        <v>43</v>
      </c>
      <c r="E24" s="145" t="s">
        <v>44</v>
      </c>
      <c r="F24" s="139">
        <v>637755094</v>
      </c>
      <c r="G24" s="142" t="s">
        <v>45</v>
      </c>
    </row>
    <row r="25" spans="3:7" s="37" customFormat="1" ht="72.75">
      <c r="C25" s="164" t="s">
        <v>25</v>
      </c>
      <c r="D25" s="148" t="s">
        <v>46</v>
      </c>
      <c r="E25" s="136" t="s">
        <v>47</v>
      </c>
      <c r="F25" s="139">
        <v>667470681</v>
      </c>
      <c r="G25" s="142" t="s">
        <v>48</v>
      </c>
    </row>
    <row r="26" spans="3:7" s="37" customFormat="1" ht="72.75">
      <c r="C26" s="164" t="s">
        <v>26</v>
      </c>
      <c r="D26" s="148" t="s">
        <v>49</v>
      </c>
      <c r="E26" s="145" t="s">
        <v>50</v>
      </c>
      <c r="F26" s="139">
        <v>936931500</v>
      </c>
      <c r="G26" s="142" t="s">
        <v>51</v>
      </c>
    </row>
    <row r="27" spans="3:7" s="37" customFormat="1" ht="29.25">
      <c r="C27" s="164" t="s">
        <v>25</v>
      </c>
      <c r="D27" s="148" t="s">
        <v>52</v>
      </c>
      <c r="E27" s="145" t="s">
        <v>53</v>
      </c>
      <c r="F27" s="165">
        <v>936931511</v>
      </c>
      <c r="G27" s="142" t="s">
        <v>54</v>
      </c>
    </row>
    <row r="28" spans="3:7" s="37" customFormat="1" ht="43.5">
      <c r="C28" s="164" t="s">
        <v>25</v>
      </c>
      <c r="D28" s="164" t="s">
        <v>55</v>
      </c>
      <c r="E28" s="144" t="s">
        <v>56</v>
      </c>
      <c r="F28" s="171">
        <v>936931502</v>
      </c>
      <c r="G28" s="142" t="s">
        <v>57</v>
      </c>
    </row>
    <row r="29" spans="3:7" s="37" customFormat="1" ht="29.25">
      <c r="C29" s="164" t="s">
        <v>25</v>
      </c>
      <c r="D29" s="164" t="s">
        <v>58</v>
      </c>
      <c r="E29" s="166" t="s">
        <v>59</v>
      </c>
      <c r="F29" s="143"/>
      <c r="G29" s="135" t="s">
        <v>60</v>
      </c>
    </row>
    <row r="30" spans="3:7" s="37" customFormat="1" ht="57.75">
      <c r="C30" s="164" t="s">
        <v>25</v>
      </c>
      <c r="D30" s="164" t="s">
        <v>61</v>
      </c>
      <c r="E30" s="144" t="s">
        <v>62</v>
      </c>
      <c r="F30" s="143"/>
      <c r="G30" s="135" t="s">
        <v>63</v>
      </c>
    </row>
    <row r="31" spans="3:7" s="37" customFormat="1" ht="33.75">
      <c r="C31" s="164" t="s">
        <v>27</v>
      </c>
      <c r="D31" s="172" t="s">
        <v>64</v>
      </c>
      <c r="E31" s="144" t="s">
        <v>65</v>
      </c>
      <c r="F31" s="143"/>
      <c r="G31" s="135" t="s">
        <v>66</v>
      </c>
    </row>
    <row r="32" spans="3:7" s="37" customFormat="1">
      <c r="C32" s="134"/>
      <c r="D32" s="164" t="s">
        <v>67</v>
      </c>
      <c r="E32" s="136"/>
      <c r="F32" s="143"/>
      <c r="G32" s="163" t="s">
        <v>68</v>
      </c>
    </row>
    <row r="33" spans="1:7" s="37" customFormat="1" ht="29.25">
      <c r="C33" s="134"/>
      <c r="D33" s="164" t="s">
        <v>69</v>
      </c>
      <c r="E33" s="136"/>
      <c r="F33" s="143"/>
      <c r="G33" s="135" t="s">
        <v>70</v>
      </c>
    </row>
    <row r="34" spans="1:7" s="37" customFormat="1" ht="43.5">
      <c r="C34" s="134"/>
      <c r="D34" s="164" t="s">
        <v>71</v>
      </c>
      <c r="E34" s="144" t="s">
        <v>72</v>
      </c>
      <c r="F34" s="137"/>
      <c r="G34" s="135" t="s">
        <v>73</v>
      </c>
    </row>
    <row r="35" spans="1:7" s="37" customFormat="1" ht="33.75">
      <c r="C35" s="134"/>
      <c r="D35" s="173" t="s">
        <v>74</v>
      </c>
      <c r="E35" s="144" t="s">
        <v>75</v>
      </c>
      <c r="F35" s="137"/>
      <c r="G35" s="135" t="s">
        <v>76</v>
      </c>
    </row>
    <row r="36" spans="1:7" s="37" customFormat="1">
      <c r="C36" s="8"/>
      <c r="D36" s="38"/>
      <c r="E36" s="133"/>
      <c r="G36" s="38"/>
    </row>
    <row r="37" spans="1:7" s="37" customFormat="1">
      <c r="C37" s="8"/>
      <c r="D37" s="38"/>
      <c r="E37" s="133"/>
      <c r="G37" s="38"/>
    </row>
    <row r="38" spans="1:7" s="37" customFormat="1">
      <c r="D38" s="38"/>
      <c r="G38" s="38"/>
    </row>
    <row r="39" spans="1:7" s="39" customFormat="1" ht="18.75">
      <c r="A39" s="26"/>
      <c r="B39" s="26" t="s">
        <v>77</v>
      </c>
      <c r="C39" s="26"/>
      <c r="D39" s="42"/>
      <c r="G39" s="42"/>
    </row>
    <row r="40" spans="1:7" s="37" customFormat="1" ht="30">
      <c r="C40" s="104" t="s">
        <v>78</v>
      </c>
      <c r="D40" s="104" t="s">
        <v>21</v>
      </c>
      <c r="E40" s="104" t="s">
        <v>22</v>
      </c>
      <c r="F40" s="104" t="s">
        <v>23</v>
      </c>
      <c r="G40" s="104" t="s">
        <v>24</v>
      </c>
    </row>
    <row r="41" spans="1:7" s="37" customFormat="1">
      <c r="C41" s="48" t="s">
        <v>79</v>
      </c>
      <c r="D41" s="47"/>
      <c r="E41" s="46"/>
      <c r="F41" s="46"/>
      <c r="G41" s="47"/>
    </row>
    <row r="42" spans="1:7" s="37" customFormat="1">
      <c r="C42" s="48" t="s">
        <v>80</v>
      </c>
      <c r="D42" s="47"/>
      <c r="E42" s="46"/>
      <c r="F42" s="46"/>
      <c r="G42" s="47"/>
    </row>
    <row r="43" spans="1:7" s="37" customFormat="1">
      <c r="C43" s="48" t="s">
        <v>81</v>
      </c>
      <c r="D43" s="47"/>
      <c r="E43" s="46"/>
      <c r="F43" s="46"/>
      <c r="G43" s="47"/>
    </row>
    <row r="44" spans="1:7" s="37" customFormat="1">
      <c r="C44" s="48" t="s">
        <v>82</v>
      </c>
      <c r="D44" s="47"/>
      <c r="E44" s="46"/>
      <c r="F44" s="46"/>
      <c r="G44" s="47"/>
    </row>
    <row r="45" spans="1:7" s="37" customFormat="1">
      <c r="C45" s="144" t="s">
        <v>83</v>
      </c>
      <c r="D45" s="47"/>
      <c r="E45" s="46"/>
      <c r="F45" s="46"/>
      <c r="G45" s="47"/>
    </row>
    <row r="46" spans="1:7" s="37" customFormat="1">
      <c r="C46" s="48"/>
      <c r="D46" s="47"/>
      <c r="E46" s="46"/>
      <c r="F46" s="46"/>
      <c r="G46" s="47"/>
    </row>
    <row r="47" spans="1:7" s="37" customFormat="1">
      <c r="C47" s="48"/>
      <c r="D47" s="47"/>
      <c r="E47" s="46"/>
      <c r="F47" s="46"/>
      <c r="G47" s="47"/>
    </row>
    <row r="48" spans="1:7" s="37" customFormat="1">
      <c r="C48" s="48"/>
      <c r="D48" s="47"/>
      <c r="E48" s="46"/>
      <c r="F48" s="46"/>
      <c r="G48" s="47"/>
    </row>
    <row r="49" spans="1:7" s="37" customFormat="1">
      <c r="C49" s="48"/>
      <c r="D49" s="47"/>
      <c r="E49" s="46"/>
      <c r="F49" s="46"/>
      <c r="G49" s="47"/>
    </row>
    <row r="50" spans="1:7" s="37" customFormat="1">
      <c r="D50" s="38"/>
      <c r="G50" s="38"/>
    </row>
    <row r="51" spans="1:7" s="39" customFormat="1" ht="18.75">
      <c r="A51" s="26"/>
      <c r="B51" s="26" t="s">
        <v>84</v>
      </c>
      <c r="C51" s="26"/>
      <c r="D51" s="42"/>
      <c r="G51" s="42"/>
    </row>
    <row r="52" spans="1:7" s="37" customFormat="1" ht="30">
      <c r="C52" s="104" t="s">
        <v>85</v>
      </c>
      <c r="D52" s="104" t="s">
        <v>21</v>
      </c>
      <c r="E52" s="154" t="s">
        <v>22</v>
      </c>
      <c r="F52" s="154" t="s">
        <v>23</v>
      </c>
      <c r="G52" s="104" t="s">
        <v>24</v>
      </c>
    </row>
    <row r="53" spans="1:7" s="37" customFormat="1">
      <c r="C53" s="48" t="s">
        <v>86</v>
      </c>
      <c r="D53" s="146" t="s">
        <v>87</v>
      </c>
      <c r="E53" s="137"/>
      <c r="F53" s="137"/>
      <c r="G53" s="140" t="s">
        <v>88</v>
      </c>
    </row>
    <row r="54" spans="1:7" s="37" customFormat="1">
      <c r="C54" s="48" t="s">
        <v>89</v>
      </c>
      <c r="D54" s="146" t="s">
        <v>87</v>
      </c>
      <c r="E54" s="137"/>
      <c r="F54" s="137"/>
      <c r="G54" s="140" t="s">
        <v>90</v>
      </c>
    </row>
    <row r="55" spans="1:7" s="37" customFormat="1">
      <c r="C55" s="48" t="s">
        <v>91</v>
      </c>
      <c r="D55" s="146" t="s">
        <v>92</v>
      </c>
      <c r="E55" s="145" t="s">
        <v>53</v>
      </c>
      <c r="F55" s="139">
        <v>936931511</v>
      </c>
      <c r="G55" s="140"/>
    </row>
    <row r="56" spans="1:7" s="37" customFormat="1">
      <c r="C56" s="48" t="s">
        <v>93</v>
      </c>
      <c r="D56" s="47" t="s">
        <v>94</v>
      </c>
      <c r="E56" s="155" t="s">
        <v>41</v>
      </c>
      <c r="F56" s="151"/>
      <c r="G56" s="47"/>
    </row>
    <row r="57" spans="1:7" s="37" customFormat="1">
      <c r="C57" s="48" t="s">
        <v>95</v>
      </c>
      <c r="D57" s="146" t="s">
        <v>96</v>
      </c>
      <c r="E57" s="145"/>
      <c r="F57" s="150"/>
      <c r="G57" s="47"/>
    </row>
    <row r="58" spans="1:7" s="37" customFormat="1">
      <c r="C58" s="48" t="s">
        <v>97</v>
      </c>
      <c r="D58" s="146" t="s">
        <v>98</v>
      </c>
      <c r="E58" s="145"/>
      <c r="F58" s="150"/>
      <c r="G58" s="47"/>
    </row>
    <row r="59" spans="1:7" s="37" customFormat="1">
      <c r="C59" s="48" t="s">
        <v>99</v>
      </c>
      <c r="D59" s="146" t="s">
        <v>79</v>
      </c>
      <c r="E59" s="145"/>
      <c r="F59" s="150"/>
      <c r="G59" s="47"/>
    </row>
    <row r="60" spans="1:7" s="37" customFormat="1">
      <c r="C60" s="48" t="s">
        <v>100</v>
      </c>
      <c r="D60" s="146" t="s">
        <v>79</v>
      </c>
      <c r="E60" s="145"/>
      <c r="F60" s="150"/>
      <c r="G60" s="47"/>
    </row>
    <row r="61" spans="1:7" s="37" customFormat="1">
      <c r="C61" s="48" t="s">
        <v>101</v>
      </c>
      <c r="D61" s="146" t="s">
        <v>102</v>
      </c>
      <c r="E61" s="137"/>
      <c r="F61" s="150"/>
      <c r="G61" s="47"/>
    </row>
    <row r="62" spans="1:7" s="37" customFormat="1">
      <c r="C62" s="48"/>
      <c r="D62" s="47"/>
      <c r="E62" s="151"/>
      <c r="F62" s="46"/>
      <c r="G62" s="47"/>
    </row>
    <row r="63" spans="1:7" s="37" customFormat="1">
      <c r="C63" s="48"/>
      <c r="D63" s="47"/>
      <c r="E63" s="46"/>
      <c r="F63" s="46"/>
      <c r="G63" s="47"/>
    </row>
    <row r="64" spans="1:7" s="37" customFormat="1">
      <c r="C64" s="48"/>
      <c r="D64" s="47"/>
      <c r="E64" s="46"/>
      <c r="F64" s="46"/>
      <c r="G64" s="47"/>
    </row>
    <row r="65" spans="1:7" s="37" customFormat="1">
      <c r="D65" s="38"/>
      <c r="G65" s="38"/>
    </row>
    <row r="66" spans="1:7" s="39" customFormat="1" ht="18.75">
      <c r="A66" s="26"/>
      <c r="B66" s="26" t="s">
        <v>103</v>
      </c>
      <c r="C66" s="26"/>
      <c r="D66" s="42"/>
      <c r="G66" s="42"/>
    </row>
    <row r="67" spans="1:7" s="37" customFormat="1" ht="30">
      <c r="C67" s="104" t="s">
        <v>104</v>
      </c>
      <c r="D67" s="104" t="s">
        <v>21</v>
      </c>
      <c r="E67" s="104" t="s">
        <v>22</v>
      </c>
      <c r="F67" s="104" t="s">
        <v>23</v>
      </c>
      <c r="G67" s="104" t="s">
        <v>24</v>
      </c>
    </row>
    <row r="68" spans="1:7" s="37" customFormat="1">
      <c r="C68" s="144" t="s">
        <v>105</v>
      </c>
      <c r="D68" s="164" t="s">
        <v>106</v>
      </c>
      <c r="E68" s="144" t="s">
        <v>29</v>
      </c>
      <c r="F68" s="164">
        <v>936931509</v>
      </c>
      <c r="G68" s="47"/>
    </row>
    <row r="69" spans="1:7" s="37" customFormat="1">
      <c r="C69" s="48"/>
      <c r="D69" s="47"/>
      <c r="E69" s="46"/>
      <c r="F69" s="46"/>
      <c r="G69" s="47"/>
    </row>
    <row r="70" spans="1:7" s="37" customFormat="1">
      <c r="C70" s="48"/>
      <c r="D70" s="47"/>
      <c r="E70" s="46"/>
      <c r="F70" s="46"/>
      <c r="G70" s="47"/>
    </row>
    <row r="71" spans="1:7" s="37" customFormat="1">
      <c r="C71" s="48"/>
      <c r="D71" s="47"/>
      <c r="E71" s="46"/>
      <c r="F71" s="46"/>
      <c r="G71" s="47"/>
    </row>
    <row r="72" spans="1:7" s="37" customFormat="1">
      <c r="C72" s="48"/>
      <c r="D72" s="47"/>
      <c r="E72" s="46"/>
      <c r="F72" s="46"/>
      <c r="G72" s="47"/>
    </row>
    <row r="73" spans="1:7" s="37" customFormat="1">
      <c r="D73" s="38"/>
      <c r="G73" s="38"/>
    </row>
    <row r="74" spans="1:7" s="39" customFormat="1" ht="18.75">
      <c r="A74" s="26"/>
      <c r="B74" s="26" t="s">
        <v>107</v>
      </c>
      <c r="C74" s="26"/>
      <c r="D74" s="42"/>
      <c r="G74" s="42"/>
    </row>
    <row r="75" spans="1:7" s="37" customFormat="1" ht="30">
      <c r="C75" s="104" t="s">
        <v>108</v>
      </c>
      <c r="D75" s="104" t="s">
        <v>21</v>
      </c>
      <c r="E75" s="104" t="s">
        <v>22</v>
      </c>
      <c r="F75" s="104" t="s">
        <v>23</v>
      </c>
      <c r="G75" s="104" t="s">
        <v>24</v>
      </c>
    </row>
    <row r="76" spans="1:7" s="37" customFormat="1">
      <c r="C76" s="48" t="s">
        <v>109</v>
      </c>
      <c r="D76" s="47"/>
      <c r="E76" s="46"/>
      <c r="F76" s="46"/>
      <c r="G76" s="47"/>
    </row>
    <row r="77" spans="1:7" s="37" customFormat="1">
      <c r="C77" s="48" t="s">
        <v>110</v>
      </c>
      <c r="D77" s="47"/>
      <c r="E77" s="46"/>
      <c r="F77" s="46"/>
      <c r="G77" s="47"/>
    </row>
    <row r="78" spans="1:7" s="37" customFormat="1">
      <c r="C78" s="48"/>
      <c r="D78" s="47"/>
      <c r="E78" s="46"/>
      <c r="F78" s="46"/>
      <c r="G78" s="47"/>
    </row>
    <row r="79" spans="1:7" s="37" customFormat="1">
      <c r="C79" s="48"/>
      <c r="D79" s="47"/>
      <c r="E79" s="46"/>
      <c r="F79" s="46"/>
      <c r="G79" s="47"/>
    </row>
    <row r="80" spans="1:7" s="37" customFormat="1">
      <c r="C80" s="48"/>
      <c r="D80" s="47"/>
      <c r="E80" s="46"/>
      <c r="F80" s="46"/>
      <c r="G80" s="47"/>
    </row>
    <row r="81" spans="4:7" s="37" customFormat="1">
      <c r="D81" s="38"/>
      <c r="G81" s="38"/>
    </row>
    <row r="82" spans="4:7" s="37" customFormat="1">
      <c r="D82" s="38"/>
      <c r="G82" s="38"/>
    </row>
    <row r="83" spans="4:7" s="37" customFormat="1">
      <c r="D83" s="38"/>
      <c r="G83" s="38"/>
    </row>
    <row r="84" spans="4:7" s="37" customFormat="1">
      <c r="D84" s="38"/>
      <c r="G84" s="38"/>
    </row>
    <row r="85" spans="4:7" s="37" customFormat="1">
      <c r="D85" s="38"/>
      <c r="G85" s="38"/>
    </row>
  </sheetData>
  <dataValidations count="5">
    <dataValidation type="date" operator="greaterThan" allowBlank="1" showInputMessage="1" showErrorMessage="1" sqref="C8" xr:uid="{B73920AE-A779-4488-9D8C-76E3D1A15952}">
      <formula1>44986</formula1>
    </dataValidation>
    <dataValidation type="list" allowBlank="1" showInputMessage="1" showErrorMessage="1" sqref="C12" xr:uid="{E6077B03-080F-4450-B0C4-1197881DFFDF}">
      <formula1>Àrea</formula1>
    </dataValidation>
    <dataValidation type="list" allowBlank="1" showInputMessage="1" showErrorMessage="1" sqref="C11" xr:uid="{CC38888C-EF83-407B-8BF2-F72522D40EBE}">
      <formula1>INDIRECT($C$10)</formula1>
    </dataValidation>
    <dataValidation type="list" allowBlank="1" showInputMessage="1" showErrorMessage="1" sqref="C10" xr:uid="{81BD5829-815C-46B4-8062-EA6C6F1C8F44}">
      <formula1>Tipus</formula1>
    </dataValidation>
    <dataValidation type="list" allowBlank="1" showInputMessage="1" showErrorMessage="1" sqref="C22 C24 C17:C20 C32:C37" xr:uid="{EA2E71AE-B557-465B-B6AB-AB53CEB2FCC2}">
      <formula1>Rols</formula1>
    </dataValidation>
  </dataValidations>
  <hyperlinks>
    <hyperlink ref="E19" r:id="rId1" xr:uid="{593FDFB7-3142-417A-BAD4-FCCA7BD26D7A}"/>
    <hyperlink ref="E20" r:id="rId2" xr:uid="{66108C0F-01B8-46BE-9E68-CACA4301403B}"/>
    <hyperlink ref="E21" r:id="rId3" xr:uid="{F9F33857-1278-4403-B4A4-1F7899A1B134}"/>
    <hyperlink ref="E22" r:id="rId4" xr:uid="{46189E9D-7CF9-4ED3-A39A-FA29C3C57110}"/>
    <hyperlink ref="E23" r:id="rId5" xr:uid="{41B168C8-D582-4E8E-9796-97B4D4E707AD}"/>
    <hyperlink ref="E24" r:id="rId6" xr:uid="{D42E58B5-9A77-4D13-B041-DD0FC3A85DDC}"/>
    <hyperlink ref="E25" r:id="rId7" xr:uid="{D67E49DB-C013-4A03-9A9E-72B07CF9661F}"/>
    <hyperlink ref="E26" r:id="rId8" xr:uid="{1543F6A0-FBDC-4DEA-AFDF-541CB23AC8CD}"/>
    <hyperlink ref="E27" r:id="rId9" xr:uid="{E8F01701-DD7D-4B3C-9EE3-DE59F06D9EAE}"/>
    <hyperlink ref="E55" r:id="rId10" xr:uid="{E1604F5C-1629-470F-B4B5-F1A7427CC402}"/>
    <hyperlink ref="E56" r:id="rId11" xr:uid="{5B596434-AF7B-4190-B32A-A1D7D5FBB6D6}"/>
    <hyperlink ref="C68" r:id="rId12" xr:uid="{7861F182-068C-4812-AC14-3B980FFB83AC}"/>
    <hyperlink ref="C45" r:id="rId13" xr:uid="{BE1740E6-109B-477B-AB90-594D77094AB5}"/>
    <hyperlink ref="E28" r:id="rId14" xr:uid="{71AF1B4E-6513-480C-9D6F-CC3257475EFC}"/>
    <hyperlink ref="E29" r:id="rId15" xr:uid="{293C7126-E48E-409A-A6D6-CFF5DDDF7F20}"/>
    <hyperlink ref="E30" r:id="rId16" xr:uid="{B2A18817-D31D-4126-B0AE-EC8BB1FBF199}"/>
    <hyperlink ref="E31" r:id="rId17" xr:uid="{5038AFA3-1684-4CB4-9D33-629DE9018E4A}"/>
    <hyperlink ref="E35" r:id="rId18" xr:uid="{A87DD565-14F5-4437-B81B-671228D762EE}"/>
    <hyperlink ref="E34" r:id="rId19" xr:uid="{298BF839-91FD-4FB3-99A8-A9B837B95B2A}"/>
    <hyperlink ref="E68" r:id="rId20" xr:uid="{AC356F42-6D09-428C-94DF-BEEA3F2C9E6A}"/>
  </hyperlinks>
  <pageMargins left="0.7" right="0.7" top="0.75" bottom="0.75" header="0.3" footer="0.3"/>
  <pageSetup paperSize="9" orientation="landscape" verticalDpi="0" r:id="rId21"/>
  <colBreaks count="1" manualBreakCount="1">
    <brk id="7" max="1048575" man="1"/>
  </colBreaks>
  <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401F7-8B4D-47A0-8CAE-38DF3DD81D2E}">
  <sheetPr>
    <tabColor rgb="FF00B050"/>
  </sheetPr>
  <dimension ref="A1:N22"/>
  <sheetViews>
    <sheetView zoomScale="111" zoomScaleNormal="145" workbookViewId="0">
      <pane xSplit="2" ySplit="6" topLeftCell="D7" activePane="bottomRight" state="frozen"/>
      <selection pane="bottomRight" activeCell="H14" sqref="H14"/>
      <selection pane="bottomLeft" activeCell="L20" sqref="L20:L21"/>
      <selection pane="topRight" activeCell="L20" sqref="L20:L21"/>
    </sheetView>
  </sheetViews>
  <sheetFormatPr defaultColWidth="11.42578125" defaultRowHeight="15"/>
  <cols>
    <col min="1" max="1" width="2.5703125" style="37" customWidth="1"/>
    <col min="2" max="2" width="20.42578125" style="40" customWidth="1"/>
    <col min="3" max="3" width="47.42578125" style="40" customWidth="1"/>
    <col min="4" max="4" width="12.140625" style="43" customWidth="1"/>
    <col min="5" max="5" width="63.85546875" style="40" customWidth="1"/>
    <col min="6" max="6" width="56.28515625" style="40" customWidth="1"/>
    <col min="7" max="7" width="64" style="40" customWidth="1"/>
    <col min="8" max="8" width="27.140625" style="40" customWidth="1"/>
    <col min="9" max="9" width="35" style="40" customWidth="1"/>
    <col min="10" max="10" width="27.42578125" style="40" customWidth="1"/>
    <col min="11" max="11" width="27.140625" style="40" customWidth="1"/>
    <col min="12" max="12" width="35" style="40" customWidth="1"/>
    <col min="13" max="13" width="27.42578125" style="40" customWidth="1"/>
    <col min="14" max="16384" width="11.42578125" style="40"/>
  </cols>
  <sheetData>
    <row r="1" spans="1:14" s="25" customFormat="1">
      <c r="A1" s="23"/>
      <c r="B1" s="23"/>
      <c r="C1" s="23"/>
      <c r="D1" s="41"/>
      <c r="G1" s="41"/>
    </row>
    <row r="2" spans="1:14" s="25" customFormat="1">
      <c r="A2" s="23"/>
      <c r="B2" s="23"/>
      <c r="C2" s="23"/>
      <c r="D2" s="41"/>
      <c r="G2" s="41"/>
    </row>
    <row r="3" spans="1:14" s="25" customFormat="1">
      <c r="A3" s="23"/>
      <c r="B3" s="23"/>
      <c r="D3" s="41"/>
      <c r="G3" s="41"/>
    </row>
    <row r="4" spans="1:14" s="2" customFormat="1" ht="27" thickBot="1">
      <c r="B4" s="3" t="s">
        <v>111</v>
      </c>
      <c r="C4" s="3"/>
      <c r="D4" s="3"/>
      <c r="E4" s="3"/>
      <c r="F4" s="3"/>
      <c r="G4" s="3"/>
      <c r="H4" s="3"/>
      <c r="I4" s="3"/>
      <c r="J4" s="3"/>
      <c r="K4" s="3"/>
      <c r="L4" s="3"/>
      <c r="M4" s="3"/>
    </row>
    <row r="5" spans="1:14" s="67" customFormat="1" ht="15.75" thickTop="1">
      <c r="A5" s="65"/>
      <c r="B5" s="65"/>
      <c r="C5" s="65"/>
      <c r="D5" s="66"/>
      <c r="G5" s="65"/>
    </row>
    <row r="6" spans="1:14" s="64" customFormat="1" ht="45">
      <c r="B6" s="104" t="s">
        <v>112</v>
      </c>
      <c r="C6" s="105" t="s">
        <v>113</v>
      </c>
      <c r="D6" s="104" t="s">
        <v>114</v>
      </c>
      <c r="E6" s="104" t="s">
        <v>115</v>
      </c>
      <c r="F6" s="104" t="s">
        <v>116</v>
      </c>
      <c r="G6" s="105" t="s">
        <v>117</v>
      </c>
      <c r="H6" s="104" t="s">
        <v>118</v>
      </c>
      <c r="I6" s="104" t="s">
        <v>119</v>
      </c>
      <c r="J6" s="104" t="s">
        <v>120</v>
      </c>
      <c r="K6" s="104" t="s">
        <v>121</v>
      </c>
      <c r="L6" s="104" t="s">
        <v>122</v>
      </c>
      <c r="M6" s="104" t="s">
        <v>123</v>
      </c>
    </row>
    <row r="7" spans="1:14" s="68" customFormat="1" ht="29.25">
      <c r="B7" s="164" t="s">
        <v>124</v>
      </c>
      <c r="C7" s="107" t="s">
        <v>125</v>
      </c>
      <c r="D7" s="108" t="s">
        <v>126</v>
      </c>
      <c r="E7" s="109"/>
      <c r="F7" s="107" t="s">
        <v>127</v>
      </c>
      <c r="G7" s="107" t="s">
        <v>128</v>
      </c>
      <c r="H7" s="110" t="s">
        <v>129</v>
      </c>
      <c r="I7" s="111" t="s">
        <v>130</v>
      </c>
      <c r="J7" s="110" t="s">
        <v>131</v>
      </c>
      <c r="K7" s="110" t="s">
        <v>132</v>
      </c>
      <c r="L7" s="111" t="s">
        <v>132</v>
      </c>
      <c r="M7" s="110" t="s">
        <v>132</v>
      </c>
      <c r="N7" s="68" t="s">
        <v>133</v>
      </c>
    </row>
    <row r="8" spans="1:14" s="68" customFormat="1" ht="33.75">
      <c r="B8" s="164" t="s">
        <v>134</v>
      </c>
      <c r="C8" s="107" t="s">
        <v>135</v>
      </c>
      <c r="D8" s="108" t="s">
        <v>136</v>
      </c>
      <c r="E8" s="109" t="s">
        <v>134</v>
      </c>
      <c r="F8" s="152" t="s">
        <v>137</v>
      </c>
      <c r="G8" s="173" t="s">
        <v>138</v>
      </c>
      <c r="H8" s="110" t="s">
        <v>139</v>
      </c>
      <c r="I8" s="110"/>
      <c r="J8" s="110"/>
      <c r="K8" s="110"/>
      <c r="L8" s="110"/>
      <c r="M8" s="110"/>
      <c r="N8" s="68" t="s">
        <v>140</v>
      </c>
    </row>
    <row r="9" spans="1:14" s="68" customFormat="1" ht="29.25">
      <c r="B9" s="164" t="s">
        <v>141</v>
      </c>
      <c r="C9" s="68" t="s">
        <v>142</v>
      </c>
      <c r="D9" s="108" t="s">
        <v>136</v>
      </c>
      <c r="E9" s="109" t="s">
        <v>143</v>
      </c>
      <c r="F9" s="107" t="s">
        <v>134</v>
      </c>
      <c r="G9" s="107" t="s">
        <v>144</v>
      </c>
      <c r="H9" s="110" t="s">
        <v>145</v>
      </c>
      <c r="I9" s="110"/>
      <c r="J9" s="110"/>
      <c r="K9" s="68" t="s">
        <v>146</v>
      </c>
      <c r="L9" s="68" t="s">
        <v>146</v>
      </c>
      <c r="M9" s="68" t="s">
        <v>146</v>
      </c>
    </row>
    <row r="10" spans="1:14" s="68" customFormat="1" ht="87">
      <c r="B10" s="164" t="s">
        <v>147</v>
      </c>
      <c r="C10" s="107" t="s">
        <v>148</v>
      </c>
      <c r="D10" s="108" t="s">
        <v>136</v>
      </c>
      <c r="E10" s="109" t="s">
        <v>147</v>
      </c>
      <c r="F10" s="107" t="s">
        <v>143</v>
      </c>
      <c r="G10" s="107" t="s">
        <v>144</v>
      </c>
      <c r="H10" s="110" t="s">
        <v>149</v>
      </c>
      <c r="I10" s="144" t="s">
        <v>150</v>
      </c>
      <c r="J10" s="110" t="s">
        <v>151</v>
      </c>
      <c r="K10" s="164" t="s">
        <v>132</v>
      </c>
      <c r="L10" s="164" t="s">
        <v>132</v>
      </c>
      <c r="M10" s="164" t="s">
        <v>132</v>
      </c>
    </row>
    <row r="11" spans="1:14" s="68" customFormat="1" ht="97.5" customHeight="1">
      <c r="B11" s="164" t="s">
        <v>152</v>
      </c>
      <c r="C11" s="107" t="s">
        <v>153</v>
      </c>
      <c r="D11" s="108" t="s">
        <v>136</v>
      </c>
      <c r="E11" s="109" t="s">
        <v>154</v>
      </c>
      <c r="F11" s="107" t="s">
        <v>147</v>
      </c>
      <c r="G11" s="68" t="s">
        <v>155</v>
      </c>
      <c r="H11" s="110" t="s">
        <v>149</v>
      </c>
      <c r="I11" s="144" t="s">
        <v>150</v>
      </c>
      <c r="J11" s="110" t="s">
        <v>151</v>
      </c>
      <c r="K11" s="164" t="s">
        <v>156</v>
      </c>
      <c r="L11" s="164" t="s">
        <v>156</v>
      </c>
      <c r="M11" s="164" t="s">
        <v>156</v>
      </c>
    </row>
    <row r="12" spans="1:14" s="68" customFormat="1" ht="57.75">
      <c r="B12" s="164" t="s">
        <v>157</v>
      </c>
      <c r="C12" s="107" t="s">
        <v>158</v>
      </c>
      <c r="D12" s="108" t="s">
        <v>126</v>
      </c>
      <c r="F12" s="109" t="s">
        <v>154</v>
      </c>
      <c r="G12" s="107" t="s">
        <v>159</v>
      </c>
      <c r="H12" s="110" t="s">
        <v>160</v>
      </c>
      <c r="I12" s="153" t="s">
        <v>161</v>
      </c>
      <c r="J12" s="110" t="s">
        <v>151</v>
      </c>
      <c r="K12" s="173" t="s">
        <v>162</v>
      </c>
      <c r="L12" s="110"/>
      <c r="M12" s="110"/>
    </row>
    <row r="13" spans="1:14" s="68" customFormat="1" ht="33.75">
      <c r="B13" s="164" t="s">
        <v>163</v>
      </c>
      <c r="C13" s="107"/>
      <c r="D13" s="108" t="s">
        <v>126</v>
      </c>
      <c r="E13" s="164" t="s">
        <v>163</v>
      </c>
      <c r="F13" s="107" t="s">
        <v>164</v>
      </c>
      <c r="G13" s="107" t="s">
        <v>165</v>
      </c>
      <c r="H13" s="110" t="s">
        <v>166</v>
      </c>
      <c r="I13" s="110"/>
      <c r="J13" s="110"/>
      <c r="K13" s="173" t="s">
        <v>162</v>
      </c>
      <c r="L13" s="110"/>
      <c r="M13" s="110"/>
    </row>
    <row r="14" spans="1:14" s="68" customFormat="1" ht="33.75">
      <c r="B14" s="164" t="s">
        <v>167</v>
      </c>
      <c r="C14" s="107"/>
      <c r="D14" s="108" t="s">
        <v>126</v>
      </c>
      <c r="E14" s="164" t="s">
        <v>167</v>
      </c>
      <c r="F14" s="107" t="s">
        <v>168</v>
      </c>
      <c r="G14" s="107" t="s">
        <v>169</v>
      </c>
      <c r="H14" s="110" t="s">
        <v>170</v>
      </c>
      <c r="I14" s="110"/>
      <c r="J14" s="110"/>
      <c r="K14" s="173" t="s">
        <v>162</v>
      </c>
      <c r="L14" s="110"/>
      <c r="M14" s="110"/>
    </row>
    <row r="15" spans="1:14" s="68" customFormat="1" ht="50.25">
      <c r="B15" s="164" t="s">
        <v>171</v>
      </c>
      <c r="C15" s="107"/>
      <c r="D15" s="108" t="s">
        <v>136</v>
      </c>
      <c r="E15" s="173" t="s">
        <v>172</v>
      </c>
      <c r="F15" s="107" t="s">
        <v>173</v>
      </c>
      <c r="G15" s="107" t="s">
        <v>174</v>
      </c>
      <c r="H15" s="110" t="s">
        <v>175</v>
      </c>
      <c r="I15" s="110"/>
      <c r="J15" s="110"/>
      <c r="K15" s="110"/>
      <c r="L15" s="110"/>
      <c r="M15" s="110"/>
    </row>
    <row r="16" spans="1:14" s="68" customFormat="1">
      <c r="B16" s="164" t="s">
        <v>176</v>
      </c>
      <c r="C16" s="107"/>
      <c r="D16" s="108" t="s">
        <v>126</v>
      </c>
      <c r="E16" s="164" t="s">
        <v>177</v>
      </c>
      <c r="F16" s="107" t="s">
        <v>178</v>
      </c>
      <c r="G16" s="164" t="s">
        <v>179</v>
      </c>
      <c r="H16" s="110" t="s">
        <v>129</v>
      </c>
      <c r="I16" s="110"/>
      <c r="J16" s="110"/>
      <c r="K16" s="110"/>
      <c r="L16" s="110"/>
      <c r="M16" s="110"/>
    </row>
    <row r="17" spans="2:13" s="68" customFormat="1" ht="29.25">
      <c r="B17" s="164" t="s">
        <v>180</v>
      </c>
      <c r="C17" s="107"/>
      <c r="D17" s="108" t="s">
        <v>136</v>
      </c>
      <c r="E17" s="109" t="s">
        <v>181</v>
      </c>
      <c r="F17" s="107" t="s">
        <v>178</v>
      </c>
      <c r="G17" s="164" t="s">
        <v>182</v>
      </c>
      <c r="H17" s="164" t="s">
        <v>182</v>
      </c>
      <c r="I17" s="110"/>
      <c r="J17" s="110"/>
      <c r="K17" s="110"/>
      <c r="L17" s="110"/>
      <c r="M17" s="110"/>
    </row>
    <row r="18" spans="2:13" s="68" customFormat="1" ht="33.75">
      <c r="B18" s="106" t="s">
        <v>183</v>
      </c>
      <c r="C18" s="107"/>
      <c r="D18" s="108" t="s">
        <v>136</v>
      </c>
      <c r="E18" s="173" t="s">
        <v>184</v>
      </c>
      <c r="F18" s="107" t="s">
        <v>185</v>
      </c>
      <c r="G18" s="164" t="s">
        <v>155</v>
      </c>
      <c r="H18" s="164" t="s">
        <v>155</v>
      </c>
      <c r="I18" s="110"/>
      <c r="J18" s="110"/>
      <c r="K18" s="110"/>
      <c r="L18" s="110"/>
      <c r="M18" s="110"/>
    </row>
    <row r="19" spans="2:13" s="68" customFormat="1">
      <c r="B19" s="164" t="s">
        <v>186</v>
      </c>
      <c r="C19" s="107"/>
      <c r="D19" s="108" t="s">
        <v>136</v>
      </c>
      <c r="E19" s="164" t="s">
        <v>187</v>
      </c>
      <c r="F19" s="107" t="s">
        <v>188</v>
      </c>
      <c r="G19" s="107" t="s">
        <v>186</v>
      </c>
      <c r="H19" s="107" t="s">
        <v>186</v>
      </c>
      <c r="I19" s="110"/>
      <c r="J19" s="110"/>
      <c r="K19" s="110"/>
      <c r="L19" s="110"/>
      <c r="M19" s="110"/>
    </row>
    <row r="20" spans="2:13" s="68" customFormat="1">
      <c r="B20" s="164" t="s">
        <v>189</v>
      </c>
      <c r="C20" s="107"/>
      <c r="D20" s="108" t="s">
        <v>136</v>
      </c>
      <c r="E20" s="164" t="s">
        <v>89</v>
      </c>
      <c r="F20" s="107" t="s">
        <v>190</v>
      </c>
      <c r="G20" s="107" t="s">
        <v>191</v>
      </c>
      <c r="H20" s="107" t="s">
        <v>191</v>
      </c>
      <c r="I20" s="110"/>
      <c r="J20" s="110"/>
      <c r="K20" s="110"/>
      <c r="L20" s="110"/>
      <c r="M20" s="110"/>
    </row>
    <row r="21" spans="2:13" s="68" customFormat="1">
      <c r="B21" s="106"/>
      <c r="C21" s="107"/>
      <c r="D21" s="108"/>
      <c r="E21" s="109"/>
      <c r="F21" s="107"/>
      <c r="G21" s="107"/>
      <c r="H21" s="110"/>
      <c r="I21" s="110"/>
      <c r="J21" s="110"/>
      <c r="K21" s="110"/>
      <c r="L21" s="110"/>
      <c r="M21" s="110"/>
    </row>
    <row r="22" spans="2:13" s="68" customFormat="1">
      <c r="B22" s="106"/>
      <c r="C22" s="107"/>
      <c r="D22" s="108"/>
      <c r="E22" s="109"/>
      <c r="F22" s="107"/>
      <c r="G22" s="107"/>
      <c r="H22" s="110"/>
      <c r="I22" s="110"/>
      <c r="J22" s="110"/>
      <c r="K22" s="110"/>
      <c r="L22" s="110"/>
      <c r="M22" s="110"/>
    </row>
  </sheetData>
  <dataValidations count="1">
    <dataValidation type="list" allowBlank="1" showInputMessage="1" showErrorMessage="1" sqref="D7:D22" xr:uid="{53B24C19-1FA0-4B92-A213-92E6E6C04FF6}">
      <formula1>"Si,No"</formula1>
    </dataValidation>
  </dataValidations>
  <hyperlinks>
    <hyperlink ref="I10" r:id="rId1" xr:uid="{81CF8B4B-A583-4C4E-A12F-BAC1B530F038}"/>
    <hyperlink ref="I11" r:id="rId2" xr:uid="{31328A4F-0E7F-4143-A4B0-B768888E0FA8}"/>
    <hyperlink ref="I12" r:id="rId3" xr:uid="{A737741F-9502-419D-B157-8C6C16FAB1F6}"/>
  </hyperlinks>
  <pageMargins left="0.70866141732283472" right="0.70866141732283472" top="0.74803149606299213" bottom="0.74803149606299213" header="0.31496062992125984" footer="0.31496062992125984"/>
  <pageSetup paperSize="9" scale="38" orientation="landscape"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3FE5-F42A-4473-9074-355E28DAC53B}">
  <sheetPr>
    <tabColor rgb="FFFF0000"/>
  </sheetPr>
  <dimension ref="A1:F9"/>
  <sheetViews>
    <sheetView workbookViewId="0">
      <selection activeCell="B34" sqref="B34"/>
    </sheetView>
  </sheetViews>
  <sheetFormatPr defaultRowHeight="15"/>
  <cols>
    <col min="1" max="1" width="29.7109375" customWidth="1"/>
    <col min="2" max="3" width="38.7109375" customWidth="1"/>
    <col min="4" max="4" width="20.5703125" customWidth="1"/>
    <col min="5" max="5" width="46.28515625" customWidth="1"/>
    <col min="6" max="6" width="32.85546875" customWidth="1"/>
  </cols>
  <sheetData>
    <row r="1" spans="1:6" ht="27" thickBot="1">
      <c r="A1" s="3" t="s">
        <v>192</v>
      </c>
      <c r="B1" s="3"/>
      <c r="C1" s="3"/>
      <c r="D1" s="3"/>
      <c r="E1" s="3"/>
      <c r="F1" s="3"/>
    </row>
    <row r="2" spans="1:6" ht="15.75" thickTop="1">
      <c r="A2" s="65"/>
      <c r="B2" s="65"/>
      <c r="C2" s="65"/>
      <c r="D2" s="66"/>
      <c r="E2" s="67"/>
      <c r="F2" s="67"/>
    </row>
    <row r="3" spans="1:6">
      <c r="A3" s="104" t="s">
        <v>193</v>
      </c>
      <c r="B3" s="105" t="s">
        <v>117</v>
      </c>
      <c r="C3" s="105" t="s">
        <v>194</v>
      </c>
      <c r="D3" s="104" t="s">
        <v>195</v>
      </c>
      <c r="E3" s="104" t="s">
        <v>196</v>
      </c>
      <c r="F3" s="104" t="s">
        <v>115</v>
      </c>
    </row>
    <row r="4" spans="1:6">
      <c r="A4" s="106"/>
      <c r="B4" s="107"/>
      <c r="C4" s="107"/>
      <c r="D4" s="108"/>
      <c r="E4" s="109"/>
      <c r="F4" s="107"/>
    </row>
    <row r="5" spans="1:6">
      <c r="A5" s="106"/>
      <c r="B5" s="107"/>
      <c r="C5" s="107"/>
      <c r="D5" s="108"/>
      <c r="E5" s="109"/>
      <c r="F5" s="107"/>
    </row>
    <row r="6" spans="1:6">
      <c r="A6" s="106"/>
      <c r="B6" s="107"/>
      <c r="C6" s="107"/>
      <c r="D6" s="108"/>
      <c r="E6" s="109"/>
      <c r="F6" s="107"/>
    </row>
    <row r="7" spans="1:6">
      <c r="A7" s="106"/>
      <c r="B7" s="107"/>
      <c r="C7" s="107"/>
      <c r="D7" s="108"/>
      <c r="E7" s="109"/>
      <c r="F7" s="107"/>
    </row>
    <row r="8" spans="1:6">
      <c r="A8" s="106"/>
      <c r="B8" s="107"/>
      <c r="C8" s="107"/>
      <c r="D8" s="108"/>
      <c r="E8" s="109"/>
      <c r="F8" s="107"/>
    </row>
    <row r="9" spans="1:6">
      <c r="A9" s="106"/>
      <c r="B9" s="107"/>
      <c r="C9" s="107"/>
      <c r="D9" s="108"/>
      <c r="E9" s="109"/>
      <c r="F9" s="10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50AA29-5548-4398-85AC-EE35B9759C9D}">
          <x14:formula1>
            <xm:f>Llistes!$P$3:$P$10</xm:f>
          </x14:formula1>
          <xm:sqref>C4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0444-76B6-4DD4-8F11-6B872EDC15FE}">
  <sheetPr>
    <tabColor rgb="FFFF0000"/>
  </sheetPr>
  <dimension ref="A1:D12"/>
  <sheetViews>
    <sheetView workbookViewId="0">
      <selection activeCell="A5" sqref="A5:C7"/>
    </sheetView>
  </sheetViews>
  <sheetFormatPr defaultRowHeight="15"/>
  <cols>
    <col min="1" max="1" width="51.85546875" customWidth="1"/>
    <col min="2" max="2" width="23.5703125" customWidth="1"/>
    <col min="4" max="4" width="24.28515625" customWidth="1"/>
  </cols>
  <sheetData>
    <row r="1" spans="1:4" ht="21">
      <c r="A1" s="131" t="s">
        <v>197</v>
      </c>
    </row>
    <row r="2" spans="1:4" ht="30">
      <c r="A2" s="104" t="s">
        <v>198</v>
      </c>
      <c r="B2" s="105" t="s">
        <v>117</v>
      </c>
      <c r="C2" s="105" t="s">
        <v>199</v>
      </c>
      <c r="D2" s="104" t="s">
        <v>24</v>
      </c>
    </row>
    <row r="3" spans="1:4">
      <c r="A3" s="106"/>
      <c r="B3" s="107"/>
      <c r="C3" s="107"/>
      <c r="D3" s="108"/>
    </row>
    <row r="5" spans="1:4" ht="21">
      <c r="A5" s="131" t="s">
        <v>200</v>
      </c>
    </row>
    <row r="6" spans="1:4" ht="30">
      <c r="A6" s="104" t="s">
        <v>201</v>
      </c>
      <c r="B6" s="105" t="s">
        <v>202</v>
      </c>
      <c r="C6" s="105" t="s">
        <v>203</v>
      </c>
    </row>
    <row r="7" spans="1:4">
      <c r="A7" s="106"/>
      <c r="B7" s="107"/>
      <c r="C7" s="107"/>
    </row>
    <row r="9" spans="1:4" ht="21">
      <c r="A9" s="131" t="s">
        <v>204</v>
      </c>
    </row>
    <row r="11" spans="1:4">
      <c r="A11" s="104" t="s">
        <v>205</v>
      </c>
      <c r="B11" s="105" t="s">
        <v>206</v>
      </c>
      <c r="C11" s="105" t="s">
        <v>207</v>
      </c>
    </row>
    <row r="12" spans="1:4">
      <c r="A12" s="106"/>
      <c r="B12" s="107"/>
      <c r="C12" s="10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0AD9-8CBF-48F1-9D07-144BE6BD08D3}">
  <sheetPr>
    <tabColor rgb="FFFF0000"/>
  </sheetPr>
  <dimension ref="A1:C3"/>
  <sheetViews>
    <sheetView workbookViewId="0">
      <selection sqref="A1:C4"/>
    </sheetView>
  </sheetViews>
  <sheetFormatPr defaultRowHeight="15"/>
  <cols>
    <col min="1" max="1" width="33" customWidth="1"/>
  </cols>
  <sheetData>
    <row r="1" spans="1:3" ht="21">
      <c r="A1" s="131" t="s">
        <v>208</v>
      </c>
    </row>
    <row r="2" spans="1:3">
      <c r="A2" s="104" t="s">
        <v>209</v>
      </c>
      <c r="B2" s="105" t="s">
        <v>210</v>
      </c>
      <c r="C2" s="105" t="s">
        <v>211</v>
      </c>
    </row>
    <row r="3" spans="1:3">
      <c r="A3" s="106"/>
      <c r="B3" s="107"/>
      <c r="C3"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20F7-C7B9-44BA-A3C0-35AD11045DBB}">
  <sheetPr>
    <tabColor rgb="FFFF0000"/>
  </sheetPr>
  <dimension ref="A9:C11"/>
  <sheetViews>
    <sheetView topLeftCell="A8" workbookViewId="0">
      <selection activeCell="D31" sqref="D31"/>
    </sheetView>
  </sheetViews>
  <sheetFormatPr defaultRowHeight="15"/>
  <cols>
    <col min="1" max="1" width="29.5703125" customWidth="1"/>
    <col min="2" max="2" width="52.42578125" customWidth="1"/>
  </cols>
  <sheetData>
    <row r="9" spans="1:3" ht="21">
      <c r="A9" s="131" t="s">
        <v>208</v>
      </c>
    </row>
    <row r="10" spans="1:3">
      <c r="A10" s="104" t="s">
        <v>212</v>
      </c>
      <c r="B10" s="105" t="s">
        <v>115</v>
      </c>
      <c r="C10" s="105" t="s">
        <v>213</v>
      </c>
    </row>
    <row r="11" spans="1:3">
      <c r="A11" s="106"/>
      <c r="B11" s="107"/>
      <c r="C11" s="10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1E1E7-DF2D-47F0-95EA-DF30A09EA956}">
  <sheetPr>
    <tabColor rgb="FF00B050"/>
    <pageSetUpPr fitToPage="1"/>
  </sheetPr>
  <dimension ref="B1:AB37"/>
  <sheetViews>
    <sheetView zoomScale="85" zoomScaleNormal="85" workbookViewId="0">
      <pane ySplit="4" topLeftCell="C5" activePane="bottomLeft" state="frozen"/>
      <selection pane="bottomLeft" activeCell="J8" sqref="J8"/>
      <selection activeCell="B47" sqref="B47"/>
    </sheetView>
  </sheetViews>
  <sheetFormatPr defaultColWidth="10.85546875" defaultRowHeight="15"/>
  <cols>
    <col min="1" max="3" width="2.5703125" style="2" customWidth="1"/>
    <col min="4" max="4" width="5.5703125" style="2" bestFit="1" customWidth="1"/>
    <col min="5" max="5" width="7.42578125" style="2" customWidth="1"/>
    <col min="6" max="6" width="41.42578125" style="1" customWidth="1"/>
    <col min="7" max="7" width="20.42578125" style="2" customWidth="1"/>
    <col min="8" max="9" width="43.85546875" style="2" customWidth="1"/>
    <col min="10" max="10" width="7.42578125" style="2" customWidth="1"/>
    <col min="11" max="11" width="10.85546875" style="2"/>
    <col min="12" max="12" width="9" style="2" customWidth="1"/>
    <col min="13" max="16" width="28.42578125" style="2" customWidth="1"/>
    <col min="17" max="17" width="2.42578125" style="2" customWidth="1"/>
    <col min="18" max="21" width="16.5703125" style="53" customWidth="1"/>
    <col min="22" max="22" width="3.85546875" style="2" customWidth="1"/>
    <col min="23" max="23" width="18.5703125" style="2" customWidth="1"/>
    <col min="24" max="24" width="18.5703125" style="38" customWidth="1"/>
    <col min="25" max="25" width="45.85546875" style="2" customWidth="1"/>
    <col min="26" max="26" width="7.85546875" style="2" bestFit="1" customWidth="1"/>
    <col min="27" max="16384" width="10.85546875" style="2"/>
  </cols>
  <sheetData>
    <row r="1" spans="2:28">
      <c r="I1" s="175"/>
    </row>
    <row r="2" spans="2:28" ht="27" customHeight="1" thickBot="1">
      <c r="B2" s="3" t="s">
        <v>0</v>
      </c>
      <c r="C2" s="3"/>
      <c r="D2" s="3"/>
      <c r="E2" s="3"/>
      <c r="F2" s="4"/>
      <c r="G2" s="5"/>
      <c r="H2" s="5"/>
      <c r="I2" s="176"/>
      <c r="J2" s="9"/>
    </row>
    <row r="3" spans="2:28" ht="27" thickTop="1">
      <c r="B3" s="7"/>
      <c r="C3" s="7"/>
      <c r="D3" s="7"/>
      <c r="E3" s="7"/>
      <c r="J3" s="11"/>
    </row>
    <row r="4" spans="2:28" s="8" customFormat="1" ht="26.25">
      <c r="B4" s="7"/>
      <c r="C4" s="7"/>
      <c r="D4" s="12" t="s">
        <v>214</v>
      </c>
      <c r="E4" s="12" t="s">
        <v>215</v>
      </c>
      <c r="F4" s="12" t="s">
        <v>216</v>
      </c>
      <c r="G4" s="13" t="s">
        <v>217</v>
      </c>
      <c r="H4" s="13" t="s">
        <v>24</v>
      </c>
      <c r="I4" s="13" t="s">
        <v>218</v>
      </c>
      <c r="L4" s="16"/>
      <c r="M4" s="177" t="s">
        <v>219</v>
      </c>
      <c r="N4" s="178"/>
      <c r="O4" s="178"/>
      <c r="P4" s="179"/>
      <c r="R4" s="177" t="s">
        <v>220</v>
      </c>
      <c r="S4" s="178"/>
      <c r="T4" s="178"/>
      <c r="U4" s="179"/>
      <c r="X4" s="64"/>
      <c r="Y4" s="2"/>
      <c r="Z4" s="2"/>
    </row>
    <row r="5" spans="2:28" s="8" customFormat="1" ht="34.5" customHeight="1">
      <c r="B5" s="73" t="s">
        <v>221</v>
      </c>
      <c r="C5" s="7"/>
      <c r="E5" s="7"/>
      <c r="F5" s="7"/>
      <c r="G5" s="7"/>
      <c r="H5" s="7"/>
      <c r="I5" s="7"/>
      <c r="J5" s="57">
        <f>AVERAGE(J6,J9,J12,J14)</f>
        <v>1</v>
      </c>
      <c r="L5" s="16"/>
      <c r="M5" s="17">
        <v>1</v>
      </c>
      <c r="N5" s="17">
        <v>2</v>
      </c>
      <c r="O5" s="17">
        <v>3</v>
      </c>
      <c r="P5" s="17">
        <v>4</v>
      </c>
      <c r="R5" s="17">
        <v>1</v>
      </c>
      <c r="S5" s="17">
        <v>2</v>
      </c>
      <c r="T5" s="17">
        <v>3</v>
      </c>
      <c r="U5" s="17">
        <v>4</v>
      </c>
      <c r="W5" s="13" t="s">
        <v>14</v>
      </c>
      <c r="X5" s="12" t="s">
        <v>215</v>
      </c>
      <c r="Y5" s="13" t="s">
        <v>222</v>
      </c>
      <c r="Z5" s="118" t="s">
        <v>223</v>
      </c>
      <c r="AA5" s="50" t="s">
        <v>223</v>
      </c>
      <c r="AB5" s="8" t="s">
        <v>224</v>
      </c>
    </row>
    <row r="6" spans="2:28" ht="27.6" customHeight="1">
      <c r="E6" s="70" t="s">
        <v>225</v>
      </c>
      <c r="F6" s="69"/>
      <c r="G6" s="69"/>
      <c r="H6" s="69"/>
      <c r="I6" s="69"/>
      <c r="J6" s="56">
        <f>SUM(J7:J8)/COUNT(J7:J8)</f>
        <v>1</v>
      </c>
      <c r="L6" s="17"/>
      <c r="M6" s="54"/>
      <c r="N6" s="54"/>
      <c r="O6" s="54"/>
      <c r="P6" s="54"/>
      <c r="R6" s="55"/>
      <c r="S6" s="55"/>
      <c r="T6" s="55"/>
      <c r="U6" s="55"/>
      <c r="W6" s="51" t="str">
        <f>IF(B5="",W5,B5)</f>
        <v>Govern</v>
      </c>
      <c r="X6" s="19" t="str">
        <f>IF(E6="",X5,E6)</f>
        <v>Establiment d'estàndards, polítiques, bones pràctiques i procediments</v>
      </c>
      <c r="Y6" s="55"/>
      <c r="Z6" s="55"/>
      <c r="AA6" s="50"/>
    </row>
    <row r="7" spans="2:28" ht="87">
      <c r="D7" s="71" t="s">
        <v>226</v>
      </c>
      <c r="E7" s="72"/>
      <c r="F7" s="74" t="s">
        <v>227</v>
      </c>
      <c r="G7" s="75" t="s">
        <v>228</v>
      </c>
      <c r="H7" s="76" t="s">
        <v>229</v>
      </c>
      <c r="I7" s="76"/>
      <c r="J7" s="15">
        <f>SUMIF(M7:P7,G7,$M$5:$P$5)</f>
        <v>1</v>
      </c>
      <c r="L7" s="17" t="str">
        <f>D7</f>
        <v>GA01</v>
      </c>
      <c r="M7" s="19" t="s">
        <v>228</v>
      </c>
      <c r="N7" s="19" t="s">
        <v>230</v>
      </c>
      <c r="O7" s="19" t="s">
        <v>231</v>
      </c>
      <c r="P7" s="19" t="s">
        <v>232</v>
      </c>
      <c r="R7" s="52" t="s">
        <v>233</v>
      </c>
      <c r="S7" s="52" t="s">
        <v>234</v>
      </c>
      <c r="T7" s="52" t="s">
        <v>235</v>
      </c>
      <c r="U7" s="52" t="s">
        <v>236</v>
      </c>
      <c r="W7" s="51" t="str">
        <f t="shared" ref="W7:W17" si="0">IF(B6="",W6,B6)</f>
        <v>Govern</v>
      </c>
      <c r="X7" s="19" t="str">
        <f t="shared" ref="X7:X17" si="1">IF(E7="",X6,E7)</f>
        <v>Establiment d'estàndards, polítiques, bones pràctiques i procediments</v>
      </c>
      <c r="Y7" s="19" t="str">
        <f t="shared" ref="Y7:Y17" si="2">IF(OR($G7=$M7,$G7=""),CONCATENATE(J7," - ",$R7),IF($G7=$N7,CONCATENATE(J7," - ",$S7),IF($G7=$O7,CONCATENATE(J7," - ",$T7),"")))</f>
        <v>1 - Definir un Marc de Govern de la dada de marea senzilla i escalable alineat amb els objectius de l'Ajuntament/Organisme, definint regles clares de gestió de les dades (qualitat, seguretat i accés), rols i responsabilitats i processos clau)</v>
      </c>
      <c r="Z7" s="19">
        <f>J7</f>
        <v>1</v>
      </c>
      <c r="AA7" s="50"/>
    </row>
    <row r="8" spans="2:28" ht="87">
      <c r="D8" s="71" t="s">
        <v>237</v>
      </c>
      <c r="E8" s="72"/>
      <c r="F8" s="74" t="s">
        <v>238</v>
      </c>
      <c r="G8" s="75" t="s">
        <v>239</v>
      </c>
      <c r="H8" s="76" t="s">
        <v>240</v>
      </c>
      <c r="I8" s="76"/>
      <c r="J8" s="15">
        <f>SUMIF(M8:P8,G8,$M$5:$P$5)</f>
        <v>1</v>
      </c>
      <c r="L8" s="17" t="str">
        <f>D8</f>
        <v>GA02</v>
      </c>
      <c r="M8" s="19" t="s">
        <v>239</v>
      </c>
      <c r="N8" s="19" t="s">
        <v>241</v>
      </c>
      <c r="O8" s="19" t="s">
        <v>242</v>
      </c>
      <c r="P8" s="19" t="s">
        <v>243</v>
      </c>
      <c r="R8" s="52" t="s">
        <v>244</v>
      </c>
      <c r="S8" s="52" t="s">
        <v>245</v>
      </c>
      <c r="T8" s="52" t="s">
        <v>246</v>
      </c>
      <c r="U8" s="52" t="s">
        <v>247</v>
      </c>
      <c r="W8" s="51" t="str">
        <f t="shared" si="0"/>
        <v>Govern</v>
      </c>
      <c r="X8" s="19" t="str">
        <f t="shared" si="1"/>
        <v>Establiment d'estàndards, polítiques, bones pràctiques i procediments</v>
      </c>
      <c r="Y8" s="19" t="str">
        <f t="shared" si="2"/>
        <v>1 - Cal definir la Política de  Govern de la dada, es pot iniciar amb regles bàsiques que defineixin les responsabilitats, classifiquin les dades, estableixin normes d'accés i seguretat, i projectar un Inventari de dades. Per tal de fer aquest camí més senzill i aprofitant l'experiència de la DIBA, aquesta facilita el procediment d'adhesió a les seves Polítiques.</v>
      </c>
      <c r="Z8" s="19">
        <f>J8</f>
        <v>1</v>
      </c>
      <c r="AA8" s="50"/>
    </row>
    <row r="9" spans="2:28" ht="27.6" customHeight="1">
      <c r="E9" s="70" t="s">
        <v>248</v>
      </c>
      <c r="F9" s="69"/>
      <c r="G9" s="69"/>
      <c r="H9" s="69"/>
      <c r="I9" s="69"/>
      <c r="J9" s="56">
        <f>SUM(J10:J11)/COUNT(J10:J11)</f>
        <v>1</v>
      </c>
      <c r="L9" s="17"/>
      <c r="M9" s="54"/>
      <c r="N9" s="54"/>
      <c r="O9" s="54"/>
      <c r="P9" s="54"/>
      <c r="R9" s="55"/>
      <c r="S9" s="55"/>
      <c r="T9" s="55"/>
      <c r="U9" s="55"/>
      <c r="W9" s="51" t="str">
        <f>IF(B8="",W8,B8)</f>
        <v>Govern</v>
      </c>
      <c r="X9" s="19" t="str">
        <f>IF(E9="",X8,E9)</f>
        <v>Establiment d'estratègies de dades</v>
      </c>
      <c r="Y9" s="55"/>
      <c r="Z9" s="55"/>
      <c r="AA9" s="50"/>
    </row>
    <row r="10" spans="2:28" ht="72.75">
      <c r="D10" s="71" t="s">
        <v>249</v>
      </c>
      <c r="E10" s="72"/>
      <c r="F10" s="74" t="s">
        <v>250</v>
      </c>
      <c r="G10" s="75" t="s">
        <v>251</v>
      </c>
      <c r="H10" s="76" t="s">
        <v>252</v>
      </c>
      <c r="I10" s="76"/>
      <c r="J10" s="15">
        <f>SUMIF(M10:P10,G10,$M$5:$P$5)</f>
        <v>1</v>
      </c>
      <c r="L10" s="17" t="str">
        <f t="shared" ref="L10" si="3">D10</f>
        <v>GB01</v>
      </c>
      <c r="M10" s="19" t="s">
        <v>251</v>
      </c>
      <c r="N10" s="19" t="s">
        <v>253</v>
      </c>
      <c r="O10" s="19" t="s">
        <v>254</v>
      </c>
      <c r="P10" s="19" t="s">
        <v>255</v>
      </c>
      <c r="R10" s="52" t="s">
        <v>256</v>
      </c>
      <c r="S10" s="52" t="s">
        <v>257</v>
      </c>
      <c r="T10" s="52" t="s">
        <v>258</v>
      </c>
      <c r="U10" s="52" t="s">
        <v>236</v>
      </c>
      <c r="W10" s="51" t="str">
        <f t="shared" si="0"/>
        <v>Govern</v>
      </c>
      <c r="X10" s="19" t="str">
        <f t="shared" si="1"/>
        <v>Establiment d'estratègies de dades</v>
      </c>
      <c r="Y10" s="19" t="str">
        <f t="shared" si="2"/>
        <v>1 - Definir una estratègia de dades de manera clara i accessible per a tots els actors implicats, que detalli els objectius estratègics, concreti iniciatives/un pla d'acció amb prioritats i involucrar als equips de treball</v>
      </c>
      <c r="Z10" s="19">
        <f t="shared" ref="Z10:Z37" si="4">J10</f>
        <v>1</v>
      </c>
      <c r="AA10" s="50"/>
    </row>
    <row r="11" spans="2:28" ht="115.5">
      <c r="D11" s="71" t="s">
        <v>259</v>
      </c>
      <c r="E11" s="72"/>
      <c r="F11" s="74" t="s">
        <v>260</v>
      </c>
      <c r="G11" s="75" t="s">
        <v>261</v>
      </c>
      <c r="H11" s="76" t="s">
        <v>262</v>
      </c>
      <c r="I11" s="76"/>
      <c r="J11" s="15">
        <f>SUMIF(M11:P11,G11,$M$5:$P$5)</f>
        <v>1</v>
      </c>
      <c r="L11" s="17" t="str">
        <f>D11</f>
        <v>GB02</v>
      </c>
      <c r="M11" s="19" t="s">
        <v>261</v>
      </c>
      <c r="N11" s="19" t="s">
        <v>263</v>
      </c>
      <c r="O11" s="19" t="s">
        <v>264</v>
      </c>
      <c r="P11" s="19" t="s">
        <v>265</v>
      </c>
      <c r="R11" s="52" t="s">
        <v>266</v>
      </c>
      <c r="S11" s="52" t="s">
        <v>267</v>
      </c>
      <c r="T11" s="52" t="s">
        <v>268</v>
      </c>
      <c r="U11" s="52" t="s">
        <v>247</v>
      </c>
      <c r="W11" s="51" t="str">
        <f t="shared" si="0"/>
        <v>Govern</v>
      </c>
      <c r="X11" s="19" t="str">
        <f t="shared" si="1"/>
        <v>Establiment d'estratègies de dades</v>
      </c>
      <c r="Y11" s="19" t="str">
        <f t="shared" si="2"/>
        <v>1 - Cal establir indicadors clau (KPIs) per a mesurar la qualitat, accessibilitat i efectivitat de les dades. Aquestes mètriques haurien de mesurar qualitats com la precisió, integritat, consistència i rendiment de les dades. Això facilitarà la gestió i millora de les dades.</v>
      </c>
      <c r="Z11" s="19">
        <f t="shared" si="4"/>
        <v>1</v>
      </c>
      <c r="AA11" s="50"/>
    </row>
    <row r="12" spans="2:28" ht="27.6" customHeight="1">
      <c r="E12" s="70" t="s">
        <v>269</v>
      </c>
      <c r="F12" s="69"/>
      <c r="G12" s="69"/>
      <c r="H12" s="69"/>
      <c r="I12" s="69"/>
      <c r="J12" s="56">
        <f>SUM(J13)/COUNT(J13)</f>
        <v>1</v>
      </c>
      <c r="L12" s="17"/>
      <c r="M12" s="54"/>
      <c r="N12" s="54"/>
      <c r="O12" s="54"/>
      <c r="P12" s="54"/>
      <c r="R12" s="55"/>
      <c r="S12" s="55"/>
      <c r="T12" s="55"/>
      <c r="U12" s="55"/>
      <c r="W12" s="51" t="str">
        <f>IF(B11="",W11,B11)</f>
        <v>Govern</v>
      </c>
      <c r="X12" s="19" t="str">
        <f>IF(E12="",X11,E12)</f>
        <v>Establiment d'estructures organitzacionals</v>
      </c>
      <c r="Y12" s="55"/>
      <c r="Z12" s="55"/>
      <c r="AA12" s="50"/>
    </row>
    <row r="13" spans="2:28" ht="101.25">
      <c r="D13" s="71" t="s">
        <v>270</v>
      </c>
      <c r="E13" s="72"/>
      <c r="F13" s="74" t="s">
        <v>271</v>
      </c>
      <c r="G13" s="75" t="s">
        <v>272</v>
      </c>
      <c r="H13" s="76" t="s">
        <v>273</v>
      </c>
      <c r="I13" s="76"/>
      <c r="J13" s="15">
        <f>SUMIF(M13:P13,G13,$M$5:$P$5)</f>
        <v>1</v>
      </c>
      <c r="L13" s="17" t="str">
        <f t="shared" ref="L13" si="5">D13</f>
        <v>GC01</v>
      </c>
      <c r="M13" s="19" t="s">
        <v>272</v>
      </c>
      <c r="N13" s="19" t="s">
        <v>274</v>
      </c>
      <c r="O13" s="19" t="s">
        <v>275</v>
      </c>
      <c r="P13" s="19" t="s">
        <v>276</v>
      </c>
      <c r="R13" s="52" t="s">
        <v>277</v>
      </c>
      <c r="S13" s="52" t="s">
        <v>278</v>
      </c>
      <c r="T13" s="52" t="s">
        <v>279</v>
      </c>
      <c r="U13" s="52" t="s">
        <v>236</v>
      </c>
      <c r="W13" s="51" t="str">
        <f t="shared" si="0"/>
        <v>Govern</v>
      </c>
      <c r="X13" s="19" t="str">
        <f t="shared" si="1"/>
        <v>Establiment d'estructures organitzacionals</v>
      </c>
      <c r="Y13" s="19" t="str">
        <f t="shared" si="2"/>
        <v>1 - Crear una estructura organitzativa mínima viable que permeti iniciar la governança de manera efectiva, definint rols clau, com Responsable de dades i Propietari de dades, i establir un Comitè de Dades per a la coordinació entre àrees</v>
      </c>
      <c r="Z13" s="19">
        <f t="shared" si="4"/>
        <v>1</v>
      </c>
      <c r="AA13" s="50"/>
    </row>
    <row r="14" spans="2:28" ht="27.6" customHeight="1">
      <c r="E14" s="70" t="s">
        <v>280</v>
      </c>
      <c r="F14" s="69"/>
      <c r="G14" s="69"/>
      <c r="H14" s="69"/>
      <c r="I14" s="69"/>
      <c r="J14" s="56">
        <f>SUM(J15:J17)/COUNT(J15:J17)</f>
        <v>1</v>
      </c>
      <c r="L14" s="17"/>
      <c r="M14" s="54"/>
      <c r="N14" s="54"/>
      <c r="O14" s="54"/>
      <c r="P14" s="54"/>
      <c r="R14" s="55"/>
      <c r="S14" s="55"/>
      <c r="T14" s="55"/>
      <c r="U14" s="55"/>
      <c r="W14" s="51" t="str">
        <f t="shared" si="0"/>
        <v>Govern</v>
      </c>
      <c r="X14" s="19" t="str">
        <f t="shared" si="1"/>
        <v>Gestió de recursos humans</v>
      </c>
      <c r="Y14" s="55"/>
      <c r="Z14" s="55"/>
      <c r="AA14" s="50"/>
    </row>
    <row r="15" spans="2:28" ht="72.75">
      <c r="D15" s="71" t="s">
        <v>281</v>
      </c>
      <c r="E15" s="72"/>
      <c r="F15" s="74" t="s">
        <v>282</v>
      </c>
      <c r="G15" s="75" t="s">
        <v>283</v>
      </c>
      <c r="H15" s="76" t="s">
        <v>284</v>
      </c>
      <c r="I15" s="76" t="s">
        <v>285</v>
      </c>
      <c r="J15" s="15">
        <f>SUMIF(M15:P15,G15,$M$5:$P$5)</f>
        <v>1</v>
      </c>
      <c r="L15" s="17" t="str">
        <f>D15</f>
        <v>GD01</v>
      </c>
      <c r="M15" s="19" t="s">
        <v>283</v>
      </c>
      <c r="N15" s="19" t="s">
        <v>286</v>
      </c>
      <c r="O15" s="19" t="s">
        <v>287</v>
      </c>
      <c r="P15" s="19" t="s">
        <v>288</v>
      </c>
      <c r="R15" s="52" t="s">
        <v>289</v>
      </c>
      <c r="S15" s="52" t="s">
        <v>290</v>
      </c>
      <c r="T15" s="52" t="s">
        <v>291</v>
      </c>
      <c r="U15" s="52" t="s">
        <v>247</v>
      </c>
      <c r="W15" s="51" t="str">
        <f t="shared" si="0"/>
        <v>Govern</v>
      </c>
      <c r="X15" s="19" t="str">
        <f t="shared" si="1"/>
        <v>Gestió de recursos humans</v>
      </c>
      <c r="Y15" s="19" t="str">
        <f t="shared" si="2"/>
        <v>1 - És fonamental assignar definir i assignar els rols de Propietari de la dada (Data Owners) i de Responsable de la dada (Data Steward) per a garantitzar la qualitat, seguretat i us adequat de la informació. La definició d'aquests rols ha de deixar clares les funcions i les responsabilitats.</v>
      </c>
      <c r="Z15" s="19">
        <f t="shared" si="4"/>
        <v>1</v>
      </c>
      <c r="AA15" s="50"/>
    </row>
    <row r="16" spans="2:28" ht="72.75">
      <c r="D16" s="71" t="s">
        <v>292</v>
      </c>
      <c r="E16" s="72"/>
      <c r="F16" s="74" t="s">
        <v>293</v>
      </c>
      <c r="G16" s="75" t="s">
        <v>294</v>
      </c>
      <c r="H16" s="76" t="s">
        <v>295</v>
      </c>
      <c r="I16" s="76" t="s">
        <v>296</v>
      </c>
      <c r="J16" s="15">
        <f>SUMIF(M16:P16,G16,$M$5:$P$5)</f>
        <v>1</v>
      </c>
      <c r="L16" s="17" t="str">
        <f t="shared" ref="L16:L17" si="6">D16</f>
        <v>GD02</v>
      </c>
      <c r="M16" s="19" t="s">
        <v>294</v>
      </c>
      <c r="N16" s="19" t="s">
        <v>297</v>
      </c>
      <c r="O16" s="19" t="s">
        <v>298</v>
      </c>
      <c r="P16" s="19" t="s">
        <v>299</v>
      </c>
      <c r="R16" s="52" t="s">
        <v>300</v>
      </c>
      <c r="S16" s="52" t="s">
        <v>301</v>
      </c>
      <c r="T16" s="52" t="s">
        <v>302</v>
      </c>
      <c r="U16" s="52" t="s">
        <v>247</v>
      </c>
      <c r="W16" s="51" t="str">
        <f t="shared" si="0"/>
        <v>Govern</v>
      </c>
      <c r="X16" s="19" t="str">
        <f t="shared" si="1"/>
        <v>Gestió de recursos humans</v>
      </c>
      <c r="Y16" s="19" t="str">
        <f t="shared" si="2"/>
        <v>1 - S'hauria de definir clarament les funcions del Responsable de dades (Data Stewart), identificar els perfils adequats dins de l'Ajuntament o Organisme i capacitar-los per a portar a terme les seves funcions de manera efectiva.</v>
      </c>
      <c r="Z16" s="19">
        <f t="shared" si="4"/>
        <v>1</v>
      </c>
      <c r="AA16" s="50"/>
    </row>
    <row r="17" spans="2:27" ht="87">
      <c r="D17" s="71" t="s">
        <v>303</v>
      </c>
      <c r="E17" s="72"/>
      <c r="F17" s="74" t="s">
        <v>304</v>
      </c>
      <c r="G17" s="75" t="s">
        <v>294</v>
      </c>
      <c r="H17" s="76" t="s">
        <v>305</v>
      </c>
      <c r="I17" s="76" t="s">
        <v>306</v>
      </c>
      <c r="J17" s="15">
        <f>SUMIF(M17:P17,G17,$M$5:$P$5)</f>
        <v>1</v>
      </c>
      <c r="L17" s="17" t="str">
        <f t="shared" si="6"/>
        <v>GD03</v>
      </c>
      <c r="M17" s="19" t="s">
        <v>294</v>
      </c>
      <c r="N17" s="19" t="s">
        <v>307</v>
      </c>
      <c r="O17" s="19" t="s">
        <v>308</v>
      </c>
      <c r="P17" s="19" t="s">
        <v>309</v>
      </c>
      <c r="R17" s="52" t="s">
        <v>310</v>
      </c>
      <c r="S17" s="52" t="s">
        <v>311</v>
      </c>
      <c r="T17" s="52" t="s">
        <v>312</v>
      </c>
      <c r="U17" s="52" t="s">
        <v>247</v>
      </c>
      <c r="W17" s="51" t="str">
        <f t="shared" si="0"/>
        <v>Govern</v>
      </c>
      <c r="X17" s="19" t="str">
        <f t="shared" si="1"/>
        <v>Gestió de recursos humans</v>
      </c>
      <c r="Y17" s="19" t="str">
        <f t="shared" si="2"/>
        <v>1 - És important definir el rol de Propietari de dades (Data Owner) i assignar-lo a persones amb gran coneixement funcional i responsabilitat sobre les dades. El Responsable de dades ha de ser responsable de la qualitat , seguretat i accés a les dades, i tenir l'autoritat per a la presa de decisions i garantir que les dades es gestionen adequadament.</v>
      </c>
      <c r="Z17" s="19">
        <f t="shared" si="4"/>
        <v>1</v>
      </c>
      <c r="AA17" s="50"/>
    </row>
    <row r="18" spans="2:27" s="8" customFormat="1" ht="52.5" customHeight="1">
      <c r="B18" s="73" t="s">
        <v>313</v>
      </c>
      <c r="C18" s="7"/>
      <c r="E18" s="7"/>
      <c r="F18" s="7"/>
      <c r="G18" s="7"/>
      <c r="H18" s="7"/>
      <c r="I18" s="7"/>
      <c r="J18" s="57">
        <f>AVERAGE(J19,J22,J24,J27,J29)</f>
        <v>1.5</v>
      </c>
      <c r="L18" s="16"/>
      <c r="M18" s="17"/>
      <c r="N18" s="17"/>
      <c r="O18" s="17"/>
      <c r="P18" s="17"/>
      <c r="R18" s="17"/>
      <c r="S18" s="17"/>
      <c r="T18" s="17"/>
      <c r="U18" s="17"/>
      <c r="W18" s="17" t="str">
        <f t="shared" ref="W18" si="7">IF(B17="",W17,B17)</f>
        <v>Govern</v>
      </c>
      <c r="X18" s="116" t="str">
        <f t="shared" ref="X18" si="8">IF(E18="",X17,E18)</f>
        <v>Gestió de recursos humans</v>
      </c>
      <c r="Y18" s="17"/>
      <c r="Z18" s="17"/>
      <c r="AA18" s="50"/>
    </row>
    <row r="19" spans="2:27" ht="27.6" customHeight="1">
      <c r="E19" s="70" t="s">
        <v>314</v>
      </c>
      <c r="F19" s="69"/>
      <c r="G19" s="69"/>
      <c r="H19" s="69"/>
      <c r="I19" s="69"/>
      <c r="J19" s="56">
        <f>SUM(J20:J21)/COUNT(J20:J21)</f>
        <v>2.5</v>
      </c>
      <c r="L19" s="17"/>
      <c r="M19" s="54"/>
      <c r="N19" s="54"/>
      <c r="O19" s="54"/>
      <c r="P19" s="54"/>
      <c r="R19" s="55"/>
      <c r="S19" s="55"/>
      <c r="T19" s="55"/>
      <c r="U19" s="55"/>
      <c r="W19" s="51" t="str">
        <f>IF(B18="",W18,B18)</f>
        <v>Gestió de dades</v>
      </c>
      <c r="X19" s="19" t="str">
        <f>IF(E19="",X18,E19)</f>
        <v>Gestió de seguretat de dades</v>
      </c>
      <c r="Y19" s="55"/>
      <c r="Z19" s="55"/>
      <c r="AA19" s="50"/>
    </row>
    <row r="20" spans="2:27" ht="144.75">
      <c r="D20" s="71" t="s">
        <v>315</v>
      </c>
      <c r="E20" s="72"/>
      <c r="F20" s="74" t="s">
        <v>316</v>
      </c>
      <c r="G20" s="75" t="s">
        <v>317</v>
      </c>
      <c r="H20" s="76" t="s">
        <v>318</v>
      </c>
      <c r="I20" s="76" t="s">
        <v>319</v>
      </c>
      <c r="J20" s="15">
        <f>SUMIF(M20:P20,G20,$M$5:$P$5)</f>
        <v>2</v>
      </c>
      <c r="L20" s="17" t="str">
        <f t="shared" ref="L20" si="9">D20</f>
        <v>MA01</v>
      </c>
      <c r="M20" s="19" t="s">
        <v>320</v>
      </c>
      <c r="N20" s="19" t="s">
        <v>317</v>
      </c>
      <c r="O20" s="19" t="s">
        <v>321</v>
      </c>
      <c r="P20" s="19" t="s">
        <v>322</v>
      </c>
      <c r="R20" s="52" t="s">
        <v>323</v>
      </c>
      <c r="S20" s="52" t="s">
        <v>324</v>
      </c>
      <c r="T20" s="52" t="s">
        <v>325</v>
      </c>
      <c r="U20" s="52" t="s">
        <v>236</v>
      </c>
      <c r="W20" s="51" t="str">
        <f t="shared" ref="W20:W21" si="10">IF(B19="",W19,B19)</f>
        <v>Gestió de dades</v>
      </c>
      <c r="X20" s="19" t="str">
        <f t="shared" ref="X20:X21" si="11">IF(E20="",X19,E20)</f>
        <v>Gestió de seguretat de dades</v>
      </c>
      <c r="Y20" s="19" t="str">
        <f>IF(OR($G20=$M20,$G20=""),CONCATENATE(J20," - ",$R20),IF($G20=$N20,CONCATENATE(J20," - ",$S20),IF($G20=$O20,CONCATENATE(J20," - ",$T20),"")))</f>
        <v>2 - Divulgar les Polítiques de seguretat i privadesa entre el personal per tal que aquestes siguin conegudes, i fer avaluacions periòdiques del seu compliment</v>
      </c>
      <c r="Z20" s="19">
        <f t="shared" si="4"/>
        <v>2</v>
      </c>
      <c r="AA20" s="50"/>
    </row>
    <row r="21" spans="2:27" ht="115.5">
      <c r="D21" s="71" t="s">
        <v>326</v>
      </c>
      <c r="E21" s="72"/>
      <c r="F21" s="74" t="s">
        <v>327</v>
      </c>
      <c r="G21" s="75" t="s">
        <v>328</v>
      </c>
      <c r="H21" s="76" t="s">
        <v>329</v>
      </c>
      <c r="I21" s="76"/>
      <c r="J21" s="15">
        <f>SUMIF(M21:P21,G21,$M$5:$P$5)</f>
        <v>3</v>
      </c>
      <c r="L21" s="17" t="str">
        <f>D21</f>
        <v>MA02</v>
      </c>
      <c r="M21" s="19" t="s">
        <v>330</v>
      </c>
      <c r="N21" s="19" t="s">
        <v>331</v>
      </c>
      <c r="O21" s="19" t="s">
        <v>328</v>
      </c>
      <c r="P21" s="19" t="s">
        <v>332</v>
      </c>
      <c r="R21" s="52" t="s">
        <v>333</v>
      </c>
      <c r="S21" s="52" t="s">
        <v>334</v>
      </c>
      <c r="T21" s="52" t="s">
        <v>335</v>
      </c>
      <c r="U21" s="52" t="s">
        <v>247</v>
      </c>
      <c r="W21" s="51" t="str">
        <f t="shared" si="10"/>
        <v>Gestió de dades</v>
      </c>
      <c r="X21" s="19" t="str">
        <f t="shared" si="11"/>
        <v>Gestió de seguretat de dades</v>
      </c>
      <c r="Y21" s="19" t="str">
        <f>IF(OR($G21=$M21,$G21=""),CONCATENATE(J21," - ",$R21),IF($G21=$N21,CONCATENATE(J21," - ",$S21),IF($G21=$O21,CONCATENATE(J21," - ",$T21),"")))</f>
        <v>3 - Es recomana establir auditories que ajudin a detectar errors i definir accions de millora continua</v>
      </c>
      <c r="Z21" s="19">
        <f t="shared" si="4"/>
        <v>3</v>
      </c>
      <c r="AA21" s="50"/>
    </row>
    <row r="22" spans="2:27" ht="27.6" customHeight="1">
      <c r="E22" s="70" t="s">
        <v>336</v>
      </c>
      <c r="F22" s="69"/>
      <c r="G22" s="69"/>
      <c r="H22" s="69"/>
      <c r="I22" s="69"/>
      <c r="J22" s="56">
        <f>SUM(J23)/COUNT(J23)</f>
        <v>2</v>
      </c>
      <c r="L22" s="17"/>
      <c r="M22" s="54"/>
      <c r="N22" s="54"/>
      <c r="O22" s="54"/>
      <c r="P22" s="54"/>
      <c r="R22" s="55"/>
      <c r="S22" s="55"/>
      <c r="T22" s="55"/>
      <c r="U22" s="55"/>
      <c r="W22" s="51" t="str">
        <f>IF(B21="",W21,B21)</f>
        <v>Gestió de dades</v>
      </c>
      <c r="X22" s="19" t="str">
        <f>IF(E22="",X21,E22)</f>
        <v>Gestió de dades històriques</v>
      </c>
      <c r="Y22" s="55"/>
      <c r="Z22" s="55"/>
      <c r="AA22" s="50"/>
    </row>
    <row r="23" spans="2:27" ht="72.75">
      <c r="D23" s="71" t="s">
        <v>337</v>
      </c>
      <c r="E23" s="72"/>
      <c r="F23" s="74" t="s">
        <v>338</v>
      </c>
      <c r="G23" s="75" t="s">
        <v>339</v>
      </c>
      <c r="H23" s="76" t="s">
        <v>340</v>
      </c>
      <c r="I23" s="76" t="s">
        <v>341</v>
      </c>
      <c r="J23" s="15">
        <f>SUMIF(M23:P23,G23,$M$5:$P$5)</f>
        <v>2</v>
      </c>
      <c r="L23" s="17" t="str">
        <f t="shared" ref="L23" si="12">D23</f>
        <v>MB01</v>
      </c>
      <c r="M23" s="19" t="s">
        <v>342</v>
      </c>
      <c r="N23" s="19" t="s">
        <v>339</v>
      </c>
      <c r="O23" s="19" t="s">
        <v>343</v>
      </c>
      <c r="P23" s="19" t="s">
        <v>344</v>
      </c>
      <c r="R23" s="52" t="s">
        <v>345</v>
      </c>
      <c r="S23" s="52" t="s">
        <v>346</v>
      </c>
      <c r="T23" s="52" t="s">
        <v>347</v>
      </c>
      <c r="U23" s="52" t="s">
        <v>236</v>
      </c>
      <c r="W23" s="51" t="str">
        <f t="shared" ref="W23" si="13">IF(B22="",W22,B22)</f>
        <v>Gestió de dades</v>
      </c>
      <c r="X23" s="19" t="str">
        <f t="shared" ref="X23" si="14">IF(E23="",X22,E23)</f>
        <v>Gestió de dades històriques</v>
      </c>
      <c r="Y23" s="19" t="str">
        <f>IF(OR($G23=$M23,$G23=""),CONCATENATE(J23," - ",$R23),IF($G23=$N23,CONCATENATE(J23," - ",$S23),IF($G23=$O23,CONCATENATE(J23," - ",$T23),"")))</f>
        <v>2 - Revisar i implicar al personal en l'aplicació de les Polítiques d'arxivat i restauració de dades</v>
      </c>
      <c r="Z23" s="19">
        <f t="shared" si="4"/>
        <v>2</v>
      </c>
      <c r="AA23" s="50"/>
    </row>
    <row r="24" spans="2:27" ht="27.6" customHeight="1">
      <c r="E24" s="70" t="s">
        <v>348</v>
      </c>
      <c r="F24" s="69"/>
      <c r="G24" s="69"/>
      <c r="H24" s="69"/>
      <c r="I24" s="69"/>
      <c r="J24" s="56">
        <f>SUM(J25:J26)/COUNT(J25:J26)</f>
        <v>1</v>
      </c>
      <c r="L24" s="17"/>
      <c r="M24" s="54"/>
      <c r="N24" s="54"/>
      <c r="O24" s="54"/>
      <c r="P24" s="54"/>
      <c r="R24" s="55"/>
      <c r="S24" s="55"/>
      <c r="T24" s="55"/>
      <c r="U24" s="55"/>
      <c r="W24" s="51" t="str">
        <f>IF(B23="",W23,B23)</f>
        <v>Gestió de dades</v>
      </c>
      <c r="X24" s="19" t="str">
        <f>IF(E24="",X23,E24)</f>
        <v>Gestió de fonts i destinacions de dades</v>
      </c>
      <c r="Y24" s="55"/>
      <c r="Z24" s="55"/>
      <c r="AA24" s="50"/>
    </row>
    <row r="25" spans="2:27" ht="130.5">
      <c r="D25" s="71" t="s">
        <v>349</v>
      </c>
      <c r="E25" s="72"/>
      <c r="F25" s="74" t="s">
        <v>350</v>
      </c>
      <c r="G25" s="75" t="s">
        <v>351</v>
      </c>
      <c r="H25" s="76" t="s">
        <v>352</v>
      </c>
      <c r="I25" s="76" t="s">
        <v>353</v>
      </c>
      <c r="J25" s="15">
        <f>SUMIF(M25:P25,G25,$M$5:$P$5)</f>
        <v>1</v>
      </c>
      <c r="L25" s="17" t="str">
        <f t="shared" ref="L25" si="15">D25</f>
        <v>MC01</v>
      </c>
      <c r="M25" s="19" t="s">
        <v>351</v>
      </c>
      <c r="N25" s="19" t="s">
        <v>354</v>
      </c>
      <c r="O25" s="19" t="s">
        <v>355</v>
      </c>
      <c r="P25" s="19" t="s">
        <v>356</v>
      </c>
      <c r="R25" s="19" t="s">
        <v>357</v>
      </c>
      <c r="S25" s="52" t="s">
        <v>358</v>
      </c>
      <c r="T25" s="52" t="s">
        <v>359</v>
      </c>
      <c r="U25" s="52" t="s">
        <v>236</v>
      </c>
      <c r="W25" s="51" t="str">
        <f t="shared" ref="W25:W26" si="16">IF(B24="",W24,B24)</f>
        <v>Gestió de dades</v>
      </c>
      <c r="X25" s="19" t="str">
        <f t="shared" ref="X25:X26" si="17">IF(E25="",X24,E25)</f>
        <v>Gestió de fonts i destinacions de dades</v>
      </c>
      <c r="Y25" s="19" t="str">
        <f>IF(OR($G25=$M25,$G25=""),CONCATENATE(J25," - ",$R25),IF($G25=$N25,CONCATENATE(J25," - ",$S25),IF($G25=$O25,CONCATENATE(J25," - ",$T25),"")))</f>
        <v>1 - Iniciar les tasques d'implementació de l'Inventari de dades</v>
      </c>
      <c r="Z25" s="19">
        <f t="shared" si="4"/>
        <v>1</v>
      </c>
      <c r="AA25" s="50"/>
    </row>
    <row r="26" spans="2:27" ht="135">
      <c r="D26" s="71" t="s">
        <v>360</v>
      </c>
      <c r="E26" s="72"/>
      <c r="F26" s="74" t="s">
        <v>361</v>
      </c>
      <c r="G26" s="75" t="s">
        <v>362</v>
      </c>
      <c r="H26" s="76" t="s">
        <v>363</v>
      </c>
      <c r="I26" s="76"/>
      <c r="J26" s="15">
        <f>SUMIF(M26:P26,G26,$M$5:$P$5)</f>
        <v>1</v>
      </c>
      <c r="L26" s="17" t="str">
        <f>D26</f>
        <v>MC02</v>
      </c>
      <c r="M26" s="19" t="s">
        <v>362</v>
      </c>
      <c r="N26" s="19" t="s">
        <v>364</v>
      </c>
      <c r="O26" s="19" t="s">
        <v>365</v>
      </c>
      <c r="P26" s="19" t="s">
        <v>366</v>
      </c>
      <c r="R26" s="52" t="s">
        <v>367</v>
      </c>
      <c r="S26" s="52" t="s">
        <v>368</v>
      </c>
      <c r="T26" s="52" t="s">
        <v>369</v>
      </c>
      <c r="U26" s="52" t="s">
        <v>247</v>
      </c>
      <c r="W26" s="51" t="str">
        <f t="shared" si="16"/>
        <v>Gestió de dades</v>
      </c>
      <c r="X26" s="19" t="str">
        <f t="shared" si="17"/>
        <v>Gestió de fonts i destinacions de dades</v>
      </c>
      <c r="Y26" s="19" t="str">
        <f>IF(OR($G26=$M26,$G26=""),CONCATENATE(J26," - ",$R26),IF($G26=$N26,CONCATENATE(J26," - ",$S26),IF($G26=$O26,CONCATENATE(J26," - ",$T26),"")))</f>
        <v>1 - Identificar les fonts de dades externes i les dades associades per tal de poder fer una gestió específica d'aquestes</v>
      </c>
      <c r="Z26" s="19">
        <f t="shared" si="4"/>
        <v>1</v>
      </c>
      <c r="AA26" s="50"/>
    </row>
    <row r="27" spans="2:27" ht="45">
      <c r="E27" s="70" t="s">
        <v>370</v>
      </c>
      <c r="F27" s="69"/>
      <c r="G27" s="69"/>
      <c r="H27" s="69"/>
      <c r="I27" s="69"/>
      <c r="J27" s="56">
        <f>SUM(J28)/COUNT(J28)</f>
        <v>1</v>
      </c>
      <c r="L27" s="17"/>
      <c r="M27" s="54"/>
      <c r="N27" s="54"/>
      <c r="O27" s="54"/>
      <c r="P27" s="54"/>
      <c r="R27" s="55"/>
      <c r="S27" s="55"/>
      <c r="T27" s="55"/>
      <c r="U27" s="55"/>
      <c r="W27" s="51" t="str">
        <f t="shared" ref="W27:W37" si="18">IF(B26="",W26,B26)</f>
        <v>Gestió de dades</v>
      </c>
      <c r="X27" s="19" t="str">
        <f t="shared" ref="X27:X37" si="19">IF(E27="",X26,E27)</f>
        <v>Gestió de la integració de les dades</v>
      </c>
      <c r="Y27" s="55"/>
      <c r="Z27" s="55"/>
      <c r="AA27" s="50"/>
    </row>
    <row r="28" spans="2:27" ht="120">
      <c r="D28" s="71" t="s">
        <v>371</v>
      </c>
      <c r="E28" s="72"/>
      <c r="F28" s="74" t="s">
        <v>372</v>
      </c>
      <c r="G28" s="75" t="s">
        <v>373</v>
      </c>
      <c r="H28" s="76" t="s">
        <v>374</v>
      </c>
      <c r="I28" s="76"/>
      <c r="J28" s="15">
        <f>SUMIF(M28:P28,G28,$M$5:$P$5)</f>
        <v>1</v>
      </c>
      <c r="L28" s="17" t="str">
        <f>D28</f>
        <v>MD01</v>
      </c>
      <c r="M28" s="19" t="s">
        <v>373</v>
      </c>
      <c r="N28" s="19" t="s">
        <v>375</v>
      </c>
      <c r="O28" s="19" t="s">
        <v>376</v>
      </c>
      <c r="P28" s="19" t="s">
        <v>377</v>
      </c>
      <c r="R28" s="52" t="s">
        <v>378</v>
      </c>
      <c r="S28" s="52" t="s">
        <v>379</v>
      </c>
      <c r="T28" s="52" t="s">
        <v>380</v>
      </c>
      <c r="U28" s="52" t="s">
        <v>236</v>
      </c>
      <c r="W28" s="51" t="str">
        <f t="shared" si="18"/>
        <v>Gestió de dades</v>
      </c>
      <c r="X28" s="19" t="str">
        <f t="shared" si="19"/>
        <v>Gestió de la integració de les dades</v>
      </c>
      <c r="Y28" s="19" t="str">
        <f>IF(OR($G28=$M28,$G28=""),CONCATENATE(J28," - ",$R28),IF($G28=$N28,CONCATENATE(J28," - ",$S28),IF($G28=$O28,CONCATENATE(J28," - ",$T28),"")))</f>
        <v>1 - Definir les Polítiques i procediments d'integració, gestió i utilització de les dades . Per tal de fer aquest camí més senzill i aprofitant l'experiència de la DIBA, aquesta facilita el procediment d'adhesió a les seves Polítiques.</v>
      </c>
      <c r="Z28" s="19">
        <f t="shared" si="4"/>
        <v>1</v>
      </c>
      <c r="AA28" s="50"/>
    </row>
    <row r="29" spans="2:27" ht="45">
      <c r="E29" s="70" t="s">
        <v>381</v>
      </c>
      <c r="F29" s="69"/>
      <c r="G29" s="69"/>
      <c r="H29" s="69"/>
      <c r="I29" s="69"/>
      <c r="J29" s="56">
        <f>SUM(J30)/COUNT(J30)</f>
        <v>1</v>
      </c>
      <c r="L29" s="17"/>
      <c r="M29" s="54"/>
      <c r="N29" s="54"/>
      <c r="O29" s="54"/>
      <c r="P29" s="54"/>
      <c r="R29" s="55"/>
      <c r="S29" s="55"/>
      <c r="T29" s="55"/>
      <c r="U29" s="55"/>
      <c r="W29" s="51" t="str">
        <f t="shared" si="18"/>
        <v>Gestió de dades</v>
      </c>
      <c r="X29" s="19" t="str">
        <f t="shared" si="19"/>
        <v>Gestió de Dades Mestre i Dades de Referència</v>
      </c>
      <c r="Y29" s="55"/>
      <c r="Z29" s="55"/>
      <c r="AA29" s="50"/>
    </row>
    <row r="30" spans="2:27" ht="159">
      <c r="D30" s="71" t="s">
        <v>382</v>
      </c>
      <c r="E30" s="72"/>
      <c r="F30" s="74" t="s">
        <v>383</v>
      </c>
      <c r="G30" s="75" t="s">
        <v>384</v>
      </c>
      <c r="H30" s="76" t="s">
        <v>385</v>
      </c>
      <c r="I30" s="76"/>
      <c r="J30" s="15">
        <f>SUMIF(M30:P30,G30,$M$5:$P$5)</f>
        <v>1</v>
      </c>
      <c r="L30" s="17" t="str">
        <f>D30</f>
        <v>ME01</v>
      </c>
      <c r="M30" s="19" t="s">
        <v>384</v>
      </c>
      <c r="N30" s="19" t="s">
        <v>386</v>
      </c>
      <c r="O30" s="19" t="s">
        <v>387</v>
      </c>
      <c r="P30" s="19" t="s">
        <v>388</v>
      </c>
      <c r="R30" s="52" t="s">
        <v>378</v>
      </c>
      <c r="S30" s="52" t="s">
        <v>379</v>
      </c>
      <c r="T30" s="52" t="s">
        <v>380</v>
      </c>
      <c r="U30" s="52" t="s">
        <v>236</v>
      </c>
      <c r="W30" s="51" t="str">
        <f t="shared" si="18"/>
        <v>Gestió de dades</v>
      </c>
      <c r="X30" s="19" t="str">
        <f t="shared" si="19"/>
        <v>Gestió de Dades Mestre i Dades de Referència</v>
      </c>
      <c r="Y30" s="19" t="str">
        <f>IF(OR($G30=$M30,$G30=""),CONCATENATE(J30," - ",$R30),IF($G30=$N30,CONCATENATE(J30," - ",$S30),IF($G30=$O30,CONCATENATE(J30," - ",$T30),"")))</f>
        <v>1 - Definir les Polítiques i procediments d'integració, gestió i utilització de les dades . Per tal de fer aquest camí més senzill i aprofitant l'experiència de la DIBA, aquesta facilita el procediment d'adhesió a les seves Polítiques.</v>
      </c>
      <c r="Z30" s="19">
        <f t="shared" si="4"/>
        <v>1</v>
      </c>
      <c r="AA30" s="50"/>
    </row>
    <row r="31" spans="2:27" s="8" customFormat="1" ht="45">
      <c r="B31" s="73" t="s">
        <v>389</v>
      </c>
      <c r="C31" s="7"/>
      <c r="E31" s="7"/>
      <c r="F31" s="7"/>
      <c r="G31" s="7"/>
      <c r="H31" s="7"/>
      <c r="I31" s="7"/>
      <c r="J31" s="57">
        <f>AVERAGE(J32,J36,J34)</f>
        <v>1</v>
      </c>
      <c r="L31" s="16"/>
      <c r="M31" s="17"/>
      <c r="N31" s="17"/>
      <c r="O31" s="17"/>
      <c r="P31" s="17"/>
      <c r="R31" s="17"/>
      <c r="S31" s="17"/>
      <c r="T31" s="17"/>
      <c r="U31" s="17"/>
      <c r="W31" s="17" t="str">
        <f t="shared" si="18"/>
        <v>Gestió de dades</v>
      </c>
      <c r="X31" s="116" t="str">
        <f t="shared" si="19"/>
        <v>Gestió de Dades Mestre i Dades de Referència</v>
      </c>
      <c r="Y31" s="17"/>
      <c r="Z31" s="17"/>
      <c r="AA31" s="50"/>
    </row>
    <row r="32" spans="2:27" ht="75">
      <c r="E32" s="70" t="s">
        <v>225</v>
      </c>
      <c r="F32" s="69"/>
      <c r="G32" s="69"/>
      <c r="H32" s="69"/>
      <c r="I32" s="69"/>
      <c r="J32" s="56">
        <f>SUM(J33:J33)/COUNT(J33:J33)</f>
        <v>1</v>
      </c>
      <c r="L32" s="17"/>
      <c r="M32" s="54"/>
      <c r="N32" s="54"/>
      <c r="O32" s="54"/>
      <c r="P32" s="54"/>
      <c r="R32" s="55"/>
      <c r="S32" s="55"/>
      <c r="T32" s="55"/>
      <c r="U32" s="55"/>
      <c r="W32" s="51" t="str">
        <f t="shared" si="18"/>
        <v>Qualitat de la dada</v>
      </c>
      <c r="X32" s="19" t="str">
        <f t="shared" si="19"/>
        <v>Establiment d'estàndards, polítiques, bones pràctiques i procediments</v>
      </c>
      <c r="Y32" s="55"/>
      <c r="Z32" s="55"/>
      <c r="AA32" s="50"/>
    </row>
    <row r="33" spans="4:27" ht="101.25">
      <c r="D33" s="71" t="s">
        <v>390</v>
      </c>
      <c r="E33" s="72"/>
      <c r="F33" s="74" t="s">
        <v>391</v>
      </c>
      <c r="G33" s="75" t="s">
        <v>392</v>
      </c>
      <c r="H33" s="167" t="s">
        <v>393</v>
      </c>
      <c r="I33" s="76"/>
      <c r="J33" s="15">
        <f>SUMIF(M33:P33,G33,$M$5:$P$5)</f>
        <v>1</v>
      </c>
      <c r="L33" s="17" t="str">
        <f>D33</f>
        <v>QA01</v>
      </c>
      <c r="M33" s="19" t="s">
        <v>392</v>
      </c>
      <c r="N33" s="19" t="s">
        <v>394</v>
      </c>
      <c r="O33" s="19" t="s">
        <v>395</v>
      </c>
      <c r="P33" s="19" t="s">
        <v>396</v>
      </c>
      <c r="R33" s="52" t="s">
        <v>397</v>
      </c>
      <c r="S33" s="52" t="s">
        <v>398</v>
      </c>
      <c r="T33" s="52" t="s">
        <v>399</v>
      </c>
      <c r="U33" s="52" t="s">
        <v>236</v>
      </c>
      <c r="W33" s="51" t="str">
        <f t="shared" si="18"/>
        <v>Qualitat de la dada</v>
      </c>
      <c r="X33" s="19" t="str">
        <f t="shared" si="19"/>
        <v>Establiment d'estàndards, polítiques, bones pràctiques i procediments</v>
      </c>
      <c r="Y33" s="19" t="str">
        <f>IF(OR($G33=$M33,$G33=""),CONCATENATE(J33," - ",$R33),IF($G33=$N33,CONCATENATE(J33," - ",$S33),IF($G33=$O33,CONCATENATE(J33," - ",$T33),"")))</f>
        <v>1 - Iniciar la documentació dels requeriments de qualitat de les dades, prioritzant  les dades clau i crítiques</v>
      </c>
      <c r="Z33" s="19">
        <f t="shared" si="4"/>
        <v>1</v>
      </c>
      <c r="AA33" s="50"/>
    </row>
    <row r="34" spans="4:27" ht="60">
      <c r="E34" s="70" t="s">
        <v>400</v>
      </c>
      <c r="F34" s="69"/>
      <c r="G34" s="69"/>
      <c r="H34" s="69"/>
      <c r="I34" s="69"/>
      <c r="J34" s="56">
        <f>SUM(J35:J35)/COUNT(J35:J35)</f>
        <v>1</v>
      </c>
      <c r="L34" s="17"/>
      <c r="M34" s="54"/>
      <c r="N34" s="54"/>
      <c r="O34" s="54"/>
      <c r="P34" s="54"/>
      <c r="R34" s="55"/>
      <c r="S34" s="55"/>
      <c r="T34" s="55"/>
      <c r="U34" s="55"/>
      <c r="W34" s="51" t="str">
        <f t="shared" ref="W34" si="20">IF(B33="",W33,B33)</f>
        <v>Qualitat de la dada</v>
      </c>
      <c r="X34" s="19" t="str">
        <f t="shared" ref="X34" si="21">IF(E34="",X33,E34)</f>
        <v>Control i monitorització de la qualitat de les dades</v>
      </c>
      <c r="Y34" s="55"/>
      <c r="Z34" s="55"/>
      <c r="AA34" s="50"/>
    </row>
    <row r="35" spans="4:27" ht="130.5">
      <c r="D35" s="71" t="s">
        <v>401</v>
      </c>
      <c r="E35" s="72"/>
      <c r="F35" s="74" t="s">
        <v>402</v>
      </c>
      <c r="G35" s="168" t="s">
        <v>403</v>
      </c>
      <c r="H35" s="169" t="s">
        <v>404</v>
      </c>
      <c r="I35" s="170" t="s">
        <v>405</v>
      </c>
      <c r="J35" s="15">
        <f>SUMIF(M35:P35,G35,$M$5:$P$5)</f>
        <v>1</v>
      </c>
      <c r="L35" s="17" t="str">
        <f>D35</f>
        <v>QB01</v>
      </c>
      <c r="M35" s="19" t="s">
        <v>403</v>
      </c>
      <c r="N35" s="19" t="s">
        <v>406</v>
      </c>
      <c r="O35" s="19" t="s">
        <v>407</v>
      </c>
      <c r="P35" s="19" t="s">
        <v>408</v>
      </c>
      <c r="R35" s="52" t="s">
        <v>409</v>
      </c>
      <c r="S35" s="52" t="s">
        <v>410</v>
      </c>
      <c r="T35" s="52" t="s">
        <v>411</v>
      </c>
      <c r="U35" s="52" t="s">
        <v>247</v>
      </c>
      <c r="W35" s="51" t="str">
        <f>IF(B33="",W33,B33)</f>
        <v>Qualitat de la dada</v>
      </c>
      <c r="X35" s="19" t="str">
        <f>IF(E35="",X33,E35)</f>
        <v>Establiment d'estàndards, polítiques, bones pràctiques i procediments</v>
      </c>
      <c r="Y35" s="19" t="str">
        <f>IF(OR($G35=$M35,$G35=""),CONCATENATE(J35," - ",$R35),IF($G35=$N35,CONCATENATE(J35," - ",$S35),IF($G35=$O35,CONCATENATE(J35," - ",$T35),"")))</f>
        <v xml:space="preserve">1 - Començar a fer seguiment actiu i monitorització de la qualitat de les dades </v>
      </c>
      <c r="Z35" s="19">
        <f t="shared" si="4"/>
        <v>1</v>
      </c>
      <c r="AA35" s="50"/>
    </row>
    <row r="36" spans="4:27" ht="45">
      <c r="E36" s="70" t="s">
        <v>412</v>
      </c>
      <c r="F36" s="69"/>
      <c r="G36" s="69"/>
      <c r="H36" s="69"/>
      <c r="I36" s="69"/>
      <c r="J36" s="56">
        <f>SUM(J37:J37)/COUNT(J37:J37)</f>
        <v>1</v>
      </c>
      <c r="L36" s="17"/>
      <c r="M36" s="54"/>
      <c r="N36" s="54"/>
      <c r="O36" s="54"/>
      <c r="P36" s="54"/>
      <c r="R36" s="55"/>
      <c r="S36" s="55"/>
      <c r="T36" s="55"/>
      <c r="U36" s="55"/>
      <c r="W36" s="51" t="str">
        <f t="shared" si="18"/>
        <v>Qualitat de la dada</v>
      </c>
      <c r="X36" s="19" t="str">
        <f t="shared" si="19"/>
        <v>Planificació de la qualitat de les dades</v>
      </c>
      <c r="Y36" s="55"/>
      <c r="Z36" s="55"/>
      <c r="AA36" s="50"/>
    </row>
    <row r="37" spans="4:27" ht="135">
      <c r="D37" s="71" t="s">
        <v>413</v>
      </c>
      <c r="E37" s="72"/>
      <c r="F37" s="74" t="s">
        <v>414</v>
      </c>
      <c r="G37" s="75" t="s">
        <v>415</v>
      </c>
      <c r="H37" s="76" t="s">
        <v>416</v>
      </c>
      <c r="I37" s="76"/>
      <c r="J37" s="15">
        <f>SUMIF(M37:P37,G37,$M$5:$P$5)</f>
        <v>1</v>
      </c>
      <c r="L37" s="17" t="str">
        <f>D37</f>
        <v>QC01</v>
      </c>
      <c r="M37" s="19" t="s">
        <v>415</v>
      </c>
      <c r="N37" s="19" t="s">
        <v>417</v>
      </c>
      <c r="O37" s="19" t="s">
        <v>418</v>
      </c>
      <c r="P37" s="19" t="s">
        <v>419</v>
      </c>
      <c r="R37" s="52" t="s">
        <v>420</v>
      </c>
      <c r="S37" s="52" t="s">
        <v>421</v>
      </c>
      <c r="T37" s="52" t="s">
        <v>422</v>
      </c>
      <c r="U37" s="52" t="s">
        <v>236</v>
      </c>
      <c r="W37" s="51" t="str">
        <f t="shared" si="18"/>
        <v>Qualitat de la dada</v>
      </c>
      <c r="X37" s="19" t="str">
        <f t="shared" si="19"/>
        <v>Planificació de la qualitat de les dades</v>
      </c>
      <c r="Y37" s="19" t="str">
        <f>IF(OR($G37=$M37,$G37=""),CONCATENATE(J37," - ",$R37),IF($G37=$N37,CONCATENATE(J37," - ",$S37),IF($G37=$O37,CONCATENATE(J37," - ",$T37),"")))</f>
        <v>1 - Preparar un pla d'assegurament de la qualitat de les dades, que inicialment posi el focus en les dades crítiques i dades clau</v>
      </c>
      <c r="Z37" s="19">
        <f t="shared" si="4"/>
        <v>1</v>
      </c>
      <c r="AA37" s="50"/>
    </row>
  </sheetData>
  <mergeCells count="3">
    <mergeCell ref="I1:I2"/>
    <mergeCell ref="M4:P4"/>
    <mergeCell ref="R4:U4"/>
  </mergeCells>
  <dataValidations count="1">
    <dataValidation type="list" allowBlank="1" showInputMessage="1" showErrorMessage="1" sqref="G7:G17 G19:G30 G32:G37" xr:uid="{9CD75BE0-07E6-4D32-B27A-5198FEEA8272}">
      <formula1>M7:P7</formula1>
    </dataValidation>
  </dataValidations>
  <pageMargins left="0.70866141732283472" right="0.70866141732283472" top="0.74803149606299213" bottom="0.74803149606299213" header="0.31496062992125984" footer="0.31496062992125984"/>
  <pageSetup paperSize="9" scale="44" fitToHeight="0" orientation="portrait" r:id="rId1"/>
  <headerFooter>
    <oddFooter>&amp;L_x000D_&amp;1#&amp;"Tahoma"&amp;9&amp;KCF022B C2 – Uso Restringida</oddFooter>
  </headerFooter>
  <colBreaks count="1" manualBreakCount="1">
    <brk id="10"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BDD6-ABE9-491C-A619-743DE3C92A02}">
  <dimension ref="B1:P16"/>
  <sheetViews>
    <sheetView zoomScaleNormal="100" workbookViewId="0">
      <pane ySplit="6" topLeftCell="A7" activePane="bottomLeft" state="frozen"/>
      <selection pane="bottomLeft" activeCell="D7" sqref="D7"/>
    </sheetView>
  </sheetViews>
  <sheetFormatPr defaultColWidth="10.85546875" defaultRowHeight="15"/>
  <cols>
    <col min="1" max="2" width="2.5703125" style="2" customWidth="1"/>
    <col min="3" max="3" width="6" style="2" bestFit="1" customWidth="1"/>
    <col min="4" max="4" width="41.42578125" style="1" customWidth="1"/>
    <col min="5" max="5" width="20.42578125" style="2" customWidth="1"/>
    <col min="6" max="7" width="43.85546875" style="2" customWidth="1"/>
    <col min="8" max="8" width="5.140625" style="2" customWidth="1"/>
    <col min="9" max="10" width="10.85546875" style="2"/>
    <col min="11" max="11" width="9.5703125" style="2" customWidth="1"/>
    <col min="12" max="14" width="24.5703125" style="2" customWidth="1"/>
    <col min="15" max="15" width="2" style="2" customWidth="1"/>
    <col min="16" max="16384" width="10.85546875" style="2"/>
  </cols>
  <sheetData>
    <row r="1" spans="2:16">
      <c r="G1" s="175"/>
    </row>
    <row r="2" spans="2:16" ht="27" thickBot="1">
      <c r="B2" s="3" t="s">
        <v>313</v>
      </c>
      <c r="C2" s="3"/>
      <c r="D2" s="4"/>
      <c r="E2" s="5"/>
      <c r="F2" s="5"/>
      <c r="G2" s="176"/>
      <c r="H2" s="9">
        <f>H6/P6</f>
        <v>0</v>
      </c>
    </row>
    <row r="3" spans="2:16" ht="27" thickTop="1">
      <c r="B3" s="7"/>
      <c r="C3" s="7"/>
      <c r="H3" s="11"/>
    </row>
    <row r="4" spans="2:16" ht="50.45" customHeight="1">
      <c r="B4" s="7"/>
      <c r="C4" s="180" t="s">
        <v>423</v>
      </c>
      <c r="D4" s="180"/>
      <c r="E4" s="180"/>
      <c r="F4" s="180"/>
      <c r="G4" s="180"/>
      <c r="H4" s="22"/>
    </row>
    <row r="5" spans="2:16" ht="26.25">
      <c r="B5" s="7"/>
      <c r="C5" s="7"/>
    </row>
    <row r="6" spans="2:16" s="8" customFormat="1" ht="26.25">
      <c r="B6" s="7"/>
      <c r="C6" s="12" t="s">
        <v>214</v>
      </c>
      <c r="D6" s="12" t="s">
        <v>216</v>
      </c>
      <c r="E6" s="13" t="s">
        <v>217</v>
      </c>
      <c r="F6" s="13" t="s">
        <v>24</v>
      </c>
      <c r="G6" s="13" t="s">
        <v>218</v>
      </c>
      <c r="H6" s="14">
        <f>SUM(H7:H16)</f>
        <v>0</v>
      </c>
      <c r="J6" s="16"/>
      <c r="K6" s="17">
        <v>0</v>
      </c>
      <c r="L6" s="17">
        <v>1</v>
      </c>
      <c r="M6" s="17">
        <v>2</v>
      </c>
      <c r="N6" s="17">
        <v>3</v>
      </c>
      <c r="O6" s="18"/>
      <c r="P6" s="17">
        <f>SUM(P7:P16)</f>
        <v>26</v>
      </c>
    </row>
    <row r="7" spans="2:16" ht="45">
      <c r="C7" s="10" t="s">
        <v>424</v>
      </c>
      <c r="D7" s="10" t="s">
        <v>425</v>
      </c>
      <c r="E7" s="21"/>
      <c r="F7" s="6"/>
      <c r="G7" s="6"/>
      <c r="H7" s="15">
        <f t="shared" ref="H7:H16" si="0">SUMIF(K7:N7,E7,$K$6:$N$6)</f>
        <v>0</v>
      </c>
      <c r="J7" s="17" t="s">
        <v>424</v>
      </c>
      <c r="K7" s="19" t="s">
        <v>126</v>
      </c>
      <c r="L7" s="19" t="s">
        <v>426</v>
      </c>
      <c r="M7" s="19" t="s">
        <v>427</v>
      </c>
      <c r="N7" s="19"/>
      <c r="O7" s="18"/>
      <c r="P7" s="19">
        <f t="shared" ref="P7:P16" si="1">COUNTA(L7:N7)</f>
        <v>2</v>
      </c>
    </row>
    <row r="8" spans="2:16" ht="30">
      <c r="C8" s="10" t="s">
        <v>428</v>
      </c>
      <c r="D8" s="10" t="s">
        <v>429</v>
      </c>
      <c r="E8" s="21"/>
      <c r="F8" s="6"/>
      <c r="G8" s="6"/>
      <c r="H8" s="15">
        <f t="shared" si="0"/>
        <v>0</v>
      </c>
      <c r="J8" s="17" t="s">
        <v>428</v>
      </c>
      <c r="K8" s="19" t="s">
        <v>126</v>
      </c>
      <c r="L8" s="19" t="s">
        <v>430</v>
      </c>
      <c r="M8" s="19" t="s">
        <v>431</v>
      </c>
      <c r="N8" s="20"/>
      <c r="O8" s="18"/>
      <c r="P8" s="19">
        <f t="shared" si="1"/>
        <v>2</v>
      </c>
    </row>
    <row r="9" spans="2:16" ht="45">
      <c r="C9" s="10" t="s">
        <v>432</v>
      </c>
      <c r="D9" s="10" t="s">
        <v>433</v>
      </c>
      <c r="E9" s="21"/>
      <c r="F9" s="6"/>
      <c r="G9" s="6"/>
      <c r="H9" s="15">
        <f t="shared" si="0"/>
        <v>0</v>
      </c>
      <c r="J9" s="17" t="s">
        <v>432</v>
      </c>
      <c r="K9" s="19" t="s">
        <v>126</v>
      </c>
      <c r="L9" s="19" t="s">
        <v>430</v>
      </c>
      <c r="M9" s="19" t="s">
        <v>434</v>
      </c>
      <c r="N9" s="19" t="s">
        <v>435</v>
      </c>
      <c r="O9" s="18"/>
      <c r="P9" s="19">
        <f t="shared" si="1"/>
        <v>3</v>
      </c>
    </row>
    <row r="10" spans="2:16" ht="45">
      <c r="C10" s="10" t="s">
        <v>436</v>
      </c>
      <c r="D10" s="10" t="s">
        <v>437</v>
      </c>
      <c r="E10" s="21"/>
      <c r="F10" s="6"/>
      <c r="G10" s="6"/>
      <c r="H10" s="15">
        <f t="shared" si="0"/>
        <v>0</v>
      </c>
      <c r="J10" s="17" t="s">
        <v>436</v>
      </c>
      <c r="K10" s="19" t="s">
        <v>126</v>
      </c>
      <c r="L10" s="19" t="s">
        <v>438</v>
      </c>
      <c r="M10" s="19" t="s">
        <v>439</v>
      </c>
      <c r="N10" s="20" t="s">
        <v>440</v>
      </c>
      <c r="O10" s="18"/>
      <c r="P10" s="19">
        <f t="shared" si="1"/>
        <v>3</v>
      </c>
    </row>
    <row r="11" spans="2:16" ht="45">
      <c r="C11" s="10" t="s">
        <v>441</v>
      </c>
      <c r="D11" s="10" t="s">
        <v>442</v>
      </c>
      <c r="E11" s="21"/>
      <c r="F11" s="6"/>
      <c r="G11" s="6"/>
      <c r="H11" s="15">
        <f t="shared" si="0"/>
        <v>0</v>
      </c>
      <c r="J11" s="17" t="s">
        <v>441</v>
      </c>
      <c r="K11" s="19" t="s">
        <v>126</v>
      </c>
      <c r="L11" s="19" t="s">
        <v>430</v>
      </c>
      <c r="M11" s="19" t="s">
        <v>434</v>
      </c>
      <c r="N11" s="20" t="s">
        <v>435</v>
      </c>
      <c r="O11" s="18"/>
      <c r="P11" s="19">
        <f t="shared" si="1"/>
        <v>3</v>
      </c>
    </row>
    <row r="12" spans="2:16" ht="75">
      <c r="C12" s="10" t="s">
        <v>443</v>
      </c>
      <c r="D12" s="10" t="s">
        <v>444</v>
      </c>
      <c r="E12" s="21"/>
      <c r="F12" s="6"/>
      <c r="G12" s="6"/>
      <c r="H12" s="15">
        <f t="shared" si="0"/>
        <v>0</v>
      </c>
      <c r="J12" s="17" t="s">
        <v>443</v>
      </c>
      <c r="K12" s="19" t="s">
        <v>126</v>
      </c>
      <c r="L12" s="19" t="s">
        <v>430</v>
      </c>
      <c r="M12" s="19" t="s">
        <v>434</v>
      </c>
      <c r="N12" s="20" t="s">
        <v>435</v>
      </c>
      <c r="O12" s="18"/>
      <c r="P12" s="19">
        <f t="shared" si="1"/>
        <v>3</v>
      </c>
    </row>
    <row r="13" spans="2:16" ht="75">
      <c r="C13" s="10" t="s">
        <v>445</v>
      </c>
      <c r="D13" s="10" t="s">
        <v>446</v>
      </c>
      <c r="E13" s="21"/>
      <c r="F13" s="6"/>
      <c r="G13" s="6"/>
      <c r="H13" s="15">
        <f t="shared" si="0"/>
        <v>0</v>
      </c>
      <c r="J13" s="17" t="s">
        <v>445</v>
      </c>
      <c r="K13" s="19" t="s">
        <v>126</v>
      </c>
      <c r="L13" s="19" t="s">
        <v>430</v>
      </c>
      <c r="M13" s="19" t="s">
        <v>434</v>
      </c>
      <c r="N13" s="20" t="s">
        <v>435</v>
      </c>
      <c r="O13" s="18"/>
      <c r="P13" s="19">
        <f t="shared" si="1"/>
        <v>3</v>
      </c>
    </row>
    <row r="14" spans="2:16" ht="45">
      <c r="C14" s="10" t="s">
        <v>447</v>
      </c>
      <c r="D14" s="10" t="s">
        <v>448</v>
      </c>
      <c r="E14" s="21"/>
      <c r="F14" s="6"/>
      <c r="G14" s="6"/>
      <c r="H14" s="15">
        <f t="shared" si="0"/>
        <v>0</v>
      </c>
      <c r="J14" s="17" t="s">
        <v>447</v>
      </c>
      <c r="K14" s="19" t="s">
        <v>126</v>
      </c>
      <c r="L14" s="19" t="s">
        <v>449</v>
      </c>
      <c r="M14" s="19" t="s">
        <v>450</v>
      </c>
      <c r="N14" s="20"/>
      <c r="P14" s="19">
        <f t="shared" si="1"/>
        <v>2</v>
      </c>
    </row>
    <row r="15" spans="2:16" ht="60">
      <c r="C15" s="10" t="s">
        <v>451</v>
      </c>
      <c r="D15" s="10" t="s">
        <v>452</v>
      </c>
      <c r="E15" s="21"/>
      <c r="F15" s="6"/>
      <c r="G15" s="6"/>
      <c r="H15" s="15">
        <f t="shared" si="0"/>
        <v>0</v>
      </c>
      <c r="J15" s="17" t="s">
        <v>451</v>
      </c>
      <c r="K15" s="19" t="s">
        <v>126</v>
      </c>
      <c r="L15" s="19" t="s">
        <v>453</v>
      </c>
      <c r="M15" s="19" t="s">
        <v>454</v>
      </c>
      <c r="N15" s="20"/>
      <c r="P15" s="19">
        <f t="shared" si="1"/>
        <v>2</v>
      </c>
    </row>
    <row r="16" spans="2:16" ht="45">
      <c r="C16" s="10" t="s">
        <v>455</v>
      </c>
      <c r="D16" s="10" t="s">
        <v>456</v>
      </c>
      <c r="E16" s="21"/>
      <c r="F16" s="6"/>
      <c r="G16" s="6"/>
      <c r="H16" s="15">
        <f t="shared" si="0"/>
        <v>0</v>
      </c>
      <c r="J16" s="17" t="s">
        <v>455</v>
      </c>
      <c r="K16" s="19" t="s">
        <v>126</v>
      </c>
      <c r="L16" s="19" t="s">
        <v>457</v>
      </c>
      <c r="M16" s="19" t="s">
        <v>458</v>
      </c>
      <c r="N16" s="20" t="s">
        <v>459</v>
      </c>
      <c r="P16" s="19">
        <f t="shared" si="1"/>
        <v>3</v>
      </c>
    </row>
  </sheetData>
  <mergeCells count="2">
    <mergeCell ref="C4:G4"/>
    <mergeCell ref="G1:G2"/>
  </mergeCells>
  <phoneticPr fontId="5" type="noConversion"/>
  <dataValidations count="1">
    <dataValidation type="list" allowBlank="1" showInputMessage="1" showErrorMessage="1" sqref="E7:E13" xr:uid="{5FF10476-EF18-4636-B2E3-D41A53155A36}">
      <formula1>K7:N7</formula1>
    </dataValidation>
  </dataValidations>
  <pageMargins left="0.7" right="0.7" top="0.75" bottom="0.75" header="0.3" footer="0.3"/>
  <headerFooter>
    <oddFooter>&amp;L_x000D_&amp;1#&amp;"Tahoma"&amp;9&amp;KCF022B C2 – Uso Restringido</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3C79-3B1D-4A1F-B408-3352722751C8}">
  <dimension ref="B1:P13"/>
  <sheetViews>
    <sheetView zoomScaleNormal="100" workbookViewId="0">
      <pane ySplit="6" topLeftCell="A7" activePane="bottomLeft" state="frozen"/>
      <selection pane="bottomLeft" activeCell="C4" sqref="C4:H4"/>
    </sheetView>
  </sheetViews>
  <sheetFormatPr defaultColWidth="10.85546875" defaultRowHeight="15"/>
  <cols>
    <col min="1" max="2" width="2.5703125" style="2" customWidth="1"/>
    <col min="3" max="3" width="6" style="2" bestFit="1" customWidth="1"/>
    <col min="4" max="4" width="41.42578125" style="1" customWidth="1"/>
    <col min="5" max="5" width="20.42578125" style="2" customWidth="1"/>
    <col min="6" max="7" width="43.85546875" style="2" customWidth="1"/>
    <col min="8" max="8" width="5.140625" style="2" customWidth="1"/>
    <col min="9" max="10" width="10.85546875" style="2"/>
    <col min="11" max="11" width="9.5703125" style="2" customWidth="1"/>
    <col min="12" max="14" width="24.5703125" style="2" customWidth="1"/>
    <col min="15" max="15" width="2" style="2" customWidth="1"/>
    <col min="16" max="16384" width="10.85546875" style="2"/>
  </cols>
  <sheetData>
    <row r="1" spans="2:16">
      <c r="G1" s="175"/>
    </row>
    <row r="2" spans="2:16" ht="27" thickBot="1">
      <c r="B2" s="3" t="s">
        <v>389</v>
      </c>
      <c r="C2" s="3"/>
      <c r="D2" s="4"/>
      <c r="E2" s="5"/>
      <c r="F2" s="5"/>
      <c r="G2" s="176"/>
      <c r="H2" s="9">
        <f>H6/P6</f>
        <v>6.25E-2</v>
      </c>
    </row>
    <row r="3" spans="2:16" ht="27" thickTop="1">
      <c r="B3" s="7"/>
      <c r="C3" s="7"/>
      <c r="H3" s="11"/>
    </row>
    <row r="4" spans="2:16" ht="51.6" customHeight="1">
      <c r="B4" s="7"/>
      <c r="C4" s="181" t="s">
        <v>460</v>
      </c>
      <c r="D4" s="181"/>
      <c r="E4" s="181"/>
      <c r="F4" s="181"/>
      <c r="G4" s="181"/>
      <c r="H4" s="181"/>
    </row>
    <row r="5" spans="2:16" ht="26.25">
      <c r="B5" s="7"/>
      <c r="C5" s="7"/>
    </row>
    <row r="6" spans="2:16" s="8" customFormat="1" ht="26.25">
      <c r="B6" s="7"/>
      <c r="C6" s="12" t="s">
        <v>214</v>
      </c>
      <c r="D6" s="12" t="s">
        <v>216</v>
      </c>
      <c r="E6" s="13" t="s">
        <v>217</v>
      </c>
      <c r="F6" s="13" t="s">
        <v>24</v>
      </c>
      <c r="G6" s="13" t="s">
        <v>218</v>
      </c>
      <c r="H6" s="14">
        <f>SUM(H7:H13)</f>
        <v>1</v>
      </c>
      <c r="J6" s="16"/>
      <c r="K6" s="17">
        <v>0</v>
      </c>
      <c r="L6" s="17">
        <v>1</v>
      </c>
      <c r="M6" s="17">
        <v>2</v>
      </c>
      <c r="N6" s="17">
        <v>3</v>
      </c>
      <c r="O6" s="18"/>
      <c r="P6" s="17">
        <f>SUM(P7:P14)</f>
        <v>16</v>
      </c>
    </row>
    <row r="7" spans="2:16" ht="45">
      <c r="C7" s="10" t="s">
        <v>461</v>
      </c>
      <c r="D7" s="10" t="s">
        <v>462</v>
      </c>
      <c r="E7" s="21"/>
      <c r="F7" s="6"/>
      <c r="G7" s="6"/>
      <c r="H7" s="15">
        <f t="shared" ref="H7:H13" si="0">SUMIF(K7:N7,E7,$K$6:$N$6)</f>
        <v>0</v>
      </c>
      <c r="J7" s="17" t="str">
        <f t="shared" ref="J7:J13" si="1">C7</f>
        <v>QD.01</v>
      </c>
      <c r="K7" s="19" t="s">
        <v>463</v>
      </c>
      <c r="L7" s="19" t="s">
        <v>464</v>
      </c>
      <c r="M7" s="19" t="s">
        <v>465</v>
      </c>
      <c r="N7" s="19" t="s">
        <v>466</v>
      </c>
      <c r="O7" s="18"/>
      <c r="P7" s="19">
        <f t="shared" ref="P7:P13" si="2">COUNTA(L7:N7)</f>
        <v>3</v>
      </c>
    </row>
    <row r="8" spans="2:16" ht="30">
      <c r="C8" s="10" t="s">
        <v>467</v>
      </c>
      <c r="D8" s="10" t="s">
        <v>468</v>
      </c>
      <c r="E8" s="21"/>
      <c r="F8" s="6"/>
      <c r="G8" s="6"/>
      <c r="H8" s="15">
        <f t="shared" si="0"/>
        <v>0</v>
      </c>
      <c r="J8" s="17" t="str">
        <f t="shared" si="1"/>
        <v>QD.02</v>
      </c>
      <c r="K8" s="19" t="s">
        <v>126</v>
      </c>
      <c r="L8" s="19" t="s">
        <v>430</v>
      </c>
      <c r="M8" s="19" t="s">
        <v>469</v>
      </c>
      <c r="N8" s="20"/>
      <c r="O8" s="18"/>
      <c r="P8" s="19">
        <f t="shared" si="2"/>
        <v>2</v>
      </c>
    </row>
    <row r="9" spans="2:16" ht="45">
      <c r="C9" s="10" t="s">
        <v>470</v>
      </c>
      <c r="D9" s="10" t="s">
        <v>402</v>
      </c>
      <c r="E9" s="21" t="s">
        <v>464</v>
      </c>
      <c r="F9" s="6"/>
      <c r="G9" s="6"/>
      <c r="H9" s="15">
        <f t="shared" si="0"/>
        <v>1</v>
      </c>
      <c r="J9" s="17" t="str">
        <f t="shared" si="1"/>
        <v>QD.03</v>
      </c>
      <c r="K9" s="19" t="s">
        <v>126</v>
      </c>
      <c r="L9" s="19" t="s">
        <v>464</v>
      </c>
      <c r="M9" s="19" t="s">
        <v>465</v>
      </c>
      <c r="N9" s="19" t="s">
        <v>466</v>
      </c>
      <c r="O9" s="18"/>
      <c r="P9" s="19">
        <f t="shared" si="2"/>
        <v>3</v>
      </c>
    </row>
    <row r="10" spans="2:16" ht="45">
      <c r="C10" s="10" t="s">
        <v>471</v>
      </c>
      <c r="D10" s="10" t="s">
        <v>472</v>
      </c>
      <c r="E10" s="21"/>
      <c r="F10" s="6"/>
      <c r="G10" s="6"/>
      <c r="H10" s="15">
        <f t="shared" si="0"/>
        <v>0</v>
      </c>
      <c r="J10" s="17" t="str">
        <f t="shared" si="1"/>
        <v>QD.04</v>
      </c>
      <c r="K10" s="19" t="s">
        <v>126</v>
      </c>
      <c r="L10" s="19" t="s">
        <v>473</v>
      </c>
      <c r="M10" s="19" t="s">
        <v>474</v>
      </c>
      <c r="N10" s="20"/>
      <c r="O10" s="18"/>
      <c r="P10" s="19">
        <f t="shared" si="2"/>
        <v>2</v>
      </c>
    </row>
    <row r="11" spans="2:16" ht="45">
      <c r="C11" s="10" t="s">
        <v>475</v>
      </c>
      <c r="D11" s="10" t="s">
        <v>476</v>
      </c>
      <c r="E11" s="21"/>
      <c r="F11" s="6"/>
      <c r="G11" s="6"/>
      <c r="H11" s="15">
        <f t="shared" si="0"/>
        <v>0</v>
      </c>
      <c r="J11" s="17" t="str">
        <f t="shared" si="1"/>
        <v>QD.05</v>
      </c>
      <c r="K11" s="19" t="s">
        <v>126</v>
      </c>
      <c r="L11" s="19" t="s">
        <v>473</v>
      </c>
      <c r="M11" s="19" t="s">
        <v>474</v>
      </c>
      <c r="N11" s="20"/>
      <c r="O11" s="18"/>
      <c r="P11" s="19">
        <f t="shared" si="2"/>
        <v>2</v>
      </c>
    </row>
    <row r="12" spans="2:16" ht="45">
      <c r="C12" s="10" t="s">
        <v>477</v>
      </c>
      <c r="D12" s="10" t="s">
        <v>478</v>
      </c>
      <c r="E12" s="21"/>
      <c r="F12" s="6"/>
      <c r="G12" s="6"/>
      <c r="H12" s="15">
        <f t="shared" si="0"/>
        <v>0</v>
      </c>
      <c r="J12" s="17" t="str">
        <f t="shared" si="1"/>
        <v>QD.06</v>
      </c>
      <c r="K12" s="19" t="s">
        <v>126</v>
      </c>
      <c r="L12" s="19" t="s">
        <v>473</v>
      </c>
      <c r="M12" s="19" t="s">
        <v>474</v>
      </c>
      <c r="N12" s="20"/>
      <c r="O12" s="18"/>
      <c r="P12" s="19">
        <f t="shared" si="2"/>
        <v>2</v>
      </c>
    </row>
    <row r="13" spans="2:16" ht="45">
      <c r="C13" s="10" t="s">
        <v>479</v>
      </c>
      <c r="D13" s="10" t="s">
        <v>480</v>
      </c>
      <c r="E13" s="21"/>
      <c r="F13" s="6"/>
      <c r="G13" s="6"/>
      <c r="H13" s="15">
        <f t="shared" si="0"/>
        <v>0</v>
      </c>
      <c r="J13" s="17" t="str">
        <f t="shared" si="1"/>
        <v>QD.07</v>
      </c>
      <c r="K13" s="19" t="s">
        <v>126</v>
      </c>
      <c r="L13" s="19" t="s">
        <v>473</v>
      </c>
      <c r="M13" s="19" t="s">
        <v>474</v>
      </c>
      <c r="N13" s="20"/>
      <c r="O13" s="18"/>
      <c r="P13" s="19">
        <f t="shared" si="2"/>
        <v>2</v>
      </c>
    </row>
  </sheetData>
  <mergeCells count="2">
    <mergeCell ref="C4:H4"/>
    <mergeCell ref="G1:G2"/>
  </mergeCells>
  <phoneticPr fontId="5" type="noConversion"/>
  <dataValidations count="1">
    <dataValidation type="list" allowBlank="1" showInputMessage="1" showErrorMessage="1" sqref="E7:E13" xr:uid="{449696EB-D62C-4891-BABF-B8D0C2EDCA8D}">
      <formula1>K7:N7</formula1>
    </dataValidation>
  </dataValidations>
  <pageMargins left="0.7" right="0.7" top="0.75" bottom="0.75" header="0.3" footer="0.3"/>
  <headerFooter>
    <oddFooter>&amp;L_x000D_&amp;1#&amp;"Tahoma"&amp;9&amp;KCF022B C2 – Uso Restringido</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5621-7D10-4AE6-87C7-280D8EE51A56}">
  <sheetPr>
    <tabColor rgb="FFFFC000"/>
    <pageSetUpPr fitToPage="1"/>
  </sheetPr>
  <dimension ref="A1:T45"/>
  <sheetViews>
    <sheetView tabSelected="1" view="pageBreakPreview" zoomScale="60" zoomScaleNormal="100" workbookViewId="0">
      <pane ySplit="5" topLeftCell="A6" activePane="bottomLeft" state="frozen"/>
      <selection pane="bottomLeft" activeCell="F43" sqref="F43"/>
    </sheetView>
  </sheetViews>
  <sheetFormatPr defaultColWidth="11.42578125" defaultRowHeight="15"/>
  <cols>
    <col min="1" max="1" width="2.5703125" style="37" customWidth="1"/>
    <col min="2" max="2" width="4.85546875" style="40" customWidth="1"/>
    <col min="3" max="3" width="2.85546875" style="40" customWidth="1"/>
    <col min="4" max="4" width="2.85546875" style="120" customWidth="1"/>
    <col min="5" max="5" width="5.5703125" style="38" bestFit="1" customWidth="1"/>
    <col min="6" max="6" width="142.7109375" style="40" customWidth="1"/>
    <col min="7" max="7" width="10.85546875" style="43" bestFit="1" customWidth="1"/>
    <col min="8" max="10" width="11.42578125" style="40"/>
    <col min="11" max="11" width="24.42578125" style="40" customWidth="1"/>
    <col min="12" max="14" width="11.42578125" style="37"/>
    <col min="15" max="16384" width="11.42578125" style="40"/>
  </cols>
  <sheetData>
    <row r="1" spans="1:20" s="2" customFormat="1">
      <c r="D1" s="119"/>
      <c r="F1" s="1"/>
      <c r="I1" s="117"/>
      <c r="Q1" s="53"/>
      <c r="R1" s="53"/>
      <c r="S1" s="53"/>
      <c r="T1" s="53"/>
    </row>
    <row r="2" spans="1:20" s="2" customFormat="1" ht="26.25">
      <c r="B2" s="3" t="s">
        <v>0</v>
      </c>
      <c r="C2" s="3"/>
      <c r="D2" s="3"/>
      <c r="E2" s="121"/>
      <c r="F2" s="4"/>
      <c r="G2" s="4"/>
      <c r="H2" s="4"/>
      <c r="I2" s="4"/>
      <c r="J2" s="4"/>
      <c r="K2" s="4"/>
      <c r="Q2" s="53"/>
      <c r="R2" s="53"/>
      <c r="S2" s="53"/>
      <c r="T2" s="53"/>
    </row>
    <row r="3" spans="1:20" s="39" customFormat="1" ht="18.75">
      <c r="A3" s="26"/>
      <c r="B3" s="26"/>
      <c r="C3" s="26"/>
      <c r="D3" s="26"/>
      <c r="E3" s="122"/>
      <c r="G3" s="42"/>
    </row>
    <row r="4" spans="1:20" s="25" customFormat="1" ht="27.75">
      <c r="A4" s="23"/>
      <c r="B4" s="28" t="s">
        <v>481</v>
      </c>
      <c r="C4" s="23"/>
      <c r="D4" s="65"/>
      <c r="E4" s="123"/>
      <c r="G4" s="41"/>
    </row>
    <row r="5" spans="1:20" s="25" customFormat="1" ht="29.25">
      <c r="A5" s="23"/>
      <c r="B5" s="23"/>
      <c r="C5" s="23"/>
      <c r="D5" s="65"/>
      <c r="E5" s="23"/>
      <c r="G5" s="126" t="s">
        <v>482</v>
      </c>
      <c r="H5" s="126" t="s">
        <v>483</v>
      </c>
      <c r="I5" s="126" t="s">
        <v>484</v>
      </c>
      <c r="J5" s="126" t="s">
        <v>485</v>
      </c>
      <c r="K5" s="126" t="s">
        <v>486</v>
      </c>
    </row>
    <row r="6" spans="1:20" s="37" customFormat="1" ht="26.25">
      <c r="B6" s="73" t="s">
        <v>221</v>
      </c>
      <c r="C6" s="7"/>
      <c r="D6" s="7"/>
      <c r="G6" s="38"/>
    </row>
    <row r="7" spans="1:20" s="37" customFormat="1">
      <c r="B7" s="2"/>
      <c r="C7" s="2"/>
      <c r="D7" s="119" t="s">
        <v>225</v>
      </c>
      <c r="E7" s="2"/>
      <c r="G7" s="38"/>
    </row>
    <row r="8" spans="1:20" ht="29.25">
      <c r="B8" s="2"/>
      <c r="C8" s="2"/>
      <c r="D8" s="119"/>
      <c r="E8" s="129" t="s">
        <v>226</v>
      </c>
      <c r="F8" s="130" t="str">
        <f>IF(VLOOKUP(E8,[1]Qüestionari!D:Z,22,0)="","&lt;No aplica&gt;",VLOOKUP(E8,[1]Qüestionari!D:Z,22,0))</f>
        <v>1 - Definir un Marc de Govern de la dada de marea senzilla i escalable alineat amb els objectius de l'Ajuntament/Organisme, definint regles clares de gestió de les dades (qualitat, seguretat i accés), rols i responsabilitats i processos clau)</v>
      </c>
      <c r="G8" s="124">
        <f>IF(VLOOKUP(E8,[1]Qüestionari!D:Z,23,0)=4,"",VLOOKUP(E8,[1]Qüestionari!D:Z,23,0))</f>
        <v>1</v>
      </c>
      <c r="H8" s="125" t="s">
        <v>487</v>
      </c>
      <c r="I8" s="125" t="s">
        <v>488</v>
      </c>
      <c r="J8" s="124">
        <f>IF(AND(H8&lt;&gt;"",I8&lt;&gt;""),INT(LEFT(H8,1))+INT(LEFT(I8,1)),"")</f>
        <v>4</v>
      </c>
      <c r="K8" s="125" t="s">
        <v>489</v>
      </c>
    </row>
    <row r="9" spans="1:20" ht="29.25">
      <c r="B9" s="2"/>
      <c r="C9" s="2"/>
      <c r="D9" s="119"/>
      <c r="E9" s="128" t="s">
        <v>237</v>
      </c>
      <c r="F9" s="130" t="str">
        <f>IF(VLOOKUP(E9,[1]Qüestionari!D:Z,22,0)="","&lt;No aplica&gt;",VLOOKUP(E9,[1]Qüestionari!D:Z,22,0))</f>
        <v>1 - Cal definir la Política de  Govern de la dada, es pot iniciar amb regles bàsiques que defineixin les responsabilitats, classifiquin les dades, estableixin normes d'accés i seguretat, i projectar un Inventari de dades. Per tal de fer aquest camí més senzill i aprofitant l'experiència de la DIBA, aquesta facilita el procediment d'adhesió a les seves Polítiques.</v>
      </c>
      <c r="G9" s="124">
        <f>IF(VLOOKUP(E9,[1]Qüestionari!D:Z,23,0)=4,"",VLOOKUP(E9,[1]Qüestionari!D:Z,23,0))</f>
        <v>1</v>
      </c>
      <c r="H9" s="125" t="s">
        <v>487</v>
      </c>
      <c r="I9" s="125" t="s">
        <v>488</v>
      </c>
      <c r="J9" s="124">
        <f>IF(AND(H9&lt;&gt;"",I9&lt;&gt;""),INT(LEFT(H9,1))+INT(LEFT(I9,1)),"")</f>
        <v>4</v>
      </c>
      <c r="K9" s="125" t="s">
        <v>489</v>
      </c>
    </row>
    <row r="10" spans="1:20">
      <c r="B10" s="2"/>
      <c r="C10" s="2"/>
      <c r="D10" s="119" t="s">
        <v>248</v>
      </c>
      <c r="E10" s="2"/>
      <c r="G10" s="40"/>
    </row>
    <row r="11" spans="1:20" ht="29.25">
      <c r="B11" s="2"/>
      <c r="C11" s="2"/>
      <c r="D11" s="119"/>
      <c r="E11" s="127" t="s">
        <v>249</v>
      </c>
      <c r="F11" s="130" t="str">
        <f>IF(VLOOKUP(E11,[1]Qüestionari!D:Z,22,0)="","&lt;No aplica&gt;",VLOOKUP(E11,[1]Qüestionari!D:Z,22,0))</f>
        <v>1 - Definir una estratègia de dades de manera clara i accessible per a tots els actors implicats, que detalli els objectius estratègics, concreti iniciatives/un pla d'acció amb prioritats i involucrar als equips de treball</v>
      </c>
      <c r="G11" s="124">
        <f>IF(VLOOKUP(E11,[1]Qüestionari!D:Z,23,0)=4,"",VLOOKUP(E11,[1]Qüestionari!D:Z,23,0))</f>
        <v>1</v>
      </c>
      <c r="H11" s="125" t="s">
        <v>487</v>
      </c>
      <c r="I11" s="125" t="s">
        <v>488</v>
      </c>
      <c r="J11" s="124">
        <f>IF(AND(H11&lt;&gt;"",I11&lt;&gt;""),INT(LEFT(H11,1))+INT(LEFT(I11,1)),"")</f>
        <v>4</v>
      </c>
      <c r="K11" s="125" t="s">
        <v>489</v>
      </c>
    </row>
    <row r="12" spans="1:20" ht="29.25">
      <c r="B12" s="2"/>
      <c r="C12" s="2"/>
      <c r="D12" s="119"/>
      <c r="E12" s="127" t="s">
        <v>259</v>
      </c>
      <c r="F12" s="130" t="str">
        <f>IF(VLOOKUP(E12,[1]Qüestionari!D:Z,22,0)="","&lt;No aplica&gt;",VLOOKUP(E12,[1]Qüestionari!D:Z,22,0))</f>
        <v>1 - Cal establir indicadors clau (KPIs) per a mesurar la qualitat, accessibilitat i efectivitat de les dades. Aquestes mètriques haurien de mesurar qualitats com la precisió, integritat, consistència i rendiment de les dades. Això facilitarà la gestió i millora de les dades.</v>
      </c>
      <c r="G12" s="124">
        <f>IF(VLOOKUP(E12,[1]Qüestionari!D:Z,23,0)=4,"",VLOOKUP(E12,[1]Qüestionari!D:Z,23,0))</f>
        <v>1</v>
      </c>
      <c r="H12" s="125" t="s">
        <v>490</v>
      </c>
      <c r="I12" s="125" t="s">
        <v>491</v>
      </c>
      <c r="J12" s="124">
        <f>IF(AND(H12&lt;&gt;"",I12&lt;&gt;""),INT(LEFT(H12,1))+INT(LEFT(I12,1)),"")</f>
        <v>4</v>
      </c>
      <c r="K12" s="125" t="s">
        <v>492</v>
      </c>
    </row>
    <row r="13" spans="1:20">
      <c r="B13" s="2"/>
      <c r="C13" s="2"/>
      <c r="D13" s="119" t="s">
        <v>269</v>
      </c>
      <c r="E13" s="2"/>
      <c r="G13" s="40"/>
    </row>
    <row r="14" spans="1:20" ht="29.25">
      <c r="B14" s="2"/>
      <c r="C14" s="2"/>
      <c r="D14" s="119"/>
      <c r="E14" s="127" t="s">
        <v>270</v>
      </c>
      <c r="F14" s="130" t="str">
        <f>IF(VLOOKUP(E14,[1]Qüestionari!D:Z,22,0)="","&lt;No aplica&gt;",VLOOKUP(E14,[1]Qüestionari!D:Z,22,0))</f>
        <v>1 - Crear una estructura organitzativa mínima viable que permeti iniciar la governança de manera efectiva, definint rols clau, com Responsable de dades i Propietari de dades, i establir un Comitè de Dades per a la coordinació entre àrees</v>
      </c>
      <c r="G14" s="124">
        <f>IF(VLOOKUP(E14,[1]Qüestionari!D:Z,23,0)=4,"",VLOOKUP(E14,[1]Qüestionari!D:Z,23,0))</f>
        <v>1</v>
      </c>
      <c r="H14" s="125" t="s">
        <v>487</v>
      </c>
      <c r="I14" s="125" t="s">
        <v>488</v>
      </c>
      <c r="J14" s="124">
        <f>IF(AND(H14&lt;&gt;"",I14&lt;&gt;""),INT(LEFT(H14,1))+INT(LEFT(I14,1)),"")</f>
        <v>4</v>
      </c>
      <c r="K14" s="125" t="s">
        <v>489</v>
      </c>
    </row>
    <row r="15" spans="1:20">
      <c r="B15" s="2"/>
      <c r="C15" s="2"/>
      <c r="D15" s="119" t="s">
        <v>280</v>
      </c>
      <c r="E15" s="2"/>
      <c r="G15" s="40"/>
    </row>
    <row r="16" spans="1:20" ht="29.25">
      <c r="B16" s="2"/>
      <c r="C16" s="2"/>
      <c r="D16" s="119"/>
      <c r="E16" s="127" t="s">
        <v>281</v>
      </c>
      <c r="F16" s="130" t="str">
        <f>IF(VLOOKUP(E16,[1]Qüestionari!D:Z,22,0)="","&lt;No aplica&gt;",VLOOKUP(E16,[1]Qüestionari!D:Z,22,0))</f>
        <v>1 - És fonamental assignar definir i assignar els rols de Propietari de la dada (Data Owners) i de Responsable de la dada (Data Steward) per a garantitzar la qualitat, seguretat i us adequat de la informació. La definició d'aquests rols ha de deixar clares les funcions i les responsabilitats.</v>
      </c>
      <c r="G16" s="124">
        <f>IF(VLOOKUP(E16,[1]Qüestionari!D:Z,23,0)=4,"",VLOOKUP(E16,[1]Qüestionari!D:Z,23,0))</f>
        <v>1</v>
      </c>
      <c r="H16" s="125" t="s">
        <v>490</v>
      </c>
      <c r="I16" s="125" t="s">
        <v>493</v>
      </c>
      <c r="J16" s="124">
        <f>IF(AND(H16&lt;&gt;"",I16&lt;&gt;""),INT(LEFT(H16,1))+INT(LEFT(I16,1)),"")</f>
        <v>3</v>
      </c>
      <c r="K16" s="125" t="s">
        <v>492</v>
      </c>
    </row>
    <row r="17" spans="2:11" ht="29.25">
      <c r="B17" s="2"/>
      <c r="C17" s="2"/>
      <c r="D17" s="119"/>
      <c r="E17" s="127" t="s">
        <v>292</v>
      </c>
      <c r="F17" s="130" t="str">
        <f>IF(VLOOKUP(E17,[1]Qüestionari!D:Z,22,0)="","&lt;No aplica&gt;",VLOOKUP(E17,[1]Qüestionari!D:Z,22,0))</f>
        <v>1 - S'hauria de definir clarament les funcions del Responsable de dades (Data Stewart), identificar els perfils adequats dins de l'Ajuntament o Organisme i capacitar-los per a portar a terme les seves funcions de manera efectiva.</v>
      </c>
      <c r="G17" s="124">
        <f>IF(VLOOKUP(E17,[1]Qüestionari!D:Z,23,0)=4,"",VLOOKUP(E17,[1]Qüestionari!D:Z,23,0))</f>
        <v>1</v>
      </c>
      <c r="H17" s="125" t="s">
        <v>490</v>
      </c>
      <c r="I17" s="125" t="s">
        <v>493</v>
      </c>
      <c r="J17" s="124">
        <f>IF(AND(H17&lt;&gt;"",I17&lt;&gt;""),INT(LEFT(H17,1))+INT(LEFT(I17,1)),"")</f>
        <v>3</v>
      </c>
      <c r="K17" s="125" t="s">
        <v>492</v>
      </c>
    </row>
    <row r="18" spans="2:11" ht="29.25">
      <c r="B18" s="2"/>
      <c r="C18" s="2"/>
      <c r="D18" s="119"/>
      <c r="E18" s="127" t="s">
        <v>303</v>
      </c>
      <c r="F18" s="130" t="str">
        <f>IF(VLOOKUP(E18,[1]Qüestionari!D:Z,22,0)="","&lt;No aplica&gt;",VLOOKUP(E18,[1]Qüestionari!D:Z,22,0))</f>
        <v>1 - És important definir el rol de Propietari de dades (Data Owner) i assignar-lo a persones amb gran coneixement funcional i responsabilitat sobre les dades. El Responsable de dades ha de ser responsable de la qualitat , seguretat i accés a les dades, i tenir l'autoritat per a la presa de decisions i garantir que les dades es gestionen adequadament.</v>
      </c>
      <c r="G18" s="124">
        <f>IF(VLOOKUP(E18,[1]Qüestionari!D:Z,23,0)=4,"",VLOOKUP(E18,[1]Qüestionari!D:Z,23,0))</f>
        <v>1</v>
      </c>
      <c r="H18" s="125" t="s">
        <v>490</v>
      </c>
      <c r="I18" s="125" t="s">
        <v>493</v>
      </c>
      <c r="J18" s="124">
        <f>IF(AND(H18&lt;&gt;"",I18&lt;&gt;""),INT(LEFT(H18,1))+INT(LEFT(I18,1)),"")</f>
        <v>3</v>
      </c>
      <c r="K18" s="125" t="s">
        <v>492</v>
      </c>
    </row>
    <row r="19" spans="2:11" ht="26.25">
      <c r="B19" s="73" t="s">
        <v>313</v>
      </c>
      <c r="C19" s="7"/>
      <c r="D19" s="7"/>
      <c r="E19" s="37"/>
      <c r="G19" s="40"/>
    </row>
    <row r="20" spans="2:11">
      <c r="B20" s="2"/>
      <c r="C20" s="2"/>
      <c r="D20" s="119" t="s">
        <v>314</v>
      </c>
      <c r="E20" s="2"/>
      <c r="G20" s="40"/>
    </row>
    <row r="21" spans="2:11" ht="29.25">
      <c r="B21" s="2"/>
      <c r="C21" s="2"/>
      <c r="D21" s="119"/>
      <c r="E21" s="127" t="s">
        <v>315</v>
      </c>
      <c r="F21" s="130" t="str">
        <f>IF(VLOOKUP(E21,[1]Qüestionari!D:Z,22,0)="","&lt;No aplica&gt;",VLOOKUP(E21,[1]Qüestionari!D:Z,22,0))</f>
        <v>2 - Divulgar les Polítiques de seguretat i privadesa entre el personal per tal que aquestes siguin conegudes, i fer avaluacions periòdiques del seu compliment</v>
      </c>
      <c r="G21" s="124">
        <f>IF(VLOOKUP(E21,[1]Qüestionari!D:Z,23,0)=4,"",VLOOKUP(E21,[1]Qüestionari!D:Z,23,0))</f>
        <v>2</v>
      </c>
      <c r="H21" s="125" t="s">
        <v>487</v>
      </c>
      <c r="I21" s="125" t="s">
        <v>493</v>
      </c>
      <c r="J21" s="124">
        <f>IF(AND(H21&lt;&gt;"",I21&lt;&gt;""),INT(LEFT(H21,1))+INT(LEFT(I21,1)),"")</f>
        <v>2</v>
      </c>
      <c r="K21" s="125" t="s">
        <v>492</v>
      </c>
    </row>
    <row r="22" spans="2:11" ht="29.25">
      <c r="B22" s="2"/>
      <c r="C22" s="2"/>
      <c r="D22" s="119"/>
      <c r="E22" s="127" t="s">
        <v>326</v>
      </c>
      <c r="F22" s="130" t="str">
        <f>IF(VLOOKUP(E22,[1]Qüestionari!D:Z,22,0)="","&lt;No aplica&gt;",VLOOKUP(E22,[1]Qüestionari!D:Z,22,0))</f>
        <v>3 - Es recomana establir auditories que ajudin a detectar errors i definir accions de millora continua</v>
      </c>
      <c r="G22" s="124">
        <f>IF(VLOOKUP(E22,[1]Qüestionari!D:Z,23,0)=4,"",VLOOKUP(E22,[1]Qüestionari!D:Z,23,0))</f>
        <v>3</v>
      </c>
      <c r="H22" s="125" t="s">
        <v>487</v>
      </c>
      <c r="I22" s="125" t="s">
        <v>488</v>
      </c>
      <c r="J22" s="124">
        <f>IF(AND(H22&lt;&gt;"",I22&lt;&gt;""),INT(LEFT(H22,1))+INT(LEFT(I22,1)),"")</f>
        <v>4</v>
      </c>
      <c r="K22" s="125" t="s">
        <v>494</v>
      </c>
    </row>
    <row r="23" spans="2:11">
      <c r="B23" s="2"/>
      <c r="C23" s="2"/>
      <c r="D23" s="119" t="s">
        <v>336</v>
      </c>
      <c r="E23" s="2"/>
      <c r="G23" s="40"/>
    </row>
    <row r="24" spans="2:11" ht="29.25">
      <c r="B24" s="2"/>
      <c r="C24" s="2"/>
      <c r="D24" s="119"/>
      <c r="E24" s="127" t="s">
        <v>337</v>
      </c>
      <c r="F24" s="130" t="str">
        <f>IF(VLOOKUP(E24,[1]Qüestionari!D:Z,22,0)="","&lt;No aplica&gt;",VLOOKUP(E24,[1]Qüestionari!D:Z,22,0))</f>
        <v>2 - Revisar i implicar al personal en l'aplicació de les Polítiques d'arxivat i restauració de dades</v>
      </c>
      <c r="G24" s="124">
        <f>IF(VLOOKUP(E24,[1]Qüestionari!D:Z,23,0)=4,"",VLOOKUP(E24,[1]Qüestionari!D:Z,23,0))</f>
        <v>2</v>
      </c>
      <c r="H24" s="125" t="s">
        <v>487</v>
      </c>
      <c r="I24" s="125" t="s">
        <v>488</v>
      </c>
      <c r="J24" s="124">
        <f>IF(AND(H24&lt;&gt;"",I24&lt;&gt;""),INT(LEFT(H24,1))+INT(LEFT(I24,1)),"")</f>
        <v>4</v>
      </c>
      <c r="K24" s="125" t="s">
        <v>489</v>
      </c>
    </row>
    <row r="25" spans="2:11">
      <c r="B25" s="2"/>
      <c r="C25" s="2"/>
      <c r="D25" s="119" t="s">
        <v>348</v>
      </c>
      <c r="E25" s="2"/>
      <c r="G25" s="40"/>
    </row>
    <row r="26" spans="2:11" ht="29.25">
      <c r="B26" s="2"/>
      <c r="C26" s="2"/>
      <c r="D26" s="119"/>
      <c r="E26" s="127" t="s">
        <v>349</v>
      </c>
      <c r="F26" s="130" t="str">
        <f>IF(VLOOKUP(E26,[1]Qüestionari!D:Z,22,0)="","&lt;No aplica&gt;",VLOOKUP(E26,[1]Qüestionari!D:Z,22,0))</f>
        <v>1 - Iniciar les tasques d'implementació de l'Inventari de dades</v>
      </c>
      <c r="G26" s="124">
        <f>IF(VLOOKUP(E26,[1]Qüestionari!D:Z,23,0)=4,"",VLOOKUP(E26,[1]Qüestionari!D:Z,23,0))</f>
        <v>1</v>
      </c>
      <c r="H26" s="125" t="s">
        <v>490</v>
      </c>
      <c r="I26" s="125" t="s">
        <v>491</v>
      </c>
      <c r="J26" s="124">
        <f>IF(AND(H26&lt;&gt;"",I26&lt;&gt;""),INT(LEFT(H26,1))+INT(LEFT(I26,1)),"")</f>
        <v>4</v>
      </c>
      <c r="K26" s="125" t="s">
        <v>489</v>
      </c>
    </row>
    <row r="27" spans="2:11" ht="29.25">
      <c r="B27" s="2"/>
      <c r="C27" s="2"/>
      <c r="D27" s="119"/>
      <c r="E27" s="127" t="s">
        <v>360</v>
      </c>
      <c r="F27" s="130" t="str">
        <f>IF(VLOOKUP(E27,[1]Qüestionari!D:Z,22,0)="","&lt;No aplica&gt;",VLOOKUP(E27,[1]Qüestionari!D:Z,22,0))</f>
        <v>1 - Identificar les fonts de dades externes i les dades associades per tal de poder fer una gestió específica d'aquestes</v>
      </c>
      <c r="G27" s="124">
        <f>IF(VLOOKUP(E27,[1]Qüestionari!D:Z,23,0)=4,"",VLOOKUP(E27,[1]Qüestionari!D:Z,23,0))</f>
        <v>1</v>
      </c>
      <c r="H27" s="125" t="s">
        <v>490</v>
      </c>
      <c r="I27" s="125" t="s">
        <v>488</v>
      </c>
      <c r="J27" s="124">
        <f>IF(AND(H27&lt;&gt;"",I27&lt;&gt;""),INT(LEFT(H27,1))+INT(LEFT(I27,1)),"")</f>
        <v>5</v>
      </c>
      <c r="K27" s="125" t="s">
        <v>489</v>
      </c>
    </row>
    <row r="28" spans="2:11">
      <c r="B28" s="2"/>
      <c r="C28" s="2"/>
      <c r="D28" s="119" t="s">
        <v>370</v>
      </c>
      <c r="E28" s="2"/>
      <c r="G28" s="40"/>
    </row>
    <row r="29" spans="2:11" ht="29.25">
      <c r="B29" s="2"/>
      <c r="C29" s="2"/>
      <c r="D29" s="119"/>
      <c r="E29" s="127" t="s">
        <v>371</v>
      </c>
      <c r="F29" s="130" t="str">
        <f>IF(VLOOKUP(E29,[1]Qüestionari!D:Z,22,0)="","&lt;No aplica&gt;",VLOOKUP(E29,[1]Qüestionari!D:Z,22,0))</f>
        <v>1 - Definir les Polítiques i procediments d'integració, gestió i utilització de les dades . Per tal de fer aquest camí més senzill i aprofitant l'experiència de la DIBA, aquesta facilita el procediment d'adhesió a les seves Polítiques.</v>
      </c>
      <c r="G29" s="124">
        <f>IF(VLOOKUP(E29,[1]Qüestionari!D:Z,23,0)=4,"",VLOOKUP(E29,[1]Qüestionari!D:Z,23,0))</f>
        <v>1</v>
      </c>
      <c r="H29" s="125" t="s">
        <v>490</v>
      </c>
      <c r="I29" s="125" t="s">
        <v>488</v>
      </c>
      <c r="J29" s="124">
        <f>IF(AND(H29&lt;&gt;"",I29&lt;&gt;""),INT(LEFT(H29,1))+INT(LEFT(I29,1)),"")</f>
        <v>5</v>
      </c>
      <c r="K29" s="125" t="s">
        <v>489</v>
      </c>
    </row>
    <row r="30" spans="2:11">
      <c r="B30" s="2"/>
      <c r="C30" s="2"/>
      <c r="D30" s="119" t="s">
        <v>381</v>
      </c>
      <c r="E30" s="2"/>
      <c r="G30" s="40"/>
    </row>
    <row r="31" spans="2:11" ht="29.25">
      <c r="B31" s="2"/>
      <c r="C31" s="2"/>
      <c r="D31" s="119"/>
      <c r="E31" s="127" t="s">
        <v>382</v>
      </c>
      <c r="F31" s="130" t="str">
        <f>IF(VLOOKUP(E31,[1]Qüestionari!D:Z,22,0)="","&lt;No aplica&gt;",VLOOKUP(E31,[1]Qüestionari!D:Z,22,0))</f>
        <v>1 - Definir les Polítiques i procediments d'integració, gestió i utilització de les dades . Per tal de fer aquest camí més senzill i aprofitant l'experiència de la DIBA, aquesta facilita el procediment d'adhesió a les seves Polítiques.</v>
      </c>
      <c r="G31" s="124">
        <f>IF(VLOOKUP(E31,[1]Qüestionari!D:Z,23,0)=4,"",VLOOKUP(E31,[1]Qüestionari!D:Z,23,0))</f>
        <v>1</v>
      </c>
      <c r="H31" s="125" t="s">
        <v>490</v>
      </c>
      <c r="I31" s="125" t="s">
        <v>491</v>
      </c>
      <c r="J31" s="124">
        <f>IF(AND(H31&lt;&gt;"",I31&lt;&gt;""),INT(LEFT(H31,1))+INT(LEFT(I31,1)),"")</f>
        <v>4</v>
      </c>
      <c r="K31" s="125" t="s">
        <v>489</v>
      </c>
    </row>
    <row r="32" spans="2:11" ht="26.25">
      <c r="B32" s="73" t="s">
        <v>389</v>
      </c>
      <c r="C32" s="7"/>
      <c r="D32" s="7"/>
      <c r="E32" s="37"/>
      <c r="G32" s="40"/>
    </row>
    <row r="33" spans="2:11">
      <c r="B33" s="2"/>
      <c r="C33" s="2"/>
      <c r="D33" s="119" t="s">
        <v>225</v>
      </c>
      <c r="E33" s="2"/>
      <c r="G33" s="40"/>
    </row>
    <row r="34" spans="2:11" ht="29.25">
      <c r="B34" s="2"/>
      <c r="C34" s="2"/>
      <c r="D34" s="119"/>
      <c r="E34" s="127" t="s">
        <v>390</v>
      </c>
      <c r="F34" s="130" t="str">
        <f>IF(VLOOKUP(E34,[1]Qüestionari!D:Z,22,0)="","&lt;No aplica&gt;",VLOOKUP(E34,[1]Qüestionari!D:Z,22,0))</f>
        <v>1 - Iniciar la documentació dels requeriments de qualitat de les dades, prioritzant  les dades clau i crítiques</v>
      </c>
      <c r="G34" s="124">
        <f>IF(VLOOKUP(E34,[1]Qüestionari!D:Z,23,0)=4,"",VLOOKUP(E34,[1]Qüestionari!D:Z,23,0))</f>
        <v>1</v>
      </c>
      <c r="H34" s="125" t="s">
        <v>487</v>
      </c>
      <c r="I34" s="125" t="s">
        <v>491</v>
      </c>
      <c r="J34" s="124">
        <f>IF(AND(H34&lt;&gt;"",I34&lt;&gt;""),INT(LEFT(H34,1))+INT(LEFT(I34,1)),"")</f>
        <v>3</v>
      </c>
      <c r="K34" s="125" t="s">
        <v>492</v>
      </c>
    </row>
    <row r="35" spans="2:11">
      <c r="B35" s="2"/>
      <c r="C35" s="2"/>
      <c r="D35" s="119" t="s">
        <v>400</v>
      </c>
      <c r="E35" s="2"/>
      <c r="G35" s="40"/>
    </row>
    <row r="36" spans="2:11" ht="29.25">
      <c r="B36" s="2"/>
      <c r="C36" s="2"/>
      <c r="D36" s="119"/>
      <c r="E36" s="127" t="s">
        <v>401</v>
      </c>
      <c r="F36" s="130" t="str">
        <f>IF(VLOOKUP(E36,[1]Qüestionari!D:Z,22,0)="","&lt;No aplica&gt;",VLOOKUP(E36,[1]Qüestionari!D:Z,22,0))</f>
        <v xml:space="preserve">1 - Començar a fer seguiment actiu i monitorització de la qualitat de les dades </v>
      </c>
      <c r="G36" s="124">
        <f>IF(VLOOKUP(E36,[1]Qüestionari!D:Z,23,0)=4,"",VLOOKUP(E36,[1]Qüestionari!D:Z,23,0))</f>
        <v>1</v>
      </c>
      <c r="H36" s="125" t="s">
        <v>490</v>
      </c>
      <c r="I36" s="125" t="s">
        <v>493</v>
      </c>
      <c r="J36" s="124">
        <f>IF(AND(H36&lt;&gt;"",I36&lt;&gt;""),INT(LEFT(H36,1))+INT(LEFT(I36,1)),"")</f>
        <v>3</v>
      </c>
      <c r="K36" s="125" t="s">
        <v>492</v>
      </c>
    </row>
    <row r="37" spans="2:11">
      <c r="B37" s="2"/>
      <c r="C37" s="2"/>
      <c r="D37" s="119" t="s">
        <v>412</v>
      </c>
      <c r="E37" s="2"/>
      <c r="G37" s="40"/>
    </row>
    <row r="38" spans="2:11" ht="29.25">
      <c r="B38" s="2"/>
      <c r="C38" s="2"/>
      <c r="D38" s="119"/>
      <c r="E38" s="127" t="s">
        <v>413</v>
      </c>
      <c r="F38" s="130" t="str">
        <f>IF(VLOOKUP(E38,[1]Qüestionari!D:Z,22,0)="","&lt;No aplica&gt;",VLOOKUP(E38,[1]Qüestionari!D:Z,22,0))</f>
        <v>1 - Preparar un pla d'assegurament de la qualitat de les dades, que inicialment posi el focus en les dades crítiques i dades clau</v>
      </c>
      <c r="G38" s="124">
        <f>IF(VLOOKUP(E38,[1]Qüestionari!D:Z,23,0)=4,"",VLOOKUP(E38,[1]Qüestionari!D:Z,23,0))</f>
        <v>1</v>
      </c>
      <c r="H38" s="125" t="s">
        <v>490</v>
      </c>
      <c r="I38" s="125" t="s">
        <v>493</v>
      </c>
      <c r="J38" s="124">
        <f>IF(AND(H38&lt;&gt;"",I38&lt;&gt;""),INT(LEFT(H38,1))+INT(LEFT(I38,1)),"")</f>
        <v>3</v>
      </c>
      <c r="K38" s="125" t="s">
        <v>492</v>
      </c>
    </row>
    <row r="39" spans="2:11" s="37" customFormat="1">
      <c r="D39" s="8"/>
      <c r="E39" s="38"/>
      <c r="G39" s="38"/>
    </row>
    <row r="40" spans="2:11" s="37" customFormat="1">
      <c r="D40" s="8"/>
      <c r="E40" s="38"/>
      <c r="G40" s="38"/>
    </row>
    <row r="41" spans="2:11" s="37" customFormat="1">
      <c r="D41" s="8"/>
      <c r="E41" s="38"/>
      <c r="G41" s="38"/>
    </row>
    <row r="42" spans="2:11" s="37" customFormat="1">
      <c r="D42" s="8"/>
      <c r="E42" s="38"/>
      <c r="G42" s="38"/>
    </row>
    <row r="43" spans="2:11" s="37" customFormat="1">
      <c r="D43" s="8"/>
      <c r="E43" s="38"/>
      <c r="F43" s="37" t="s">
        <v>495</v>
      </c>
      <c r="G43" s="38"/>
    </row>
    <row r="44" spans="2:11" s="37" customFormat="1">
      <c r="D44" s="8"/>
      <c r="E44" s="38"/>
      <c r="G44" s="38"/>
    </row>
    <row r="45" spans="2:11" s="37" customFormat="1">
      <c r="D45" s="8"/>
      <c r="E45" s="38"/>
      <c r="G45" s="38"/>
    </row>
  </sheetData>
  <phoneticPr fontId="5" type="noConversion"/>
  <dataValidations count="3">
    <dataValidation type="list" allowBlank="1" showInputMessage="1" showErrorMessage="1" sqref="H8:H9 H11:H12 H36 H14 H16:H18 H21:H22 H24 H26:H27 H29 H31 H34 H38" xr:uid="{CC7B55DC-A6A2-48B5-B90C-6FDEF163E2CE}">
      <formula1>Impacte</formula1>
    </dataValidation>
    <dataValidation type="list" allowBlank="1" showInputMessage="1" showErrorMessage="1" sqref="I8:I9 I11:I12 I36 I14 I16:I18 I21:I22 I24 I26:I27 I29 I31 I34 I38" xr:uid="{DB7BDF00-A303-43D2-B03B-88D2796567EA}">
      <formula1>Dificultat</formula1>
    </dataValidation>
    <dataValidation type="list" allowBlank="1" showInputMessage="1" showErrorMessage="1" sqref="K8:K9 K11:K12 K36 K14 K16:K18 K21:K22 K24 K26:K27 K29 K31 K34 K38" xr:uid="{980BC246-06DC-43CB-A785-A3797BAB4618}">
      <formula1>Termini</formula1>
    </dataValidation>
  </dataValidations>
  <pageMargins left="0.25" right="0.25" top="0.75" bottom="0.75" header="0.3" footer="0.3"/>
  <pageSetup paperSize="9" scale="50" fitToWidth="0"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8AA7-EEC7-4516-99FF-5013B135C203}">
  <dimension ref="A1:N38"/>
  <sheetViews>
    <sheetView topLeftCell="D1" workbookViewId="0">
      <pane ySplit="6" topLeftCell="A7" activePane="bottomLeft" state="frozen"/>
      <selection pane="bottomLeft" activeCell="D1" sqref="D1:J1048576"/>
    </sheetView>
  </sheetViews>
  <sheetFormatPr defaultColWidth="11.42578125" defaultRowHeight="15"/>
  <cols>
    <col min="1" max="1" width="5" style="37" customWidth="1"/>
    <col min="2" max="2" width="126.42578125" style="40" customWidth="1"/>
    <col min="3" max="3" width="7.42578125" style="40" customWidth="1"/>
    <col min="4" max="16384" width="11.42578125" style="40"/>
  </cols>
  <sheetData>
    <row r="1" spans="1:14" s="2" customFormat="1">
      <c r="K1" s="53"/>
      <c r="L1" s="53"/>
      <c r="M1" s="53"/>
      <c r="N1" s="53"/>
    </row>
    <row r="2" spans="1:14" s="2" customFormat="1" ht="27" thickBot="1">
      <c r="B2" s="3" t="s">
        <v>0</v>
      </c>
      <c r="C2" s="3"/>
      <c r="K2" s="53"/>
      <c r="L2" s="53"/>
      <c r="M2" s="53"/>
      <c r="N2" s="53"/>
    </row>
    <row r="3" spans="1:14" s="39" customFormat="1" ht="19.5" thickTop="1">
      <c r="A3" s="26"/>
      <c r="B3" s="26"/>
      <c r="C3" s="26"/>
    </row>
    <row r="4" spans="1:14" s="25" customFormat="1" ht="27.75">
      <c r="A4" s="23"/>
      <c r="B4" s="28" t="s">
        <v>481</v>
      </c>
      <c r="C4" s="23"/>
    </row>
    <row r="5" spans="1:14" s="25" customFormat="1">
      <c r="A5" s="23"/>
      <c r="B5" s="23"/>
      <c r="C5" s="23"/>
    </row>
    <row r="6" spans="1:14">
      <c r="B6" s="34" t="s">
        <v>496</v>
      </c>
    </row>
    <row r="7" spans="1:14">
      <c r="B7" s="58" t="s">
        <v>221</v>
      </c>
    </row>
    <row r="8" spans="1:14">
      <c r="B8" s="59" t="s">
        <v>248</v>
      </c>
    </row>
    <row r="9" spans="1:14">
      <c r="B9" s="60"/>
    </row>
    <row r="10" spans="1:14">
      <c r="B10" s="59" t="s">
        <v>269</v>
      </c>
    </row>
    <row r="11" spans="1:14" ht="30">
      <c r="B11" s="60" t="s">
        <v>497</v>
      </c>
    </row>
    <row r="12" spans="1:14">
      <c r="B12" s="59" t="s">
        <v>280</v>
      </c>
    </row>
    <row r="13" spans="1:14">
      <c r="B13" s="60"/>
    </row>
    <row r="14" spans="1:14" ht="30">
      <c r="B14" s="60" t="s">
        <v>498</v>
      </c>
    </row>
    <row r="15" spans="1:14">
      <c r="B15" s="59" t="s">
        <v>225</v>
      </c>
    </row>
    <row r="16" spans="1:14">
      <c r="B16" s="60"/>
    </row>
    <row r="17" spans="2:2">
      <c r="B17" s="58" t="s">
        <v>313</v>
      </c>
    </row>
    <row r="18" spans="2:2">
      <c r="B18" s="59" t="s">
        <v>314</v>
      </c>
    </row>
    <row r="19" spans="2:2">
      <c r="B19" s="60" t="s">
        <v>499</v>
      </c>
    </row>
    <row r="20" spans="2:2" ht="30">
      <c r="B20" s="60" t="s">
        <v>500</v>
      </c>
    </row>
    <row r="21" spans="2:2">
      <c r="B21" s="59" t="s">
        <v>336</v>
      </c>
    </row>
    <row r="22" spans="2:2" ht="30">
      <c r="B22" s="60" t="s">
        <v>501</v>
      </c>
    </row>
    <row r="23" spans="2:2">
      <c r="B23" s="59" t="s">
        <v>348</v>
      </c>
    </row>
    <row r="24" spans="2:2">
      <c r="B24" s="60" t="s">
        <v>502</v>
      </c>
    </row>
    <row r="25" spans="2:2">
      <c r="B25" s="60" t="s">
        <v>503</v>
      </c>
    </row>
    <row r="26" spans="2:2">
      <c r="B26" s="59" t="s">
        <v>370</v>
      </c>
    </row>
    <row r="27" spans="2:2" ht="30">
      <c r="B27" s="60" t="s">
        <v>504</v>
      </c>
    </row>
    <row r="28" spans="2:2">
      <c r="B28" s="59" t="s">
        <v>381</v>
      </c>
    </row>
    <row r="29" spans="2:2">
      <c r="B29" s="60" t="s">
        <v>505</v>
      </c>
    </row>
    <row r="30" spans="2:2">
      <c r="B30" s="58" t="s">
        <v>389</v>
      </c>
    </row>
    <row r="31" spans="2:2">
      <c r="B31" s="59" t="s">
        <v>412</v>
      </c>
    </row>
    <row r="32" spans="2:2">
      <c r="B32" s="60" t="s">
        <v>506</v>
      </c>
    </row>
    <row r="33" spans="2:2">
      <c r="B33" s="59" t="s">
        <v>225</v>
      </c>
    </row>
    <row r="34" spans="2:2">
      <c r="B34" s="60" t="s">
        <v>507</v>
      </c>
    </row>
    <row r="35" spans="2:2" ht="30">
      <c r="B35" s="60" t="s">
        <v>508</v>
      </c>
    </row>
    <row r="36" spans="2:2">
      <c r="B36"/>
    </row>
    <row r="37" spans="2:2">
      <c r="B37"/>
    </row>
    <row r="38" spans="2:2">
      <c r="B38"/>
    </row>
  </sheetData>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7FCE-0837-4DC4-A926-C293A5FE6D8F}">
  <sheetPr>
    <tabColor rgb="FFFFC000"/>
    <pageSetUpPr fitToPage="1"/>
  </sheetPr>
  <dimension ref="A1:AE54"/>
  <sheetViews>
    <sheetView workbookViewId="0">
      <selection activeCell="H11" sqref="H11"/>
    </sheetView>
  </sheetViews>
  <sheetFormatPr defaultColWidth="11.42578125" defaultRowHeight="15"/>
  <cols>
    <col min="1" max="1" width="5" style="37" customWidth="1"/>
    <col min="2" max="2" width="17.5703125" style="40" customWidth="1"/>
    <col min="3" max="3" width="14.85546875" style="40" customWidth="1"/>
    <col min="4" max="4" width="10.5703125" style="43" customWidth="1"/>
    <col min="5" max="5" width="7.42578125" style="40" bestFit="1" customWidth="1"/>
    <col min="6" max="6" width="11.42578125" style="40" customWidth="1"/>
    <col min="7" max="7" width="5.42578125" style="40" bestFit="1" customWidth="1"/>
    <col min="8" max="8" width="8" style="40" bestFit="1" customWidth="1"/>
    <col min="9" max="14" width="4.5703125" style="40" bestFit="1" customWidth="1"/>
    <col min="15" max="23" width="5.140625" style="40" bestFit="1" customWidth="1"/>
    <col min="24" max="31" width="5.140625" style="37" bestFit="1" customWidth="1"/>
    <col min="32" max="33" width="5.140625" style="40" bestFit="1" customWidth="1"/>
    <col min="34" max="16384" width="11.42578125" style="40"/>
  </cols>
  <sheetData>
    <row r="1" spans="1:29" s="25" customFormat="1">
      <c r="A1" s="23"/>
      <c r="B1" s="23"/>
      <c r="C1" s="23"/>
      <c r="D1" s="41"/>
    </row>
    <row r="2" spans="1:29" s="25" customFormat="1" ht="41.45" customHeight="1">
      <c r="A2" s="23"/>
      <c r="B2" s="23"/>
      <c r="C2" s="23"/>
      <c r="D2" s="41"/>
    </row>
    <row r="3" spans="1:29" s="25" customFormat="1">
      <c r="A3" s="23"/>
      <c r="B3" s="23"/>
      <c r="C3" s="23"/>
      <c r="D3" s="41"/>
    </row>
    <row r="4" spans="1:29" s="39" customFormat="1" ht="18.75">
      <c r="A4" s="26"/>
      <c r="B4" s="26" t="s">
        <v>0</v>
      </c>
      <c r="C4" s="26"/>
      <c r="D4" s="42"/>
    </row>
    <row r="5" spans="1:29" s="39" customFormat="1" ht="18.75">
      <c r="A5" s="26"/>
      <c r="B5" s="26"/>
      <c r="C5" s="26"/>
      <c r="D5" s="42"/>
    </row>
    <row r="6" spans="1:29" s="25" customFormat="1" ht="27.75">
      <c r="A6" s="23"/>
      <c r="B6" s="28" t="s">
        <v>509</v>
      </c>
      <c r="D6" s="41"/>
    </row>
    <row r="7" spans="1:29" s="25" customFormat="1">
      <c r="A7" s="23"/>
      <c r="B7" s="23"/>
      <c r="C7" s="23"/>
      <c r="D7" s="41"/>
    </row>
    <row r="8" spans="1:29" s="37" customFormat="1">
      <c r="B8" s="44" t="s">
        <v>12</v>
      </c>
      <c r="C8" s="44" t="s">
        <v>510</v>
      </c>
      <c r="D8" s="44" t="s">
        <v>14</v>
      </c>
      <c r="E8" s="44" t="s">
        <v>511</v>
      </c>
      <c r="F8" s="44" t="s">
        <v>17</v>
      </c>
      <c r="G8" s="44" t="s">
        <v>226</v>
      </c>
      <c r="H8" s="44" t="s">
        <v>237</v>
      </c>
      <c r="I8" s="44" t="s">
        <v>249</v>
      </c>
      <c r="J8" s="44" t="s">
        <v>259</v>
      </c>
      <c r="K8" s="44" t="s">
        <v>270</v>
      </c>
      <c r="L8" s="44" t="s">
        <v>281</v>
      </c>
      <c r="M8" s="44" t="s">
        <v>292</v>
      </c>
      <c r="N8" s="44" t="s">
        <v>303</v>
      </c>
      <c r="O8" s="44" t="s">
        <v>315</v>
      </c>
      <c r="P8" s="44" t="s">
        <v>326</v>
      </c>
      <c r="Q8" s="44" t="s">
        <v>337</v>
      </c>
      <c r="R8" s="44" t="s">
        <v>349</v>
      </c>
      <c r="S8" s="44" t="s">
        <v>360</v>
      </c>
      <c r="T8" s="44" t="s">
        <v>371</v>
      </c>
      <c r="U8" s="44" t="s">
        <v>382</v>
      </c>
      <c r="V8" s="44" t="s">
        <v>390</v>
      </c>
      <c r="W8" s="44" t="s">
        <v>401</v>
      </c>
      <c r="X8" s="44" t="s">
        <v>413</v>
      </c>
      <c r="Y8" s="25"/>
      <c r="Z8" s="25"/>
      <c r="AA8" s="25"/>
      <c r="AB8" s="25"/>
      <c r="AC8" s="25"/>
    </row>
    <row r="9" spans="1:29" s="37" customFormat="1">
      <c r="B9" s="61">
        <f>MapaResponsables!C8</f>
        <v>45716</v>
      </c>
      <c r="C9" s="45">
        <f>MapaResponsables!C9</f>
        <v>0</v>
      </c>
      <c r="D9" s="45" t="str">
        <f>MapaResponsables!C10</f>
        <v>Ajuntament</v>
      </c>
      <c r="E9" s="45" t="str">
        <f>MapaResponsables!C11</f>
        <v>Berga</v>
      </c>
      <c r="F9" s="45" t="str">
        <f>MapaResponsables!C12</f>
        <v>&lt;Totes&gt;</v>
      </c>
      <c r="G9" s="62">
        <f>SUMIF(Qüestionari!$D:$D,G8,Qüestionari!$J:$J)</f>
        <v>1</v>
      </c>
      <c r="H9" s="62">
        <f>SUMIF(Qüestionari!$D:$D,H8,Qüestionari!$J:$J)</f>
        <v>1</v>
      </c>
      <c r="I9" s="62">
        <f>SUMIF(Qüestionari!$D:$D,I8,Qüestionari!$J:$J)</f>
        <v>1</v>
      </c>
      <c r="J9" s="62">
        <f>SUMIF(Qüestionari!$D:$D,J8,Qüestionari!$J:$J)</f>
        <v>1</v>
      </c>
      <c r="K9" s="62">
        <f>SUMIF(Qüestionari!$D:$D,K8,Qüestionari!$J:$J)</f>
        <v>1</v>
      </c>
      <c r="L9" s="62">
        <f>SUMIF(Qüestionari!$D:$D,L8,Qüestionari!$J:$J)</f>
        <v>1</v>
      </c>
      <c r="M9" s="62">
        <f>SUMIF(Qüestionari!$D:$D,M8,Qüestionari!$J:$J)</f>
        <v>1</v>
      </c>
      <c r="N9" s="62">
        <f>SUMIF(Qüestionari!$D:$D,N8,Qüestionari!$J:$J)</f>
        <v>1</v>
      </c>
      <c r="O9" s="62">
        <f>SUMIF(Qüestionari!$D:$D,O8,Qüestionari!$J:$J)</f>
        <v>2</v>
      </c>
      <c r="P9" s="62">
        <f>SUMIF(Qüestionari!$D:$D,P8,Qüestionari!$J:$J)</f>
        <v>3</v>
      </c>
      <c r="Q9" s="62">
        <f>SUMIF(Qüestionari!$D:$D,Q8,Qüestionari!$J:$J)</f>
        <v>2</v>
      </c>
      <c r="R9" s="62">
        <f>SUMIF(Qüestionari!$D:$D,R8,Qüestionari!$J:$J)</f>
        <v>1</v>
      </c>
      <c r="S9" s="62">
        <f>SUMIF(Qüestionari!$D:$D,S8,Qüestionari!$J:$J)</f>
        <v>1</v>
      </c>
      <c r="T9" s="62">
        <f>SUMIF(Qüestionari!$D:$D,T8,Qüestionari!$J:$J)</f>
        <v>1</v>
      </c>
      <c r="U9" s="62">
        <f>SUMIF(Qüestionari!$D:$D,U8,Qüestionari!$J:$J)</f>
        <v>1</v>
      </c>
      <c r="V9" s="62">
        <f>SUMIF(Qüestionari!$D:$D,V8,Qüestionari!$J:$J)</f>
        <v>1</v>
      </c>
      <c r="W9" s="62">
        <f>SUMIF(Qüestionari!$D:$D,W8,Qüestionari!$J:$J)</f>
        <v>1</v>
      </c>
      <c r="X9" s="62">
        <f>SUMIF(Qüestionari!$D:$D,X8,Qüestionari!$J:$J)</f>
        <v>1</v>
      </c>
      <c r="Y9" s="25"/>
      <c r="Z9" s="25"/>
      <c r="AA9" s="25"/>
      <c r="AB9" s="25"/>
      <c r="AC9" s="25"/>
    </row>
    <row r="10" spans="1:29" s="37" customFormat="1">
      <c r="D10" s="38"/>
      <c r="Y10" s="25"/>
      <c r="Z10" s="25"/>
      <c r="AA10" s="25"/>
      <c r="AB10" s="25"/>
      <c r="AC10" s="25"/>
    </row>
    <row r="11" spans="1:29" s="37" customFormat="1" ht="20.25">
      <c r="D11" s="38"/>
      <c r="H11" s="115">
        <f>AVERAGE(H12,H18,H25)</f>
        <v>1.1666666666666667</v>
      </c>
      <c r="Y11" s="25"/>
      <c r="Z11" s="25"/>
      <c r="AA11" s="25"/>
      <c r="AB11" s="25"/>
      <c r="AC11" s="25"/>
    </row>
    <row r="12" spans="1:29" s="37" customFormat="1">
      <c r="B12" s="80" t="s">
        <v>221</v>
      </c>
      <c r="D12" s="38"/>
      <c r="H12" s="82">
        <f>AVERAGE(G13:G16)</f>
        <v>1</v>
      </c>
      <c r="Y12" s="25"/>
      <c r="Z12" s="25"/>
      <c r="AA12" s="25"/>
      <c r="AB12" s="25"/>
      <c r="AC12" s="25"/>
    </row>
    <row r="13" spans="1:29" s="37" customFormat="1" ht="24" customHeight="1">
      <c r="B13" s="81"/>
      <c r="C13" s="174" t="str">
        <f>Qüestionari!E6</f>
        <v>Establiment d'estàndards, polítiques, bones pràctiques i procediments</v>
      </c>
      <c r="D13" s="174"/>
      <c r="E13" s="174"/>
      <c r="F13" s="174"/>
      <c r="G13" s="78">
        <f>AVERAGE(G9:H9)</f>
        <v>1</v>
      </c>
    </row>
    <row r="14" spans="1:29" s="37" customFormat="1">
      <c r="B14" s="81"/>
      <c r="C14" s="174" t="str">
        <f>Qüestionari!E9</f>
        <v>Establiment d'estratègies de dades</v>
      </c>
      <c r="D14" s="174"/>
      <c r="E14" s="174"/>
      <c r="F14" s="174"/>
      <c r="G14" s="78">
        <f>AVERAGE(I9:J9)</f>
        <v>1</v>
      </c>
    </row>
    <row r="15" spans="1:29" s="37" customFormat="1">
      <c r="B15" s="81"/>
      <c r="C15" s="174" t="str">
        <f>Qüestionari!E12</f>
        <v>Establiment d'estructures organitzacionals</v>
      </c>
      <c r="D15" s="174"/>
      <c r="E15" s="174"/>
      <c r="F15" s="174"/>
      <c r="G15" s="78">
        <f>AVERAGE(K9)</f>
        <v>1</v>
      </c>
    </row>
    <row r="16" spans="1:29" s="37" customFormat="1">
      <c r="B16" s="81"/>
      <c r="C16" s="174" t="str">
        <f>Qüestionari!E14</f>
        <v>Gestió de recursos humans</v>
      </c>
      <c r="D16" s="174"/>
      <c r="E16" s="174"/>
      <c r="F16" s="174"/>
      <c r="G16" s="79">
        <f>AVERAGE(L9:N9)</f>
        <v>1</v>
      </c>
    </row>
    <row r="17" spans="2:23">
      <c r="B17" s="81"/>
      <c r="C17" s="38"/>
      <c r="D17" s="38"/>
      <c r="E17" s="37"/>
      <c r="F17" s="37"/>
      <c r="G17" s="77"/>
      <c r="H17" s="37"/>
      <c r="I17" s="37"/>
      <c r="J17" s="37"/>
      <c r="K17" s="37"/>
      <c r="L17" s="37"/>
      <c r="M17" s="37"/>
      <c r="N17" s="37"/>
      <c r="O17" s="37"/>
      <c r="P17" s="37"/>
      <c r="Q17" s="37"/>
      <c r="R17" s="37"/>
      <c r="S17" s="37"/>
      <c r="T17" s="37"/>
      <c r="U17" s="37"/>
      <c r="V17" s="37"/>
      <c r="W17" s="37"/>
    </row>
    <row r="18" spans="2:23">
      <c r="B18" s="80" t="s">
        <v>313</v>
      </c>
      <c r="C18" s="38"/>
      <c r="D18" s="38"/>
      <c r="E18" s="37"/>
      <c r="F18" s="37"/>
      <c r="H18" s="82">
        <f>AVERAGE(G19:G23)</f>
        <v>1.5</v>
      </c>
      <c r="I18" s="37"/>
      <c r="J18" s="37"/>
      <c r="K18" s="37"/>
      <c r="L18" s="37"/>
      <c r="M18" s="37"/>
      <c r="N18" s="37"/>
      <c r="O18" s="37"/>
      <c r="P18" s="37"/>
      <c r="Q18" s="37"/>
      <c r="R18" s="37"/>
      <c r="S18" s="37"/>
      <c r="T18" s="37"/>
      <c r="U18" s="37"/>
      <c r="V18" s="37"/>
      <c r="W18" s="37"/>
    </row>
    <row r="19" spans="2:23" s="37" customFormat="1">
      <c r="B19" s="81"/>
      <c r="C19" s="174" t="str">
        <f>Qüestionari!E19</f>
        <v>Gestió de seguretat de dades</v>
      </c>
      <c r="D19" s="174"/>
      <c r="E19" s="174"/>
      <c r="F19" s="174"/>
      <c r="G19" s="78">
        <f>AVERAGE(O9:P9)</f>
        <v>2.5</v>
      </c>
    </row>
    <row r="20" spans="2:23" s="37" customFormat="1">
      <c r="B20" s="81"/>
      <c r="C20" s="174" t="str">
        <f>Qüestionari!E22</f>
        <v>Gestió de dades històriques</v>
      </c>
      <c r="D20" s="174"/>
      <c r="E20" s="174"/>
      <c r="F20" s="174"/>
      <c r="G20" s="78">
        <f>AVERAGE(Q9)</f>
        <v>2</v>
      </c>
    </row>
    <row r="21" spans="2:23" s="37" customFormat="1">
      <c r="B21" s="81"/>
      <c r="C21" s="174" t="str">
        <f>Qüestionari!E24</f>
        <v>Gestió de fonts i destinacions de dades</v>
      </c>
      <c r="D21" s="174"/>
      <c r="E21" s="174"/>
      <c r="F21" s="174"/>
      <c r="G21" s="78">
        <f>AVERAGE(R9:S9)</f>
        <v>1</v>
      </c>
    </row>
    <row r="22" spans="2:23" s="37" customFormat="1">
      <c r="B22" s="81"/>
      <c r="C22" s="174" t="str">
        <f>Qüestionari!E27</f>
        <v>Gestió de la integració de les dades</v>
      </c>
      <c r="D22" s="174"/>
      <c r="E22" s="174"/>
      <c r="F22" s="174"/>
      <c r="G22" s="78">
        <f>AVERAGE(T9)</f>
        <v>1</v>
      </c>
    </row>
    <row r="23" spans="2:23" s="37" customFormat="1">
      <c r="B23" s="81"/>
      <c r="C23" s="174" t="str">
        <f>Qüestionari!E29</f>
        <v>Gestió de Dades Mestre i Dades de Referència</v>
      </c>
      <c r="D23" s="174"/>
      <c r="E23" s="174"/>
      <c r="F23" s="174"/>
      <c r="G23" s="78">
        <f>AVERAGE(U9)</f>
        <v>1</v>
      </c>
    </row>
    <row r="24" spans="2:23">
      <c r="B24" s="81"/>
      <c r="C24" s="38"/>
      <c r="D24" s="38"/>
      <c r="E24" s="37"/>
      <c r="F24" s="37"/>
      <c r="G24" s="77"/>
      <c r="H24" s="37"/>
      <c r="I24" s="37"/>
      <c r="J24" s="37"/>
      <c r="K24" s="37"/>
      <c r="L24" s="37"/>
      <c r="M24" s="37"/>
      <c r="N24" s="37"/>
      <c r="O24" s="37"/>
      <c r="P24" s="37"/>
      <c r="Q24" s="37"/>
      <c r="R24" s="37"/>
      <c r="S24" s="37"/>
      <c r="T24" s="37"/>
      <c r="U24" s="37"/>
      <c r="V24" s="37"/>
      <c r="W24" s="37"/>
    </row>
    <row r="25" spans="2:23">
      <c r="B25" s="80" t="s">
        <v>389</v>
      </c>
      <c r="C25" s="38"/>
      <c r="D25" s="38"/>
      <c r="E25" s="37"/>
      <c r="F25" s="37"/>
      <c r="H25" s="82">
        <f>AVERAGE(G26:G28)</f>
        <v>1</v>
      </c>
      <c r="I25" s="37"/>
      <c r="J25" s="37"/>
      <c r="K25" s="37"/>
      <c r="L25" s="37"/>
      <c r="M25" s="37"/>
      <c r="N25" s="37"/>
      <c r="O25" s="37"/>
      <c r="P25" s="37"/>
      <c r="Q25" s="37"/>
      <c r="R25" s="37"/>
      <c r="S25" s="37"/>
      <c r="T25" s="37"/>
      <c r="U25" s="37"/>
      <c r="V25" s="37"/>
      <c r="W25" s="37"/>
    </row>
    <row r="26" spans="2:23" ht="24.6" customHeight="1">
      <c r="B26" s="81"/>
      <c r="C26" s="174" t="str">
        <f>Qüestionari!E32</f>
        <v>Establiment d'estàndards, polítiques, bones pràctiques i procediments</v>
      </c>
      <c r="D26" s="174"/>
      <c r="E26" s="174"/>
      <c r="F26" s="174"/>
      <c r="G26" s="78">
        <f>AVERAGE(V9)</f>
        <v>1</v>
      </c>
      <c r="H26" s="37"/>
      <c r="I26" s="37"/>
      <c r="J26" s="37"/>
      <c r="K26" s="37"/>
      <c r="L26" s="37"/>
      <c r="M26" s="37"/>
      <c r="N26" s="37"/>
      <c r="O26" s="37"/>
      <c r="P26" s="37"/>
      <c r="Q26" s="37"/>
      <c r="R26" s="37"/>
      <c r="S26" s="37"/>
      <c r="T26" s="37"/>
      <c r="U26" s="37"/>
      <c r="V26" s="37"/>
      <c r="W26" s="37"/>
    </row>
    <row r="27" spans="2:23">
      <c r="B27" s="81"/>
      <c r="C27" s="174" t="str">
        <f>Qüestionari!E34</f>
        <v>Control i monitorització de la qualitat de les dades</v>
      </c>
      <c r="D27" s="174"/>
      <c r="E27" s="174"/>
      <c r="F27" s="174"/>
      <c r="G27" s="78">
        <f>AVERAGE(W9)</f>
        <v>1</v>
      </c>
      <c r="H27" s="37"/>
      <c r="I27" s="37"/>
      <c r="J27" s="37"/>
      <c r="K27" s="37"/>
      <c r="L27" s="37"/>
      <c r="M27" s="37"/>
      <c r="N27" s="37"/>
      <c r="O27" s="37"/>
      <c r="P27" s="37"/>
      <c r="Q27" s="37"/>
      <c r="R27" s="37"/>
      <c r="S27" s="37"/>
      <c r="T27" s="37"/>
      <c r="U27" s="37"/>
      <c r="V27" s="37"/>
      <c r="W27" s="37"/>
    </row>
    <row r="28" spans="2:23">
      <c r="B28" s="81"/>
      <c r="C28" s="174" t="str">
        <f>Qüestionari!E36</f>
        <v>Planificació de la qualitat de les dades</v>
      </c>
      <c r="D28" s="174"/>
      <c r="E28" s="174"/>
      <c r="F28" s="174"/>
      <c r="G28" s="78">
        <f>AVERAGE(X9)</f>
        <v>1</v>
      </c>
      <c r="H28" s="37"/>
      <c r="I28" s="37"/>
      <c r="J28" s="37"/>
      <c r="K28" s="37"/>
      <c r="L28" s="37"/>
      <c r="M28" s="37"/>
      <c r="N28" s="37"/>
      <c r="O28" s="37"/>
      <c r="P28" s="37"/>
      <c r="Q28" s="37"/>
      <c r="R28" s="37"/>
      <c r="S28" s="37"/>
      <c r="T28" s="37"/>
      <c r="U28" s="37"/>
      <c r="V28" s="37"/>
      <c r="W28" s="37"/>
    </row>
    <row r="29" spans="2:23">
      <c r="B29" s="81"/>
      <c r="C29" s="38"/>
      <c r="D29" s="38"/>
      <c r="E29" s="37"/>
      <c r="F29" s="37"/>
      <c r="G29" s="37"/>
      <c r="H29" s="37"/>
      <c r="I29" s="37"/>
      <c r="J29" s="37"/>
      <c r="K29" s="37"/>
      <c r="L29" s="37"/>
      <c r="M29" s="37"/>
      <c r="N29" s="37"/>
      <c r="O29" s="37"/>
      <c r="P29" s="37"/>
      <c r="Q29" s="37"/>
      <c r="R29" s="37"/>
      <c r="S29" s="37"/>
      <c r="T29" s="37"/>
      <c r="U29" s="37"/>
      <c r="V29" s="37"/>
      <c r="W29" s="37"/>
    </row>
    <row r="30" spans="2:23">
      <c r="B30" s="81"/>
      <c r="C30" s="38"/>
      <c r="D30" s="38"/>
      <c r="E30" s="37"/>
      <c r="F30" s="37"/>
      <c r="G30" s="37"/>
      <c r="H30" s="37"/>
      <c r="I30" s="37"/>
      <c r="J30" s="37"/>
      <c r="K30" s="37"/>
      <c r="L30" s="37"/>
      <c r="M30" s="37"/>
      <c r="N30" s="37"/>
      <c r="O30" s="37"/>
      <c r="P30" s="37"/>
      <c r="Q30" s="37"/>
      <c r="R30" s="37"/>
      <c r="S30" s="37"/>
      <c r="T30" s="37"/>
      <c r="U30" s="37"/>
      <c r="V30" s="37"/>
      <c r="W30" s="37"/>
    </row>
    <row r="31" spans="2:23">
      <c r="B31" s="81" t="str">
        <f>B12</f>
        <v>Govern</v>
      </c>
      <c r="C31" s="79">
        <f>H12</f>
        <v>1</v>
      </c>
      <c r="D31" s="38"/>
      <c r="E31" s="37"/>
      <c r="F31" s="37"/>
      <c r="H31" s="37"/>
      <c r="I31" s="37"/>
      <c r="J31" s="37"/>
      <c r="K31" s="37"/>
      <c r="L31" s="37"/>
      <c r="M31" s="37"/>
      <c r="N31" s="37"/>
      <c r="O31" s="37"/>
      <c r="P31" s="37"/>
      <c r="Q31" s="37"/>
      <c r="R31" s="37"/>
      <c r="S31" s="37"/>
      <c r="T31" s="37"/>
      <c r="U31" s="37"/>
      <c r="V31" s="37"/>
      <c r="W31" s="37"/>
    </row>
    <row r="32" spans="2:23">
      <c r="B32" s="81" t="str">
        <f>B18</f>
        <v>Gestió de dades</v>
      </c>
      <c r="C32" s="79">
        <f>H18</f>
        <v>1.5</v>
      </c>
      <c r="D32" s="38"/>
      <c r="E32" s="37"/>
      <c r="F32" s="37"/>
      <c r="H32" s="37"/>
      <c r="I32" s="37"/>
      <c r="J32" s="37"/>
      <c r="K32" s="37"/>
      <c r="L32" s="37"/>
      <c r="M32" s="37"/>
      <c r="N32" s="37"/>
      <c r="O32" s="37"/>
      <c r="P32" s="37"/>
      <c r="Q32" s="37"/>
      <c r="R32" s="37"/>
      <c r="S32" s="37"/>
      <c r="T32" s="37"/>
      <c r="U32" s="37"/>
      <c r="V32" s="37"/>
      <c r="W32" s="37"/>
    </row>
    <row r="33" spans="2:8">
      <c r="B33" s="40" t="str">
        <f>B25</f>
        <v>Qualitat de la dada</v>
      </c>
      <c r="C33" s="79">
        <f>H25</f>
        <v>1</v>
      </c>
      <c r="D33" s="38"/>
      <c r="E33" s="37"/>
      <c r="F33" s="37"/>
      <c r="H33" s="37"/>
    </row>
    <row r="34" spans="2:8">
      <c r="D34" s="38"/>
      <c r="E34" s="37"/>
      <c r="F34" s="37"/>
      <c r="H34" s="37"/>
    </row>
    <row r="35" spans="2:8">
      <c r="H35" s="37"/>
    </row>
    <row r="36" spans="2:8">
      <c r="H36" s="37"/>
    </row>
    <row r="37" spans="2:8">
      <c r="H37" s="37"/>
    </row>
    <row r="38" spans="2:8">
      <c r="H38" s="37"/>
    </row>
    <row r="39" spans="2:8">
      <c r="H39" s="37"/>
    </row>
    <row r="40" spans="2:8">
      <c r="H40" s="37"/>
    </row>
    <row r="41" spans="2:8">
      <c r="H41" s="37"/>
    </row>
    <row r="42" spans="2:8">
      <c r="H42" s="37"/>
    </row>
    <row r="43" spans="2:8">
      <c r="H43" s="37"/>
    </row>
    <row r="44" spans="2:8">
      <c r="H44" s="37"/>
    </row>
    <row r="45" spans="2:8">
      <c r="H45" s="37"/>
    </row>
    <row r="46" spans="2:8">
      <c r="H46" s="37"/>
    </row>
    <row r="47" spans="2:8">
      <c r="H47" s="37"/>
    </row>
    <row r="48" spans="2:8">
      <c r="H48" s="37"/>
    </row>
    <row r="49" spans="8:8">
      <c r="H49" s="37"/>
    </row>
    <row r="50" spans="8:8">
      <c r="H50" s="37"/>
    </row>
    <row r="51" spans="8:8">
      <c r="H51" s="37"/>
    </row>
    <row r="52" spans="8:8">
      <c r="H52" s="37"/>
    </row>
    <row r="53" spans="8:8">
      <c r="H53" s="37"/>
    </row>
    <row r="54" spans="8:8">
      <c r="H54" s="37"/>
    </row>
  </sheetData>
  <mergeCells count="12">
    <mergeCell ref="C28:F28"/>
    <mergeCell ref="C20:F20"/>
    <mergeCell ref="C13:F13"/>
    <mergeCell ref="C14:F14"/>
    <mergeCell ref="C15:F15"/>
    <mergeCell ref="C16:F16"/>
    <mergeCell ref="C19:F19"/>
    <mergeCell ref="C21:F21"/>
    <mergeCell ref="C22:F22"/>
    <mergeCell ref="C23:F23"/>
    <mergeCell ref="C26:F26"/>
    <mergeCell ref="C27:F27"/>
  </mergeCells>
  <pageMargins left="0.7" right="0.7" top="0.75" bottom="0.75" header="0.3" footer="0.3"/>
  <pageSetup paperSize="9" scale="55"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85E64-B571-41AC-AB62-7BC1ECB95198}">
  <sheetPr>
    <tabColor rgb="FFFFC000"/>
    <pageSetUpPr fitToPage="1"/>
  </sheetPr>
  <dimension ref="A1:T77"/>
  <sheetViews>
    <sheetView view="pageBreakPreview" zoomScale="60" zoomScaleNormal="100" workbookViewId="0">
      <pane ySplit="5" topLeftCell="A9" activePane="bottomLeft" state="frozen"/>
      <selection pane="bottomLeft" activeCell="F14" sqref="F14"/>
    </sheetView>
  </sheetViews>
  <sheetFormatPr defaultColWidth="11.42578125" defaultRowHeight="15"/>
  <cols>
    <col min="1" max="1" width="2.5703125" style="37" customWidth="1"/>
    <col min="2" max="2" width="4.85546875" style="40" customWidth="1"/>
    <col min="3" max="3" width="2.85546875" style="40" customWidth="1"/>
    <col min="4" max="4" width="2.85546875" style="120" customWidth="1"/>
    <col min="5" max="5" width="6.7109375" style="38" customWidth="1"/>
    <col min="6" max="6" width="142.7109375" style="40" customWidth="1"/>
    <col min="7" max="7" width="10.85546875" style="43" bestFit="1" customWidth="1"/>
    <col min="8" max="10" width="9.140625" style="40"/>
    <col min="11" max="11" width="24.42578125" style="40" customWidth="1"/>
    <col min="12" max="14" width="11.42578125" style="37"/>
    <col min="15" max="16384" width="11.42578125" style="40"/>
  </cols>
  <sheetData>
    <row r="1" spans="1:20" s="2" customFormat="1">
      <c r="D1" s="119"/>
      <c r="F1" s="1"/>
      <c r="I1" s="117"/>
      <c r="Q1" s="53"/>
      <c r="R1" s="53"/>
      <c r="S1" s="53"/>
      <c r="T1" s="53"/>
    </row>
    <row r="2" spans="1:20" s="2" customFormat="1" ht="26.25">
      <c r="B2" s="3" t="s">
        <v>0</v>
      </c>
      <c r="C2" s="3"/>
      <c r="D2" s="3"/>
      <c r="E2" s="121"/>
      <c r="F2" s="4"/>
      <c r="G2" s="4"/>
      <c r="H2" s="4"/>
      <c r="I2" s="4"/>
      <c r="J2" s="4"/>
      <c r="K2" s="4"/>
      <c r="Q2" s="53"/>
      <c r="R2" s="53"/>
      <c r="S2" s="53"/>
      <c r="T2" s="53"/>
    </row>
    <row r="3" spans="1:20" s="39" customFormat="1" ht="18.75">
      <c r="A3" s="26"/>
      <c r="B3" s="26"/>
      <c r="C3" s="26"/>
      <c r="D3" s="26"/>
      <c r="E3" s="122"/>
      <c r="G3" s="42"/>
    </row>
    <row r="4" spans="1:20" s="25" customFormat="1" ht="27.75">
      <c r="A4" s="23"/>
      <c r="B4" s="28" t="s">
        <v>512</v>
      </c>
      <c r="C4" s="23"/>
      <c r="D4" s="65"/>
      <c r="E4" s="123"/>
      <c r="G4" s="41"/>
    </row>
    <row r="5" spans="1:20" s="25" customFormat="1" ht="43.5">
      <c r="A5" s="23"/>
      <c r="B5" s="23"/>
      <c r="C5" s="23"/>
      <c r="D5" s="65"/>
      <c r="E5" s="23"/>
      <c r="G5" s="126" t="s">
        <v>482</v>
      </c>
      <c r="H5" s="126" t="s">
        <v>483</v>
      </c>
      <c r="I5" s="126" t="s">
        <v>484</v>
      </c>
      <c r="J5" s="126" t="s">
        <v>485</v>
      </c>
      <c r="K5" s="126" t="s">
        <v>486</v>
      </c>
    </row>
    <row r="6" spans="1:20" s="37" customFormat="1" ht="26.25">
      <c r="B6" s="73" t="s">
        <v>199</v>
      </c>
      <c r="C6" s="7"/>
      <c r="D6" s="7"/>
      <c r="G6" s="38"/>
    </row>
    <row r="7" spans="1:20" s="37" customFormat="1">
      <c r="B7" s="2"/>
      <c r="C7" s="2"/>
      <c r="D7" s="119" t="s">
        <v>513</v>
      </c>
      <c r="E7" s="2"/>
      <c r="G7" s="38"/>
    </row>
    <row r="8" spans="1:20" ht="29.25">
      <c r="B8" s="2"/>
      <c r="C8" s="2"/>
      <c r="D8" s="119"/>
      <c r="E8" s="129" t="s">
        <v>226</v>
      </c>
      <c r="F8" s="130" t="s">
        <v>514</v>
      </c>
      <c r="G8" s="124">
        <f>IF(VLOOKUP(E8,[1]Qüestionari!D:Z,23,0)=4,"",VLOOKUP(E8,[1]Qüestionari!D:Z,23,0))</f>
        <v>1</v>
      </c>
      <c r="H8" s="125" t="s">
        <v>487</v>
      </c>
      <c r="I8" s="125" t="s">
        <v>488</v>
      </c>
      <c r="J8" s="124">
        <f>IF(AND(H8&lt;&gt;"",I8&lt;&gt;""),INT(LEFT(H8,1))+INT(LEFT(I8,1)),"")</f>
        <v>4</v>
      </c>
      <c r="K8" s="125" t="s">
        <v>489</v>
      </c>
    </row>
    <row r="9" spans="1:20" ht="29.25">
      <c r="B9" s="2"/>
      <c r="C9" s="2"/>
      <c r="D9" s="119"/>
      <c r="E9" s="128" t="s">
        <v>237</v>
      </c>
      <c r="F9" s="130" t="s">
        <v>515</v>
      </c>
      <c r="G9" s="124">
        <f>IF(VLOOKUP(E9,[1]Qüestionari!D:Z,23,0)=4,"",VLOOKUP(E9,[1]Qüestionari!D:Z,23,0))</f>
        <v>1</v>
      </c>
      <c r="H9" s="125" t="s">
        <v>487</v>
      </c>
      <c r="I9" s="125" t="s">
        <v>488</v>
      </c>
      <c r="J9" s="124">
        <f>IF(AND(H9&lt;&gt;"",I9&lt;&gt;""),INT(LEFT(H9,1))+INT(LEFT(I9,1)),"")</f>
        <v>4</v>
      </c>
      <c r="K9" s="125" t="s">
        <v>489</v>
      </c>
    </row>
    <row r="10" spans="1:20" ht="29.25">
      <c r="B10" s="2"/>
      <c r="C10" s="2"/>
      <c r="D10" s="119"/>
      <c r="E10" s="128" t="s">
        <v>516</v>
      </c>
      <c r="F10" s="130" t="s">
        <v>517</v>
      </c>
      <c r="G10" s="124" t="e">
        <f>IF(VLOOKUP(E10,[1]Qüestionari!D:Z,23,0)=4,"",VLOOKUP(E10,[1]Qüestionari!D:Z,23,0))</f>
        <v>#N/A</v>
      </c>
      <c r="H10" s="125" t="s">
        <v>487</v>
      </c>
      <c r="I10" s="125" t="s">
        <v>488</v>
      </c>
      <c r="J10" s="124">
        <f>IF(AND(H10&lt;&gt;"",I10&lt;&gt;""),INT(LEFT(H10,1))+INT(LEFT(I10,1)),"")</f>
        <v>4</v>
      </c>
      <c r="K10" s="125" t="s">
        <v>489</v>
      </c>
    </row>
    <row r="11" spans="1:20">
      <c r="B11" s="2"/>
      <c r="C11" s="2"/>
      <c r="D11" s="119" t="s">
        <v>518</v>
      </c>
      <c r="E11" s="2"/>
      <c r="G11" s="40"/>
    </row>
    <row r="12" spans="1:20" ht="29.25">
      <c r="B12" s="2"/>
      <c r="C12" s="2"/>
      <c r="D12" s="119"/>
      <c r="E12" s="127" t="s">
        <v>249</v>
      </c>
      <c r="F12" s="130" t="s">
        <v>519</v>
      </c>
      <c r="G12" s="124">
        <f>IF(VLOOKUP(E12,[1]Qüestionari!D:Z,23,0)=4,"",VLOOKUP(E12,[1]Qüestionari!D:Z,23,0))</f>
        <v>1</v>
      </c>
      <c r="H12" s="125" t="s">
        <v>487</v>
      </c>
      <c r="I12" s="125" t="s">
        <v>488</v>
      </c>
      <c r="J12" s="124">
        <f>IF(AND(H12&lt;&gt;"",I12&lt;&gt;""),INT(LEFT(H12,1))+INT(LEFT(I12,1)),"")</f>
        <v>4</v>
      </c>
      <c r="K12" s="125" t="s">
        <v>489</v>
      </c>
    </row>
    <row r="13" spans="1:20" ht="29.25">
      <c r="B13" s="2"/>
      <c r="C13" s="2"/>
      <c r="D13" s="119"/>
      <c r="E13" s="127" t="s">
        <v>259</v>
      </c>
      <c r="F13" s="130" t="s">
        <v>520</v>
      </c>
      <c r="G13" s="124">
        <f>IF(VLOOKUP(E13,[1]Qüestionari!D:Z,23,0)=4,"",VLOOKUP(E13,[1]Qüestionari!D:Z,23,0))</f>
        <v>1</v>
      </c>
      <c r="H13" s="125" t="s">
        <v>490</v>
      </c>
      <c r="I13" s="125" t="s">
        <v>491</v>
      </c>
      <c r="J13" s="124">
        <f>IF(AND(H13&lt;&gt;"",I13&lt;&gt;""),INT(LEFT(H13,1))+INT(LEFT(I13,1)),"")</f>
        <v>4</v>
      </c>
      <c r="K13" s="125" t="s">
        <v>492</v>
      </c>
    </row>
    <row r="14" spans="1:20">
      <c r="B14" s="2"/>
      <c r="C14" s="2"/>
      <c r="D14" s="119"/>
      <c r="E14" s="127" t="s">
        <v>521</v>
      </c>
      <c r="F14" s="130" t="s">
        <v>522</v>
      </c>
      <c r="G14" s="124" t="e">
        <f>IF(VLOOKUP(E14,[1]Qüestionari!D:Z,23,0)=4,"",VLOOKUP(E14,[1]Qüestionari!D:Z,23,0))</f>
        <v>#N/A</v>
      </c>
      <c r="H14" s="125" t="s">
        <v>490</v>
      </c>
      <c r="I14" s="125" t="s">
        <v>491</v>
      </c>
      <c r="J14" s="124">
        <f>IF(AND(H14&lt;&gt;"",I14&lt;&gt;""),INT(LEFT(H14,1))+INT(LEFT(I14,1)),"")</f>
        <v>4</v>
      </c>
      <c r="K14" s="125" t="s">
        <v>492</v>
      </c>
    </row>
    <row r="15" spans="1:20" ht="29.25">
      <c r="B15" s="2"/>
      <c r="C15" s="2"/>
      <c r="D15" s="119"/>
      <c r="E15" s="127" t="s">
        <v>523</v>
      </c>
      <c r="F15" s="130" t="s">
        <v>524</v>
      </c>
      <c r="G15" s="124" t="e">
        <f>IF(VLOOKUP(E15,[1]Qüestionari!D:Z,23,0)=4,"",VLOOKUP(E15,[1]Qüestionari!D:Z,23,0))</f>
        <v>#N/A</v>
      </c>
      <c r="H15" s="125" t="s">
        <v>490</v>
      </c>
      <c r="I15" s="125" t="s">
        <v>491</v>
      </c>
      <c r="J15" s="124">
        <f>IF(AND(H15&lt;&gt;"",I15&lt;&gt;""),INT(LEFT(H15,1))+INT(LEFT(I15,1)),"")</f>
        <v>4</v>
      </c>
      <c r="K15" s="125" t="s">
        <v>492</v>
      </c>
    </row>
    <row r="16" spans="1:20" ht="29.25">
      <c r="B16" s="2"/>
      <c r="C16" s="2"/>
      <c r="D16" s="119"/>
      <c r="E16" s="127" t="s">
        <v>525</v>
      </c>
      <c r="F16" s="130" t="s">
        <v>526</v>
      </c>
      <c r="G16" s="124" t="e">
        <f>IF(VLOOKUP(E16,[1]Qüestionari!D:Z,23,0)=4,"",VLOOKUP(E16,[1]Qüestionari!D:Z,23,0))</f>
        <v>#N/A</v>
      </c>
      <c r="H16" s="125" t="s">
        <v>490</v>
      </c>
      <c r="I16" s="125" t="s">
        <v>491</v>
      </c>
      <c r="J16" s="124">
        <f>IF(AND(H16&lt;&gt;"",I16&lt;&gt;""),INT(LEFT(H16,1))+INT(LEFT(I16,1)),"")</f>
        <v>4</v>
      </c>
      <c r="K16" s="125" t="s">
        <v>492</v>
      </c>
    </row>
    <row r="17" spans="2:11">
      <c r="B17" s="2"/>
      <c r="C17" s="2"/>
      <c r="D17" s="119" t="s">
        <v>527</v>
      </c>
      <c r="E17" s="2"/>
      <c r="G17" s="40"/>
    </row>
    <row r="18" spans="2:11" ht="29.25">
      <c r="B18" s="2"/>
      <c r="C18" s="2"/>
      <c r="D18" s="119"/>
      <c r="E18" s="127" t="s">
        <v>270</v>
      </c>
      <c r="F18" s="130" t="s">
        <v>528</v>
      </c>
      <c r="G18" s="124">
        <f>IF(VLOOKUP(E18,[1]Qüestionari!D:Z,23,0)=4,"",VLOOKUP(E18,[1]Qüestionari!D:Z,23,0))</f>
        <v>1</v>
      </c>
      <c r="H18" s="125" t="s">
        <v>487</v>
      </c>
      <c r="I18" s="125" t="s">
        <v>488</v>
      </c>
      <c r="J18" s="124">
        <f>IF(AND(H18&lt;&gt;"",I18&lt;&gt;""),INT(LEFT(H18,1))+INT(LEFT(I18,1)),"")</f>
        <v>4</v>
      </c>
      <c r="K18" s="125" t="s">
        <v>489</v>
      </c>
    </row>
    <row r="19" spans="2:11" ht="29.25">
      <c r="B19" s="2"/>
      <c r="C19" s="2"/>
      <c r="D19" s="119"/>
      <c r="E19" s="127" t="s">
        <v>529</v>
      </c>
      <c r="F19" s="130" t="s">
        <v>530</v>
      </c>
      <c r="G19" s="124" t="e">
        <f>IF(VLOOKUP(E19,[1]Qüestionari!D:Z,23,0)=4,"",VLOOKUP(E19,[1]Qüestionari!D:Z,23,0))</f>
        <v>#N/A</v>
      </c>
      <c r="H19" s="125" t="s">
        <v>487</v>
      </c>
      <c r="I19" s="125" t="s">
        <v>488</v>
      </c>
      <c r="J19" s="124">
        <f>IF(AND(H19&lt;&gt;"",I19&lt;&gt;""),INT(LEFT(H19,1))+INT(LEFT(I19,1)),"")</f>
        <v>4</v>
      </c>
      <c r="K19" s="125" t="s">
        <v>489</v>
      </c>
    </row>
    <row r="20" spans="2:11" ht="29.25">
      <c r="B20" s="2"/>
      <c r="C20" s="2"/>
      <c r="D20" s="119"/>
      <c r="E20" s="127" t="s">
        <v>531</v>
      </c>
      <c r="F20" s="130" t="s">
        <v>532</v>
      </c>
      <c r="G20" s="124" t="e">
        <f>IF(VLOOKUP(E20,[1]Qüestionari!D:Z,23,0)=4,"",VLOOKUP(E20,[1]Qüestionari!D:Z,23,0))</f>
        <v>#N/A</v>
      </c>
      <c r="H20" s="125" t="s">
        <v>487</v>
      </c>
      <c r="I20" s="125" t="s">
        <v>488</v>
      </c>
      <c r="J20" s="124">
        <f>IF(AND(H20&lt;&gt;"",I20&lt;&gt;""),INT(LEFT(H20,1))+INT(LEFT(I20,1)),"")</f>
        <v>4</v>
      </c>
      <c r="K20" s="125" t="s">
        <v>489</v>
      </c>
    </row>
    <row r="21" spans="2:11">
      <c r="B21" s="2"/>
      <c r="C21" s="2"/>
      <c r="D21" s="119" t="s">
        <v>533</v>
      </c>
      <c r="E21" s="2"/>
      <c r="G21" s="40"/>
    </row>
    <row r="22" spans="2:11" ht="29.25">
      <c r="B22" s="2"/>
      <c r="C22" s="2"/>
      <c r="D22" s="119"/>
      <c r="E22" s="127" t="s">
        <v>281</v>
      </c>
      <c r="F22" s="130" t="s">
        <v>534</v>
      </c>
      <c r="G22" s="124">
        <f>IF(VLOOKUP(E22,[1]Qüestionari!D:Z,23,0)=4,"",VLOOKUP(E22,[1]Qüestionari!D:Z,23,0))</f>
        <v>1</v>
      </c>
      <c r="H22" s="125" t="s">
        <v>490</v>
      </c>
      <c r="I22" s="125" t="s">
        <v>493</v>
      </c>
      <c r="J22" s="124">
        <f>IF(AND(H22&lt;&gt;"",I22&lt;&gt;""),INT(LEFT(H22,1))+INT(LEFT(I22,1)),"")</f>
        <v>3</v>
      </c>
      <c r="K22" s="125" t="s">
        <v>492</v>
      </c>
    </row>
    <row r="23" spans="2:11" ht="29.25">
      <c r="B23" s="2"/>
      <c r="C23" s="2"/>
      <c r="D23" s="119"/>
      <c r="E23" s="127" t="s">
        <v>292</v>
      </c>
      <c r="F23" s="130" t="s">
        <v>535</v>
      </c>
      <c r="G23" s="124">
        <f>IF(VLOOKUP(E23,[1]Qüestionari!D:Z,23,0)=4,"",VLOOKUP(E23,[1]Qüestionari!D:Z,23,0))</f>
        <v>1</v>
      </c>
      <c r="H23" s="125" t="s">
        <v>490</v>
      </c>
      <c r="I23" s="125" t="s">
        <v>493</v>
      </c>
      <c r="J23" s="124">
        <f>IF(AND(H23&lt;&gt;"",I23&lt;&gt;""),INT(LEFT(H23,1))+INT(LEFT(I23,1)),"")</f>
        <v>3</v>
      </c>
      <c r="K23" s="125" t="s">
        <v>492</v>
      </c>
    </row>
    <row r="24" spans="2:11" ht="29.25">
      <c r="B24" s="2"/>
      <c r="C24" s="2"/>
      <c r="D24" s="119"/>
      <c r="E24" s="127" t="s">
        <v>303</v>
      </c>
      <c r="F24" s="130" t="s">
        <v>536</v>
      </c>
      <c r="G24" s="124">
        <f>IF(VLOOKUP(E24,[1]Qüestionari!D:Z,23,0)=4,"",VLOOKUP(E24,[1]Qüestionari!D:Z,23,0))</f>
        <v>1</v>
      </c>
      <c r="H24" s="125" t="s">
        <v>490</v>
      </c>
      <c r="I24" s="125" t="s">
        <v>493</v>
      </c>
      <c r="J24" s="124">
        <f>IF(AND(H24&lt;&gt;"",I24&lt;&gt;""),INT(LEFT(H24,1))+INT(LEFT(I24,1)),"")</f>
        <v>3</v>
      </c>
      <c r="K24" s="125" t="s">
        <v>492</v>
      </c>
    </row>
    <row r="25" spans="2:11" ht="26.25">
      <c r="B25" s="73" t="s">
        <v>537</v>
      </c>
      <c r="C25" s="7"/>
      <c r="D25" s="7"/>
      <c r="E25" s="37"/>
      <c r="G25" s="40"/>
    </row>
    <row r="26" spans="2:11">
      <c r="B26" s="2"/>
      <c r="C26" s="2"/>
      <c r="D26" s="119" t="s">
        <v>538</v>
      </c>
      <c r="E26" s="2"/>
      <c r="G26" s="40"/>
    </row>
    <row r="27" spans="2:11" ht="29.25">
      <c r="B27" s="2"/>
      <c r="C27" s="2"/>
      <c r="D27" s="119"/>
      <c r="E27" s="127" t="s">
        <v>315</v>
      </c>
      <c r="F27" s="130" t="s">
        <v>539</v>
      </c>
      <c r="G27" s="124">
        <f>IF(VLOOKUP(E27,[1]Qüestionari!D:Z,23,0)=4,"",VLOOKUP(E27,[1]Qüestionari!D:Z,23,0))</f>
        <v>2</v>
      </c>
      <c r="H27" s="125" t="s">
        <v>487</v>
      </c>
      <c r="I27" s="125" t="s">
        <v>493</v>
      </c>
      <c r="J27" s="124">
        <f>IF(AND(H27&lt;&gt;"",I27&lt;&gt;""),INT(LEFT(H27,1))+INT(LEFT(I27,1)),"")</f>
        <v>2</v>
      </c>
      <c r="K27" s="125" t="s">
        <v>492</v>
      </c>
    </row>
    <row r="28" spans="2:11" ht="29.25">
      <c r="B28" s="2"/>
      <c r="C28" s="2"/>
      <c r="D28" s="119"/>
      <c r="E28" s="127" t="s">
        <v>540</v>
      </c>
      <c r="F28" s="130" t="s">
        <v>541</v>
      </c>
      <c r="G28" s="124" t="e">
        <f>IF(VLOOKUP(E28,[1]Qüestionari!D:Z,23,0)=4,"",VLOOKUP(E28,[1]Qüestionari!D:Z,23,0))</f>
        <v>#N/A</v>
      </c>
      <c r="H28" s="125" t="s">
        <v>487</v>
      </c>
      <c r="I28" s="125" t="s">
        <v>488</v>
      </c>
      <c r="J28" s="124">
        <f>IF(AND(H28&lt;&gt;"",I28&lt;&gt;""),INT(LEFT(H28,1))+INT(LEFT(I28,1)),"")</f>
        <v>4</v>
      </c>
      <c r="K28" s="125" t="s">
        <v>494</v>
      </c>
    </row>
    <row r="29" spans="2:11" ht="29.25">
      <c r="B29" s="2"/>
      <c r="C29" s="2"/>
      <c r="D29" s="119"/>
      <c r="E29" s="127" t="s">
        <v>542</v>
      </c>
      <c r="F29" s="130" t="s">
        <v>543</v>
      </c>
      <c r="G29" s="124" t="e">
        <f>IF(VLOOKUP(E29,[1]Qüestionari!D:Z,23,0)=4,"",VLOOKUP(E29,[1]Qüestionari!D:Z,23,0))</f>
        <v>#N/A</v>
      </c>
      <c r="H29" s="125" t="s">
        <v>487</v>
      </c>
      <c r="I29" s="125" t="s">
        <v>488</v>
      </c>
      <c r="J29" s="124">
        <f>IF(AND(H29&lt;&gt;"",I29&lt;&gt;""),INT(LEFT(H29,1))+INT(LEFT(I29,1)),"")</f>
        <v>4</v>
      </c>
      <c r="K29" s="125" t="s">
        <v>494</v>
      </c>
    </row>
    <row r="30" spans="2:11">
      <c r="B30" s="2"/>
      <c r="C30" s="2"/>
      <c r="D30" s="119" t="s">
        <v>544</v>
      </c>
      <c r="E30" s="2"/>
      <c r="G30" s="40"/>
    </row>
    <row r="31" spans="2:11" ht="29.25">
      <c r="B31" s="2"/>
      <c r="C31" s="2"/>
      <c r="D31" s="119"/>
      <c r="E31" s="127" t="s">
        <v>337</v>
      </c>
      <c r="F31" s="130" t="s">
        <v>545</v>
      </c>
      <c r="G31" s="124">
        <f>IF(VLOOKUP(E31,[1]Qüestionari!D:Z,23,0)=4,"",VLOOKUP(E31,[1]Qüestionari!D:Z,23,0))</f>
        <v>2</v>
      </c>
      <c r="H31" s="125" t="s">
        <v>487</v>
      </c>
      <c r="I31" s="125" t="s">
        <v>488</v>
      </c>
      <c r="J31" s="124">
        <f>IF(AND(H31&lt;&gt;"",I31&lt;&gt;""),INT(LEFT(H31,1))+INT(LEFT(I31,1)),"")</f>
        <v>4</v>
      </c>
      <c r="K31" s="125" t="s">
        <v>489</v>
      </c>
    </row>
    <row r="32" spans="2:11" ht="29.25">
      <c r="B32" s="2"/>
      <c r="C32" s="2"/>
      <c r="D32" s="119"/>
      <c r="E32" s="127" t="s">
        <v>546</v>
      </c>
      <c r="F32" s="130" t="s">
        <v>547</v>
      </c>
      <c r="G32" s="124" t="e">
        <f>IF(VLOOKUP(E32,[1]Qüestionari!D:Z,23,0)=4,"",VLOOKUP(E32,[1]Qüestionari!D:Z,23,0))</f>
        <v>#N/A</v>
      </c>
      <c r="H32" s="125" t="s">
        <v>487</v>
      </c>
      <c r="I32" s="125" t="s">
        <v>488</v>
      </c>
      <c r="J32" s="124">
        <f>IF(AND(H32&lt;&gt;"",I32&lt;&gt;""),INT(LEFT(H32,1))+INT(LEFT(I32,1)),"")</f>
        <v>4</v>
      </c>
      <c r="K32" s="125" t="s">
        <v>489</v>
      </c>
    </row>
    <row r="33" spans="2:11" ht="29.25">
      <c r="B33" s="2"/>
      <c r="C33" s="2"/>
      <c r="D33" s="119"/>
      <c r="E33" s="127" t="s">
        <v>548</v>
      </c>
      <c r="F33" s="130" t="s">
        <v>549</v>
      </c>
      <c r="G33" s="124" t="e">
        <f>IF(VLOOKUP(E33,[1]Qüestionari!D:Z,23,0)=4,"",VLOOKUP(E33,[1]Qüestionari!D:Z,23,0))</f>
        <v>#N/A</v>
      </c>
      <c r="H33" s="125" t="s">
        <v>487</v>
      </c>
      <c r="I33" s="125" t="s">
        <v>488</v>
      </c>
      <c r="J33" s="124">
        <f>IF(AND(H33&lt;&gt;"",I33&lt;&gt;""),INT(LEFT(H33,1))+INT(LEFT(I33,1)),"")</f>
        <v>4</v>
      </c>
      <c r="K33" s="125" t="s">
        <v>489</v>
      </c>
    </row>
    <row r="34" spans="2:11" ht="29.25">
      <c r="B34" s="2"/>
      <c r="C34" s="2"/>
      <c r="D34" s="119"/>
      <c r="E34" s="127" t="s">
        <v>550</v>
      </c>
      <c r="F34" s="130" t="s">
        <v>551</v>
      </c>
      <c r="G34" s="124" t="e">
        <f>IF(VLOOKUP(E34,[1]Qüestionari!D:Z,23,0)=4,"",VLOOKUP(E34,[1]Qüestionari!D:Z,23,0))</f>
        <v>#N/A</v>
      </c>
      <c r="H34" s="125" t="s">
        <v>487</v>
      </c>
      <c r="I34" s="125" t="s">
        <v>488</v>
      </c>
      <c r="J34" s="124">
        <f>IF(AND(H34&lt;&gt;"",I34&lt;&gt;""),INT(LEFT(H34,1))+INT(LEFT(I34,1)),"")</f>
        <v>4</v>
      </c>
      <c r="K34" s="125" t="s">
        <v>489</v>
      </c>
    </row>
    <row r="35" spans="2:11">
      <c r="B35" s="2"/>
      <c r="C35" s="2"/>
      <c r="D35" s="119" t="s">
        <v>552</v>
      </c>
      <c r="E35" s="2"/>
      <c r="G35" s="40"/>
    </row>
    <row r="36" spans="2:11">
      <c r="B36" s="2"/>
      <c r="C36" s="2"/>
      <c r="D36" s="119"/>
      <c r="E36" s="127" t="s">
        <v>349</v>
      </c>
      <c r="F36" s="130" t="s">
        <v>553</v>
      </c>
      <c r="G36" s="124">
        <f>IF(VLOOKUP(E36,[1]Qüestionari!D:Z,23,0)=4,"",VLOOKUP(E36,[1]Qüestionari!D:Z,23,0))</f>
        <v>1</v>
      </c>
      <c r="H36" s="125" t="s">
        <v>490</v>
      </c>
      <c r="I36" s="125" t="s">
        <v>491</v>
      </c>
      <c r="J36" s="124">
        <f>IF(AND(H36&lt;&gt;"",I36&lt;&gt;""),INT(LEFT(H36,1))+INT(LEFT(I36,1)),"")</f>
        <v>4</v>
      </c>
      <c r="K36" s="125" t="s">
        <v>489</v>
      </c>
    </row>
    <row r="37" spans="2:11">
      <c r="B37" s="2"/>
      <c r="C37" s="2"/>
      <c r="D37" s="119"/>
      <c r="E37" s="127" t="s">
        <v>360</v>
      </c>
      <c r="F37" s="130" t="s">
        <v>554</v>
      </c>
      <c r="G37" s="124">
        <f>IF(VLOOKUP(E37,[1]Qüestionari!D:Z,23,0)=4,"",VLOOKUP(E37,[1]Qüestionari!D:Z,23,0))</f>
        <v>1</v>
      </c>
      <c r="H37" s="125" t="s">
        <v>490</v>
      </c>
      <c r="I37" s="125" t="s">
        <v>488</v>
      </c>
      <c r="J37" s="124">
        <f>IF(AND(H37&lt;&gt;"",I37&lt;&gt;""),INT(LEFT(H37,1))+INT(LEFT(I37,1)),"")</f>
        <v>5</v>
      </c>
      <c r="K37" s="125" t="s">
        <v>489</v>
      </c>
    </row>
    <row r="38" spans="2:11">
      <c r="B38" s="2"/>
      <c r="C38" s="2"/>
      <c r="D38" s="119"/>
      <c r="E38" s="127" t="s">
        <v>555</v>
      </c>
      <c r="F38" s="130" t="s">
        <v>556</v>
      </c>
      <c r="G38" s="124" t="e">
        <f>IF(VLOOKUP(E38,[1]Qüestionari!D:Z,23,0)=4,"",VLOOKUP(E38,[1]Qüestionari!D:Z,23,0))</f>
        <v>#N/A</v>
      </c>
      <c r="H38" s="125" t="s">
        <v>490</v>
      </c>
      <c r="I38" s="125" t="s">
        <v>488</v>
      </c>
      <c r="J38" s="124">
        <f>IF(AND(H38&lt;&gt;"",I38&lt;&gt;""),INT(LEFT(H38,1))+INT(LEFT(I38,1)),"")</f>
        <v>5</v>
      </c>
      <c r="K38" s="125" t="s">
        <v>489</v>
      </c>
    </row>
    <row r="39" spans="2:11">
      <c r="B39" s="2"/>
      <c r="C39" s="2"/>
      <c r="D39" s="119" t="s">
        <v>557</v>
      </c>
      <c r="E39" s="2"/>
      <c r="G39" s="40"/>
    </row>
    <row r="40" spans="2:11">
      <c r="B40" s="2"/>
      <c r="C40" s="2"/>
      <c r="D40" s="119"/>
      <c r="E40" s="127" t="s">
        <v>371</v>
      </c>
      <c r="F40" s="130" t="s">
        <v>558</v>
      </c>
      <c r="G40" s="124">
        <f>IF(VLOOKUP(E40,[1]Qüestionari!D:Z,23,0)=4,"",VLOOKUP(E40,[1]Qüestionari!D:Z,23,0))</f>
        <v>1</v>
      </c>
      <c r="H40" s="125" t="s">
        <v>490</v>
      </c>
      <c r="I40" s="125" t="s">
        <v>488</v>
      </c>
      <c r="J40" s="124">
        <f>IF(AND(H40&lt;&gt;"",I40&lt;&gt;""),INT(LEFT(H40,1))+INT(LEFT(I40,1)),"")</f>
        <v>5</v>
      </c>
      <c r="K40" s="125" t="s">
        <v>489</v>
      </c>
    </row>
    <row r="41" spans="2:11">
      <c r="B41" s="2"/>
      <c r="C41" s="2"/>
      <c r="D41" s="119"/>
      <c r="E41" s="127" t="s">
        <v>371</v>
      </c>
      <c r="F41" s="130" t="s">
        <v>559</v>
      </c>
      <c r="G41" s="124">
        <f>IF(VLOOKUP(E41,[1]Qüestionari!D:Z,23,0)=4,"",VLOOKUP(E41,[1]Qüestionari!D:Z,23,0))</f>
        <v>1</v>
      </c>
      <c r="H41" s="125" t="s">
        <v>490</v>
      </c>
      <c r="I41" s="125" t="s">
        <v>488</v>
      </c>
      <c r="J41" s="124">
        <f>IF(AND(H41&lt;&gt;"",I41&lt;&gt;""),INT(LEFT(H41,1))+INT(LEFT(I41,1)),"")</f>
        <v>5</v>
      </c>
      <c r="K41" s="125" t="s">
        <v>489</v>
      </c>
    </row>
    <row r="42" spans="2:11">
      <c r="B42" s="2"/>
      <c r="C42" s="2"/>
      <c r="D42" s="119"/>
      <c r="E42" s="127" t="s">
        <v>371</v>
      </c>
      <c r="F42" s="130" t="s">
        <v>560</v>
      </c>
      <c r="G42" s="124">
        <f>IF(VLOOKUP(E42,[1]Qüestionari!D:Z,23,0)=4,"",VLOOKUP(E42,[1]Qüestionari!D:Z,23,0))</f>
        <v>1</v>
      </c>
      <c r="H42" s="125" t="s">
        <v>490</v>
      </c>
      <c r="I42" s="125" t="s">
        <v>488</v>
      </c>
      <c r="J42" s="124">
        <f>IF(AND(H42&lt;&gt;"",I42&lt;&gt;""),INT(LEFT(H42,1))+INT(LEFT(I42,1)),"")</f>
        <v>5</v>
      </c>
      <c r="K42" s="125" t="s">
        <v>489</v>
      </c>
    </row>
    <row r="43" spans="2:11">
      <c r="B43" s="2"/>
      <c r="C43" s="2"/>
      <c r="D43" s="119"/>
      <c r="E43" s="127" t="s">
        <v>371</v>
      </c>
      <c r="F43" s="130" t="s">
        <v>561</v>
      </c>
      <c r="G43" s="124">
        <f>IF(VLOOKUP(E43,[1]Qüestionari!D:Z,23,0)=4,"",VLOOKUP(E43,[1]Qüestionari!D:Z,23,0))</f>
        <v>1</v>
      </c>
      <c r="H43" s="125" t="s">
        <v>490</v>
      </c>
      <c r="I43" s="125" t="s">
        <v>488</v>
      </c>
      <c r="J43" s="124">
        <f>IF(AND(H43&lt;&gt;"",I43&lt;&gt;""),INT(LEFT(H43,1))+INT(LEFT(I43,1)),"")</f>
        <v>5</v>
      </c>
      <c r="K43" s="125" t="s">
        <v>489</v>
      </c>
    </row>
    <row r="44" spans="2:11">
      <c r="B44" s="2"/>
      <c r="C44" s="2"/>
      <c r="D44" s="119" t="s">
        <v>562</v>
      </c>
      <c r="E44" s="2"/>
      <c r="G44" s="40"/>
    </row>
    <row r="45" spans="2:11">
      <c r="B45" s="2"/>
      <c r="C45" s="2"/>
      <c r="D45" s="119"/>
      <c r="E45" s="127" t="s">
        <v>382</v>
      </c>
      <c r="F45" s="130" t="s">
        <v>563</v>
      </c>
      <c r="G45" s="124">
        <f>IF(VLOOKUP(E45,[1]Qüestionari!D:Z,23,0)=4,"",VLOOKUP(E45,[1]Qüestionari!D:Z,23,0))</f>
        <v>1</v>
      </c>
      <c r="H45" s="125" t="s">
        <v>490</v>
      </c>
      <c r="I45" s="125" t="s">
        <v>491</v>
      </c>
      <c r="J45" s="124">
        <f>IF(AND(H45&lt;&gt;"",I45&lt;&gt;""),INT(LEFT(H45,1))+INT(LEFT(I45,1)),"")</f>
        <v>4</v>
      </c>
      <c r="K45" s="125" t="s">
        <v>489</v>
      </c>
    </row>
    <row r="46" spans="2:11">
      <c r="B46" s="2"/>
      <c r="C46" s="2"/>
      <c r="D46" s="119"/>
      <c r="E46" s="127" t="s">
        <v>382</v>
      </c>
      <c r="F46" s="130" t="s">
        <v>564</v>
      </c>
      <c r="G46" s="124">
        <f>IF(VLOOKUP(E46,[1]Qüestionari!D:Z,23,0)=4,"",VLOOKUP(E46,[1]Qüestionari!D:Z,23,0))</f>
        <v>1</v>
      </c>
      <c r="H46" s="125" t="s">
        <v>490</v>
      </c>
      <c r="I46" s="125" t="s">
        <v>491</v>
      </c>
      <c r="J46" s="124">
        <f>IF(AND(H46&lt;&gt;"",I46&lt;&gt;""),INT(LEFT(H46,1))+INT(LEFT(I46,1)),"")</f>
        <v>4</v>
      </c>
      <c r="K46" s="125" t="s">
        <v>489</v>
      </c>
    </row>
    <row r="47" spans="2:11" ht="26.25">
      <c r="B47" s="73" t="s">
        <v>565</v>
      </c>
      <c r="C47" s="7"/>
      <c r="D47" s="7"/>
      <c r="E47" s="37"/>
      <c r="G47" s="40"/>
    </row>
    <row r="48" spans="2:11">
      <c r="B48" s="2"/>
      <c r="C48" s="2"/>
      <c r="D48" s="119" t="s">
        <v>566</v>
      </c>
      <c r="E48" s="2"/>
      <c r="G48" s="40"/>
    </row>
    <row r="49" spans="2:11">
      <c r="B49" s="2"/>
      <c r="C49" s="2"/>
      <c r="D49" s="119"/>
      <c r="E49" s="127" t="s">
        <v>390</v>
      </c>
      <c r="F49" s="130" t="s">
        <v>567</v>
      </c>
      <c r="G49" s="124">
        <f>IF(VLOOKUP(E49,[1]Qüestionari!D:Z,23,0)=4,"",VLOOKUP(E49,[1]Qüestionari!D:Z,23,0))</f>
        <v>1</v>
      </c>
      <c r="H49" s="125" t="s">
        <v>487</v>
      </c>
      <c r="I49" s="125" t="s">
        <v>491</v>
      </c>
      <c r="J49" s="124">
        <f>IF(AND(H49&lt;&gt;"",I49&lt;&gt;""),INT(LEFT(H49,1))+INT(LEFT(I49,1)),"")</f>
        <v>3</v>
      </c>
      <c r="K49" s="125" t="s">
        <v>492</v>
      </c>
    </row>
    <row r="50" spans="2:11">
      <c r="B50" s="2"/>
      <c r="C50" s="2"/>
      <c r="D50" s="119"/>
      <c r="E50" s="127" t="s">
        <v>568</v>
      </c>
      <c r="F50" s="130" t="s">
        <v>569</v>
      </c>
      <c r="G50" s="124" t="e">
        <f>IF(VLOOKUP(E50,[1]Qüestionari!D:Z,23,0)=4,"",VLOOKUP(E50,[1]Qüestionari!D:Z,23,0))</f>
        <v>#N/A</v>
      </c>
      <c r="H50" s="125" t="s">
        <v>487</v>
      </c>
      <c r="I50" s="125" t="s">
        <v>491</v>
      </c>
      <c r="J50" s="124">
        <f>IF(AND(H50&lt;&gt;"",I50&lt;&gt;""),INT(LEFT(H50,1))+INT(LEFT(I50,1)),"")</f>
        <v>3</v>
      </c>
      <c r="K50" s="125" t="s">
        <v>492</v>
      </c>
    </row>
    <row r="51" spans="2:11">
      <c r="B51" s="2"/>
      <c r="C51" s="2"/>
      <c r="D51" s="119"/>
      <c r="E51" s="127" t="s">
        <v>570</v>
      </c>
      <c r="F51" s="130" t="s">
        <v>571</v>
      </c>
      <c r="G51" s="124" t="e">
        <f>IF(VLOOKUP(E51,[1]Qüestionari!D:Z,23,0)=4,"",VLOOKUP(E51,[1]Qüestionari!D:Z,23,0))</f>
        <v>#N/A</v>
      </c>
      <c r="H51" s="125" t="s">
        <v>487</v>
      </c>
      <c r="I51" s="125" t="s">
        <v>491</v>
      </c>
      <c r="J51" s="124">
        <f>IF(AND(H51&lt;&gt;"",I51&lt;&gt;""),INT(LEFT(H51,1))+INT(LEFT(I51,1)),"")</f>
        <v>3</v>
      </c>
      <c r="K51" s="125" t="s">
        <v>492</v>
      </c>
    </row>
    <row r="52" spans="2:11">
      <c r="B52" s="2"/>
      <c r="C52" s="2"/>
      <c r="D52" s="119"/>
      <c r="E52" s="127" t="s">
        <v>572</v>
      </c>
      <c r="F52" s="130" t="s">
        <v>573</v>
      </c>
      <c r="G52" s="124" t="e">
        <f>IF(VLOOKUP(E52,[1]Qüestionari!D:Z,23,0)=4,"",VLOOKUP(E52,[1]Qüestionari!D:Z,23,0))</f>
        <v>#N/A</v>
      </c>
      <c r="H52" s="125" t="s">
        <v>487</v>
      </c>
      <c r="I52" s="125" t="s">
        <v>491</v>
      </c>
      <c r="J52" s="124">
        <f>IF(AND(H52&lt;&gt;"",I52&lt;&gt;""),INT(LEFT(H52,1))+INT(LEFT(I52,1)),"")</f>
        <v>3</v>
      </c>
      <c r="K52" s="125" t="s">
        <v>492</v>
      </c>
    </row>
    <row r="53" spans="2:11">
      <c r="B53" s="2"/>
      <c r="C53" s="2"/>
      <c r="D53" s="119" t="s">
        <v>574</v>
      </c>
      <c r="E53" s="2"/>
      <c r="G53" s="40"/>
    </row>
    <row r="54" spans="2:11">
      <c r="B54" s="2"/>
      <c r="C54" s="2"/>
      <c r="D54" s="119"/>
      <c r="E54" s="127" t="s">
        <v>401</v>
      </c>
      <c r="F54" s="130" t="s">
        <v>575</v>
      </c>
      <c r="G54" s="124">
        <f>IF(VLOOKUP(E54,[1]Qüestionari!D:Z,23,0)=4,"",VLOOKUP(E54,[1]Qüestionari!D:Z,23,0))</f>
        <v>1</v>
      </c>
      <c r="H54" s="125" t="s">
        <v>490</v>
      </c>
      <c r="I54" s="125" t="s">
        <v>493</v>
      </c>
      <c r="J54" s="124">
        <f>IF(AND(H54&lt;&gt;"",I54&lt;&gt;""),INT(LEFT(H54,1))+INT(LEFT(I54,1)),"")</f>
        <v>3</v>
      </c>
      <c r="K54" s="125" t="s">
        <v>492</v>
      </c>
    </row>
    <row r="55" spans="2:11">
      <c r="B55" s="2"/>
      <c r="C55" s="2"/>
      <c r="D55" s="119"/>
      <c r="E55" s="127" t="s">
        <v>576</v>
      </c>
      <c r="F55" s="130" t="s">
        <v>577</v>
      </c>
      <c r="G55" s="124" t="e">
        <f>IF(VLOOKUP(E55,[1]Qüestionari!D:Z,23,0)=4,"",VLOOKUP(E55,[1]Qüestionari!D:Z,23,0))</f>
        <v>#N/A</v>
      </c>
      <c r="H55" s="125" t="s">
        <v>490</v>
      </c>
      <c r="I55" s="125" t="s">
        <v>493</v>
      </c>
      <c r="J55" s="124">
        <f>IF(AND(H55&lt;&gt;"",I55&lt;&gt;""),INT(LEFT(H55,1))+INT(LEFT(I55,1)),"")</f>
        <v>3</v>
      </c>
      <c r="K55" s="125" t="s">
        <v>492</v>
      </c>
    </row>
    <row r="56" spans="2:11">
      <c r="B56" s="2"/>
      <c r="C56" s="2"/>
      <c r="D56" s="119"/>
      <c r="E56" s="127" t="s">
        <v>578</v>
      </c>
      <c r="F56" s="130" t="s">
        <v>579</v>
      </c>
      <c r="G56" s="124" t="e">
        <f>IF(VLOOKUP(E56,[1]Qüestionari!D:Z,23,0)=4,"",VLOOKUP(E56,[1]Qüestionari!D:Z,23,0))</f>
        <v>#N/A</v>
      </c>
      <c r="H56" s="125" t="s">
        <v>490</v>
      </c>
      <c r="I56" s="125" t="s">
        <v>493</v>
      </c>
      <c r="J56" s="124">
        <f>IF(AND(H56&lt;&gt;"",I56&lt;&gt;""),INT(LEFT(H56,1))+INT(LEFT(I56,1)),"")</f>
        <v>3</v>
      </c>
      <c r="K56" s="125" t="s">
        <v>492</v>
      </c>
    </row>
    <row r="57" spans="2:11">
      <c r="B57" s="2"/>
      <c r="C57" s="2"/>
      <c r="D57" s="119"/>
      <c r="E57" s="127" t="s">
        <v>580</v>
      </c>
      <c r="F57" s="130" t="s">
        <v>581</v>
      </c>
      <c r="G57" s="124" t="e">
        <f>IF(VLOOKUP(E57,[1]Qüestionari!D:Z,23,0)=4,"",VLOOKUP(E57,[1]Qüestionari!D:Z,23,0))</f>
        <v>#N/A</v>
      </c>
      <c r="H57" s="125" t="s">
        <v>490</v>
      </c>
      <c r="I57" s="125" t="s">
        <v>493</v>
      </c>
      <c r="J57" s="124">
        <f>IF(AND(H57&lt;&gt;"",I57&lt;&gt;""),INT(LEFT(H57,1))+INT(LEFT(I57,1)),"")</f>
        <v>3</v>
      </c>
      <c r="K57" s="125" t="s">
        <v>492</v>
      </c>
    </row>
    <row r="58" spans="2:11">
      <c r="B58" s="2"/>
      <c r="C58" s="2"/>
      <c r="D58" s="119"/>
      <c r="E58" s="127" t="s">
        <v>582</v>
      </c>
      <c r="F58" s="130" t="s">
        <v>583</v>
      </c>
      <c r="G58" s="124" t="e">
        <f>IF(VLOOKUP(E58,[1]Qüestionari!D:Z,23,0)=4,"",VLOOKUP(E58,[1]Qüestionari!D:Z,23,0))</f>
        <v>#N/A</v>
      </c>
      <c r="H58" s="125" t="s">
        <v>490</v>
      </c>
      <c r="I58" s="125" t="s">
        <v>493</v>
      </c>
      <c r="J58" s="124">
        <f>IF(AND(H58&lt;&gt;"",I58&lt;&gt;""),INT(LEFT(H58,1))+INT(LEFT(I58,1)),"")</f>
        <v>3</v>
      </c>
      <c r="K58" s="125" t="s">
        <v>492</v>
      </c>
    </row>
    <row r="59" spans="2:11">
      <c r="B59" s="2"/>
      <c r="C59" s="2"/>
      <c r="D59" s="119" t="s">
        <v>584</v>
      </c>
      <c r="E59" s="2"/>
      <c r="G59" s="40"/>
    </row>
    <row r="60" spans="2:11">
      <c r="B60" s="2"/>
      <c r="C60" s="2"/>
      <c r="D60" s="119"/>
      <c r="E60" s="127" t="s">
        <v>413</v>
      </c>
      <c r="F60" s="130" t="s">
        <v>585</v>
      </c>
      <c r="G60" s="124">
        <f>IF(VLOOKUP(E60,[1]Qüestionari!D:Z,23,0)=4,"",VLOOKUP(E60,[1]Qüestionari!D:Z,23,0))</f>
        <v>1</v>
      </c>
      <c r="H60" s="125" t="s">
        <v>490</v>
      </c>
      <c r="I60" s="125" t="s">
        <v>493</v>
      </c>
      <c r="J60" s="124">
        <f>IF(AND(H60&lt;&gt;"",I60&lt;&gt;""),INT(LEFT(H60,1))+INT(LEFT(I60,1)),"")</f>
        <v>3</v>
      </c>
      <c r="K60" s="125" t="s">
        <v>492</v>
      </c>
    </row>
    <row r="61" spans="2:11">
      <c r="B61" s="2"/>
      <c r="C61" s="2"/>
      <c r="D61" s="119"/>
      <c r="E61" s="127" t="s">
        <v>586</v>
      </c>
      <c r="F61" s="130" t="s">
        <v>587</v>
      </c>
      <c r="G61" s="124" t="e">
        <f>IF(VLOOKUP(E61,[1]Qüestionari!D:Z,23,0)=4,"",VLOOKUP(E61,[1]Qüestionari!D:Z,23,0))</f>
        <v>#N/A</v>
      </c>
      <c r="H61" s="125" t="s">
        <v>490</v>
      </c>
      <c r="I61" s="125" t="s">
        <v>493</v>
      </c>
      <c r="J61" s="124">
        <f>IF(AND(H61&lt;&gt;"",I61&lt;&gt;""),INT(LEFT(H61,1))+INT(LEFT(I61,1)),"")</f>
        <v>3</v>
      </c>
      <c r="K61" s="125" t="s">
        <v>492</v>
      </c>
    </row>
    <row r="62" spans="2:11" s="37" customFormat="1">
      <c r="D62" s="119" t="s">
        <v>588</v>
      </c>
      <c r="E62" s="2"/>
      <c r="F62" s="40"/>
      <c r="G62" s="40"/>
      <c r="H62" s="40"/>
      <c r="I62" s="40"/>
      <c r="J62" s="40"/>
      <c r="K62" s="40"/>
    </row>
    <row r="63" spans="2:11" s="37" customFormat="1">
      <c r="D63" s="119"/>
      <c r="E63" s="127" t="s">
        <v>413</v>
      </c>
      <c r="F63" s="130" t="s">
        <v>589</v>
      </c>
      <c r="G63" s="124">
        <f>IF(VLOOKUP(E63,[1]Qüestionari!D:Z,23,0)=4,"",VLOOKUP(E63,[1]Qüestionari!D:Z,23,0))</f>
        <v>1</v>
      </c>
      <c r="H63" s="125" t="s">
        <v>490</v>
      </c>
      <c r="I63" s="125" t="s">
        <v>493</v>
      </c>
      <c r="J63" s="124">
        <f>IF(AND(H63&lt;&gt;"",I63&lt;&gt;""),INT(LEFT(H63,1))+INT(LEFT(I63,1)),"")</f>
        <v>3</v>
      </c>
      <c r="K63" s="125" t="s">
        <v>492</v>
      </c>
    </row>
    <row r="64" spans="2:11" s="37" customFormat="1">
      <c r="D64" s="119"/>
      <c r="E64" s="127" t="s">
        <v>586</v>
      </c>
      <c r="F64" s="130" t="s">
        <v>590</v>
      </c>
      <c r="G64" s="124" t="e">
        <f>IF(VLOOKUP(E64,[1]Qüestionari!D:Z,23,0)=4,"",VLOOKUP(E64,[1]Qüestionari!D:Z,23,0))</f>
        <v>#N/A</v>
      </c>
      <c r="H64" s="125" t="s">
        <v>490</v>
      </c>
      <c r="I64" s="125" t="s">
        <v>493</v>
      </c>
      <c r="J64" s="124">
        <f>IF(AND(H64&lt;&gt;"",I64&lt;&gt;""),INT(LEFT(H64,1))+INT(LEFT(I64,1)),"")</f>
        <v>3</v>
      </c>
      <c r="K64" s="125" t="s">
        <v>492</v>
      </c>
    </row>
    <row r="65" spans="4:11" s="37" customFormat="1">
      <c r="D65" s="119"/>
      <c r="E65" s="127" t="s">
        <v>591</v>
      </c>
      <c r="F65" s="130" t="s">
        <v>592</v>
      </c>
      <c r="G65" s="124" t="e">
        <f>IF(VLOOKUP(E65,[1]Qüestionari!D:Z,23,0)=4,"",VLOOKUP(E65,[1]Qüestionari!D:Z,23,0))</f>
        <v>#N/A</v>
      </c>
      <c r="H65" s="125" t="s">
        <v>490</v>
      </c>
      <c r="I65" s="125" t="s">
        <v>493</v>
      </c>
      <c r="J65" s="124">
        <f>IF(AND(H65&lt;&gt;"",I65&lt;&gt;""),INT(LEFT(H65,1))+INT(LEFT(I65,1)),"")</f>
        <v>3</v>
      </c>
      <c r="K65" s="125" t="s">
        <v>492</v>
      </c>
    </row>
    <row r="66" spans="4:11" s="37" customFormat="1">
      <c r="D66" s="119"/>
      <c r="E66" s="127" t="s">
        <v>593</v>
      </c>
      <c r="F66" s="130" t="s">
        <v>594</v>
      </c>
      <c r="G66" s="124" t="e">
        <f>IF(VLOOKUP(E66,[1]Qüestionari!D:Z,23,0)=4,"",VLOOKUP(E66,[1]Qüestionari!D:Z,23,0))</f>
        <v>#N/A</v>
      </c>
      <c r="H66" s="125" t="s">
        <v>490</v>
      </c>
      <c r="I66" s="125" t="s">
        <v>493</v>
      </c>
      <c r="J66" s="124">
        <f>IF(AND(H66&lt;&gt;"",I66&lt;&gt;""),INT(LEFT(H66,1))+INT(LEFT(I66,1)),"")</f>
        <v>3</v>
      </c>
      <c r="K66" s="125" t="s">
        <v>492</v>
      </c>
    </row>
    <row r="67" spans="4:11" s="37" customFormat="1">
      <c r="D67" s="119" t="s">
        <v>595</v>
      </c>
      <c r="E67" s="2"/>
      <c r="F67" s="40"/>
      <c r="G67" s="40"/>
      <c r="H67" s="40"/>
      <c r="I67" s="40"/>
      <c r="J67" s="40"/>
      <c r="K67" s="40"/>
    </row>
    <row r="68" spans="4:11" s="37" customFormat="1">
      <c r="D68" s="119"/>
      <c r="E68" s="127" t="s">
        <v>413</v>
      </c>
      <c r="F68" s="130" t="s">
        <v>596</v>
      </c>
      <c r="G68" s="124">
        <f>IF(VLOOKUP(E68,[1]Qüestionari!D:Z,23,0)=4,"",VLOOKUP(E68,[1]Qüestionari!D:Z,23,0))</f>
        <v>1</v>
      </c>
      <c r="H68" s="125" t="s">
        <v>490</v>
      </c>
      <c r="I68" s="125" t="s">
        <v>493</v>
      </c>
      <c r="J68" s="124">
        <f>IF(AND(H68&lt;&gt;"",I68&lt;&gt;""),INT(LEFT(H68,1))+INT(LEFT(I68,1)),"")</f>
        <v>3</v>
      </c>
      <c r="K68" s="125" t="s">
        <v>492</v>
      </c>
    </row>
    <row r="69" spans="4:11" s="37" customFormat="1">
      <c r="D69" s="119"/>
      <c r="E69" s="127" t="s">
        <v>586</v>
      </c>
      <c r="F69" s="130" t="s">
        <v>597</v>
      </c>
      <c r="G69" s="124" t="e">
        <f>IF(VLOOKUP(E69,[1]Qüestionari!D:Z,23,0)=4,"",VLOOKUP(E69,[1]Qüestionari!D:Z,23,0))</f>
        <v>#N/A</v>
      </c>
      <c r="H69" s="125" t="s">
        <v>490</v>
      </c>
      <c r="I69" s="125" t="s">
        <v>493</v>
      </c>
      <c r="J69" s="124">
        <f>IF(AND(H69&lt;&gt;"",I69&lt;&gt;""),INT(LEFT(H69,1))+INT(LEFT(I69,1)),"")</f>
        <v>3</v>
      </c>
      <c r="K69" s="125" t="s">
        <v>492</v>
      </c>
    </row>
    <row r="70" spans="4:11" s="37" customFormat="1">
      <c r="D70" s="119"/>
      <c r="E70" s="127" t="s">
        <v>591</v>
      </c>
      <c r="F70" s="130" t="s">
        <v>598</v>
      </c>
      <c r="G70" s="124" t="e">
        <f>IF(VLOOKUP(E70,[1]Qüestionari!D:Z,23,0)=4,"",VLOOKUP(E70,[1]Qüestionari!D:Z,23,0))</f>
        <v>#N/A</v>
      </c>
      <c r="H70" s="125" t="s">
        <v>490</v>
      </c>
      <c r="I70" s="125" t="s">
        <v>493</v>
      </c>
      <c r="J70" s="124">
        <f>IF(AND(H70&lt;&gt;"",I70&lt;&gt;""),INT(LEFT(H70,1))+INT(LEFT(I70,1)),"")</f>
        <v>3</v>
      </c>
      <c r="K70" s="125" t="s">
        <v>492</v>
      </c>
    </row>
    <row r="71" spans="4:11" s="37" customFormat="1">
      <c r="D71" s="119" t="s">
        <v>562</v>
      </c>
      <c r="E71" s="2"/>
      <c r="F71" s="40"/>
      <c r="G71" s="40"/>
      <c r="H71" s="40"/>
      <c r="I71" s="40"/>
      <c r="J71" s="40"/>
      <c r="K71" s="40"/>
    </row>
    <row r="72" spans="4:11" s="37" customFormat="1">
      <c r="D72" s="119"/>
      <c r="E72" s="127" t="s">
        <v>413</v>
      </c>
      <c r="F72" s="130" t="s">
        <v>599</v>
      </c>
      <c r="G72" s="124">
        <f>IF(VLOOKUP(E72,[1]Qüestionari!D:Z,23,0)=4,"",VLOOKUP(E72,[1]Qüestionari!D:Z,23,0))</f>
        <v>1</v>
      </c>
      <c r="H72" s="125" t="s">
        <v>490</v>
      </c>
      <c r="I72" s="125" t="s">
        <v>493</v>
      </c>
      <c r="J72" s="124">
        <f>IF(AND(H72&lt;&gt;"",I72&lt;&gt;""),INT(LEFT(H72,1))+INT(LEFT(I72,1)),"")</f>
        <v>3</v>
      </c>
      <c r="K72" s="125" t="s">
        <v>492</v>
      </c>
    </row>
    <row r="73" spans="4:11" s="37" customFormat="1">
      <c r="D73" s="119"/>
      <c r="E73" s="127" t="s">
        <v>586</v>
      </c>
      <c r="F73" s="130" t="s">
        <v>600</v>
      </c>
      <c r="G73" s="124" t="e">
        <f>IF(VLOOKUP(E73,[1]Qüestionari!D:Z,23,0)=4,"",VLOOKUP(E73,[1]Qüestionari!D:Z,23,0))</f>
        <v>#N/A</v>
      </c>
      <c r="H73" s="125" t="s">
        <v>490</v>
      </c>
      <c r="I73" s="125" t="s">
        <v>493</v>
      </c>
      <c r="J73" s="124">
        <f>IF(AND(H73&lt;&gt;"",I73&lt;&gt;""),INT(LEFT(H73,1))+INT(LEFT(I73,1)),"")</f>
        <v>3</v>
      </c>
      <c r="K73" s="125" t="s">
        <v>492</v>
      </c>
    </row>
    <row r="74" spans="4:11" s="37" customFormat="1">
      <c r="D74" s="119" t="s">
        <v>601</v>
      </c>
      <c r="E74" s="2"/>
      <c r="F74" s="40"/>
      <c r="G74" s="40"/>
      <c r="H74" s="40"/>
      <c r="I74" s="40"/>
      <c r="J74" s="40"/>
      <c r="K74" s="40"/>
    </row>
    <row r="75" spans="4:11">
      <c r="D75" s="119"/>
      <c r="E75" s="127" t="s">
        <v>413</v>
      </c>
      <c r="F75" s="130" t="s">
        <v>602</v>
      </c>
      <c r="G75" s="124">
        <f>IF(VLOOKUP(E75,[1]Qüestionari!D:Z,23,0)=4,"",VLOOKUP(E75,[1]Qüestionari!D:Z,23,0))</f>
        <v>1</v>
      </c>
      <c r="H75" s="125" t="s">
        <v>490</v>
      </c>
      <c r="I75" s="125" t="s">
        <v>493</v>
      </c>
      <c r="J75" s="124">
        <f>IF(AND(H75&lt;&gt;"",I75&lt;&gt;""),INT(LEFT(H75,1))+INT(LEFT(I75,1)),"")</f>
        <v>3</v>
      </c>
      <c r="K75" s="125" t="s">
        <v>492</v>
      </c>
    </row>
    <row r="76" spans="4:11">
      <c r="E76" s="127" t="s">
        <v>586</v>
      </c>
      <c r="F76" s="130" t="s">
        <v>603</v>
      </c>
      <c r="G76" s="124" t="e">
        <f>IF(VLOOKUP(E76,[1]Qüestionari!D:Z,23,0)=4,"",VLOOKUP(E76,[1]Qüestionari!D:Z,23,0))</f>
        <v>#N/A</v>
      </c>
      <c r="H76" s="125" t="s">
        <v>490</v>
      </c>
      <c r="I76" s="125" t="s">
        <v>493</v>
      </c>
      <c r="J76" s="124">
        <f>IF(AND(H76&lt;&gt;"",I76&lt;&gt;""),INT(LEFT(H76,1))+INT(LEFT(I76,1)),"")</f>
        <v>3</v>
      </c>
      <c r="K76" s="125" t="s">
        <v>492</v>
      </c>
    </row>
    <row r="77" spans="4:11">
      <c r="E77" s="127" t="s">
        <v>591</v>
      </c>
      <c r="F77" s="130" t="s">
        <v>604</v>
      </c>
      <c r="G77" s="124" t="e">
        <f>IF(VLOOKUP(E77,[1]Qüestionari!D:Z,23,0)=4,"",VLOOKUP(E77,[1]Qüestionari!D:Z,23,0))</f>
        <v>#N/A</v>
      </c>
      <c r="H77" s="125" t="s">
        <v>490</v>
      </c>
      <c r="I77" s="125" t="s">
        <v>493</v>
      </c>
      <c r="J77" s="124">
        <f>IF(AND(H77&lt;&gt;"",I77&lt;&gt;""),INT(LEFT(H77,1))+INT(LEFT(I77,1)),"")</f>
        <v>3</v>
      </c>
      <c r="K77" s="125" t="s">
        <v>492</v>
      </c>
    </row>
  </sheetData>
  <phoneticPr fontId="5" type="noConversion"/>
  <dataValidations count="3">
    <dataValidation type="list" allowBlank="1" showInputMessage="1" showErrorMessage="1" sqref="K75:K77 K8:K10 K49:K52 K12:K16 K22:K24 K18:K20 K27:K29 K31:K34 K36:K38 K40:K43 K45:K46 K54:K58 K60:K61 K63:K66 K72:K73 K68:K70" xr:uid="{DDD7568B-EE68-49C5-A76C-7F5450AAE6D8}">
      <formula1>Termini</formula1>
    </dataValidation>
    <dataValidation type="list" allowBlank="1" showInputMessage="1" showErrorMessage="1" sqref="I75:I77 I8:I10 I49:I52 I12:I16 I22:I24 I18:I20 I27:I29 I31:I34 I36:I38 I40:I43 I45:I46 I54:I58 I60:I61 I63:I66 I72:I73 I68:I70" xr:uid="{38D6838F-5D7C-4585-9C52-79A45A5C4B31}">
      <formula1>Dificultat</formula1>
    </dataValidation>
    <dataValidation type="list" allowBlank="1" showInputMessage="1" showErrorMessage="1" sqref="H75:H77 H8:H10 H49:H52 H12:H16 H22:H24 H18:H20 H27:H29 H31:H34 H36:H38 H40:H43 H45:H46 H54:H58 H60:H61 H63:H66 H72:H73 H68:H70" xr:uid="{04BA773B-D9CE-48E4-9182-BCA4EA7EA561}">
      <formula1>Impacte</formula1>
    </dataValidation>
  </dataValidations>
  <pageMargins left="0.25" right="0.25" top="0.75" bottom="0.75" header="0.3" footer="0.3"/>
  <pageSetup paperSize="9" scale="50" fitToWidth="0" orientation="landscape"/>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5F8EA-371C-427D-8260-DB9B86301858}">
  <sheetPr>
    <tabColor rgb="FFFFC000"/>
    <pageSetUpPr fitToPage="1"/>
  </sheetPr>
  <dimension ref="A1:AE58"/>
  <sheetViews>
    <sheetView topLeftCell="D15" workbookViewId="0">
      <selection activeCell="W25" sqref="W25"/>
    </sheetView>
  </sheetViews>
  <sheetFormatPr defaultColWidth="11.42578125" defaultRowHeight="15"/>
  <cols>
    <col min="1" max="1" width="5" style="37" customWidth="1"/>
    <col min="2" max="2" width="21.85546875" style="40" customWidth="1"/>
    <col min="3" max="3" width="14.85546875" style="40" customWidth="1"/>
    <col min="4" max="4" width="10.5703125" style="43" customWidth="1"/>
    <col min="5" max="5" width="7.42578125" style="40" bestFit="1" customWidth="1"/>
    <col min="6" max="6" width="11.42578125" style="40" customWidth="1"/>
    <col min="7" max="7" width="7.140625" style="40" customWidth="1"/>
    <col min="8" max="8" width="8" style="40" bestFit="1" customWidth="1"/>
    <col min="9" max="14" width="4.5703125" style="40" bestFit="1" customWidth="1"/>
    <col min="15" max="23" width="5.140625" style="40" bestFit="1" customWidth="1"/>
    <col min="24" max="31" width="5.140625" style="37" bestFit="1" customWidth="1"/>
    <col min="32" max="33" width="5.140625" style="40" bestFit="1" customWidth="1"/>
    <col min="34" max="16384" width="11.42578125" style="40"/>
  </cols>
  <sheetData>
    <row r="1" spans="1:29" s="25" customFormat="1">
      <c r="A1" s="23"/>
      <c r="B1" s="23"/>
      <c r="C1" s="23"/>
      <c r="D1" s="41"/>
    </row>
    <row r="2" spans="1:29" s="25" customFormat="1" ht="41.45" customHeight="1">
      <c r="A2" s="23"/>
      <c r="B2" s="23"/>
      <c r="C2" s="23"/>
      <c r="D2" s="41"/>
    </row>
    <row r="3" spans="1:29" s="25" customFormat="1">
      <c r="A3" s="23"/>
      <c r="B3" s="23"/>
      <c r="C3" s="23"/>
      <c r="D3" s="41"/>
    </row>
    <row r="4" spans="1:29" s="39" customFormat="1" ht="18.75">
      <c r="A4" s="26"/>
      <c r="B4" s="26" t="s">
        <v>0</v>
      </c>
      <c r="C4" s="26"/>
      <c r="D4" s="42"/>
    </row>
    <row r="5" spans="1:29" s="39" customFormat="1" ht="18.75">
      <c r="A5" s="26"/>
      <c r="B5" s="26"/>
      <c r="C5" s="26"/>
      <c r="D5" s="42"/>
    </row>
    <row r="6" spans="1:29" s="25" customFormat="1" ht="27.75">
      <c r="A6" s="23"/>
      <c r="B6" s="28" t="s">
        <v>509</v>
      </c>
      <c r="D6" s="41"/>
    </row>
    <row r="7" spans="1:29" s="25" customFormat="1">
      <c r="A7" s="23"/>
      <c r="B7" s="23"/>
      <c r="C7" s="23"/>
      <c r="D7" s="41"/>
    </row>
    <row r="8" spans="1:29" s="37" customFormat="1">
      <c r="B8" s="44" t="s">
        <v>12</v>
      </c>
      <c r="C8" s="44" t="s">
        <v>510</v>
      </c>
      <c r="D8" s="44" t="s">
        <v>14</v>
      </c>
      <c r="E8" s="44" t="s">
        <v>511</v>
      </c>
      <c r="F8" s="44" t="s">
        <v>17</v>
      </c>
      <c r="G8" s="44" t="s">
        <v>226</v>
      </c>
      <c r="H8" s="44" t="s">
        <v>237</v>
      </c>
      <c r="I8" s="44" t="s">
        <v>249</v>
      </c>
      <c r="J8" s="44" t="s">
        <v>259</v>
      </c>
      <c r="K8" s="44" t="s">
        <v>270</v>
      </c>
      <c r="L8" s="44" t="s">
        <v>281</v>
      </c>
      <c r="M8" s="44" t="s">
        <v>292</v>
      </c>
      <c r="N8" s="44" t="s">
        <v>303</v>
      </c>
      <c r="O8" s="44" t="s">
        <v>315</v>
      </c>
      <c r="P8" s="44" t="s">
        <v>326</v>
      </c>
      <c r="Q8" s="44" t="s">
        <v>337</v>
      </c>
      <c r="R8" s="44" t="s">
        <v>349</v>
      </c>
      <c r="S8" s="44" t="s">
        <v>360</v>
      </c>
      <c r="T8" s="44" t="s">
        <v>371</v>
      </c>
      <c r="U8" s="44" t="s">
        <v>382</v>
      </c>
      <c r="V8" s="44" t="s">
        <v>390</v>
      </c>
      <c r="W8" s="44" t="s">
        <v>401</v>
      </c>
      <c r="X8" s="44" t="s">
        <v>413</v>
      </c>
      <c r="Y8" s="25"/>
      <c r="Z8" s="25"/>
      <c r="AA8" s="25"/>
      <c r="AB8" s="25"/>
      <c r="AC8" s="25"/>
    </row>
    <row r="9" spans="1:29" s="37" customFormat="1">
      <c r="B9" s="61">
        <f>MapaResponsables!C8</f>
        <v>45716</v>
      </c>
      <c r="C9" s="45">
        <f>MapaResponsables!C9</f>
        <v>0</v>
      </c>
      <c r="D9" s="45" t="str">
        <f>MapaResponsables!C10</f>
        <v>Ajuntament</v>
      </c>
      <c r="E9" s="45" t="str">
        <f>MapaResponsables!C11</f>
        <v>Berga</v>
      </c>
      <c r="F9" s="45" t="str">
        <f>MapaResponsables!C12</f>
        <v>&lt;Totes&gt;</v>
      </c>
      <c r="G9" s="62">
        <f>SUMIF(Qüestionari!$D:$D,G8,Qüestionari!$J:$J)</f>
        <v>1</v>
      </c>
      <c r="H9" s="62">
        <f>SUMIF(Qüestionari!$D:$D,H8,Qüestionari!$J:$J)</f>
        <v>1</v>
      </c>
      <c r="I9" s="62">
        <f>SUMIF(Qüestionari!$D:$D,I8,Qüestionari!$J:$J)</f>
        <v>1</v>
      </c>
      <c r="J9" s="62">
        <f>SUMIF(Qüestionari!$D:$D,J8,Qüestionari!$J:$J)</f>
        <v>1</v>
      </c>
      <c r="K9" s="62">
        <f>SUMIF(Qüestionari!$D:$D,K8,Qüestionari!$J:$J)</f>
        <v>1</v>
      </c>
      <c r="L9" s="62">
        <f>SUMIF(Qüestionari!$D:$D,L8,Qüestionari!$J:$J)</f>
        <v>1</v>
      </c>
      <c r="M9" s="62">
        <f>SUMIF(Qüestionari!$D:$D,M8,Qüestionari!$J:$J)</f>
        <v>1</v>
      </c>
      <c r="N9" s="62">
        <f>SUMIF(Qüestionari!$D:$D,N8,Qüestionari!$J:$J)</f>
        <v>1</v>
      </c>
      <c r="O9" s="62">
        <f>SUMIF(Qüestionari!$D:$D,O8,Qüestionari!$J:$J)</f>
        <v>2</v>
      </c>
      <c r="P9" s="62">
        <f>SUMIF(Qüestionari!$D:$D,P8,Qüestionari!$J:$J)</f>
        <v>3</v>
      </c>
      <c r="Q9" s="62">
        <f>SUMIF(Qüestionari!$D:$D,Q8,Qüestionari!$J:$J)</f>
        <v>2</v>
      </c>
      <c r="R9" s="62">
        <f>SUMIF(Qüestionari!$D:$D,R8,Qüestionari!$J:$J)</f>
        <v>1</v>
      </c>
      <c r="S9" s="62">
        <f>SUMIF(Qüestionari!$D:$D,S8,Qüestionari!$J:$J)</f>
        <v>1</v>
      </c>
      <c r="T9" s="62">
        <f>SUMIF(Qüestionari!$D:$D,T8,Qüestionari!$J:$J)</f>
        <v>1</v>
      </c>
      <c r="U9" s="62">
        <f>SUMIF(Qüestionari!$D:$D,U8,Qüestionari!$J:$J)</f>
        <v>1</v>
      </c>
      <c r="V9" s="62">
        <f>SUMIF(Qüestionari!$D:$D,V8,Qüestionari!$J:$J)</f>
        <v>1</v>
      </c>
      <c r="W9" s="62">
        <f>SUMIF(Qüestionari!$D:$D,W8,Qüestionari!$J:$J)</f>
        <v>1</v>
      </c>
      <c r="X9" s="62">
        <f>SUMIF(Qüestionari!$D:$D,X8,Qüestionari!$J:$J)</f>
        <v>1</v>
      </c>
      <c r="Y9" s="25"/>
      <c r="Z9" s="25"/>
      <c r="AA9" s="25"/>
      <c r="AB9" s="25"/>
      <c r="AC9" s="25"/>
    </row>
    <row r="10" spans="1:29" s="37" customFormat="1">
      <c r="D10" s="38"/>
      <c r="Y10" s="25"/>
      <c r="Z10" s="25"/>
      <c r="AA10" s="25"/>
      <c r="AB10" s="25"/>
      <c r="AC10" s="25"/>
    </row>
    <row r="11" spans="1:29" s="37" customFormat="1" ht="20.25">
      <c r="D11" s="38"/>
      <c r="H11" s="115">
        <f>AVERAGE(H12,H18,H25)</f>
        <v>1.1666666666666667</v>
      </c>
      <c r="Y11" s="25"/>
      <c r="Z11" s="25"/>
      <c r="AA11" s="25"/>
      <c r="AB11" s="25"/>
      <c r="AC11" s="25"/>
    </row>
    <row r="12" spans="1:29" s="37" customFormat="1">
      <c r="B12" s="80" t="s">
        <v>199</v>
      </c>
      <c r="D12" s="38"/>
      <c r="H12" s="82">
        <f>AVERAGE(G13:G16)</f>
        <v>1</v>
      </c>
      <c r="Y12" s="25"/>
      <c r="Z12" s="25"/>
      <c r="AA12" s="25"/>
      <c r="AB12" s="25"/>
      <c r="AC12" s="25"/>
    </row>
    <row r="13" spans="1:29" s="37" customFormat="1" ht="24" customHeight="1">
      <c r="B13" s="81"/>
      <c r="C13" s="174" t="str">
        <f>'Pla d''accions  (anàlisi) (2)'!D7</f>
        <v>Cultura i Sensibilització</v>
      </c>
      <c r="D13" s="174"/>
      <c r="E13" s="174"/>
      <c r="F13" s="174"/>
      <c r="G13" s="78">
        <f>AVERAGE(G9:H9)</f>
        <v>1</v>
      </c>
    </row>
    <row r="14" spans="1:29" s="37" customFormat="1">
      <c r="B14" s="81"/>
      <c r="C14" s="174" t="str">
        <f>'Pla d''accions  (anàlisi) (2)'!D11</f>
        <v>Formació i capacitació</v>
      </c>
      <c r="D14" s="174"/>
      <c r="E14" s="174"/>
      <c r="F14" s="174"/>
      <c r="G14" s="78">
        <f>AVERAGE(I9:J9)</f>
        <v>1</v>
      </c>
    </row>
    <row r="15" spans="1:29" s="37" customFormat="1">
      <c r="B15" s="81"/>
      <c r="C15" s="174" t="str">
        <f>'Pla d''accions  (anàlisi) (2)'!D17</f>
        <v>Rols i responsabilitats</v>
      </c>
      <c r="D15" s="174"/>
      <c r="E15" s="174"/>
      <c r="F15" s="174"/>
      <c r="G15" s="78">
        <f>AVERAGE(K9)</f>
        <v>1</v>
      </c>
    </row>
    <row r="16" spans="1:29" s="37" customFormat="1">
      <c r="B16" s="81"/>
      <c r="C16" s="174" t="str">
        <f>'Pla d''accions  (anàlisi) (2)'!D21</f>
        <v>Desenvolupament organitzatiu</v>
      </c>
      <c r="D16" s="174"/>
      <c r="E16" s="174"/>
      <c r="F16" s="174"/>
      <c r="G16" s="79">
        <f>AVERAGE(L9:N9)</f>
        <v>1</v>
      </c>
    </row>
    <row r="17" spans="2:23">
      <c r="B17" s="81"/>
      <c r="C17" s="38"/>
      <c r="D17" s="38"/>
      <c r="E17" s="37"/>
      <c r="F17" s="37"/>
      <c r="G17" s="77"/>
      <c r="H17" s="37"/>
      <c r="I17" s="37"/>
      <c r="J17" s="37"/>
      <c r="K17" s="37"/>
      <c r="L17" s="37"/>
      <c r="M17" s="37"/>
      <c r="N17" s="37"/>
      <c r="O17" s="37"/>
      <c r="P17" s="37"/>
      <c r="Q17" s="37"/>
      <c r="R17" s="37"/>
      <c r="S17" s="37"/>
      <c r="T17" s="37"/>
      <c r="U17" s="37"/>
      <c r="V17" s="37"/>
      <c r="W17" s="37"/>
    </row>
    <row r="18" spans="2:23">
      <c r="B18" s="80" t="s">
        <v>537</v>
      </c>
      <c r="C18" s="38"/>
      <c r="D18" s="38"/>
      <c r="E18" s="37"/>
      <c r="F18" s="37"/>
      <c r="H18" s="82">
        <f>AVERAGE(G19:G23)</f>
        <v>1.5</v>
      </c>
      <c r="I18" s="37"/>
      <c r="J18" s="37"/>
      <c r="K18" s="37"/>
      <c r="L18" s="37"/>
      <c r="M18" s="37"/>
      <c r="N18" s="37"/>
      <c r="O18" s="37"/>
      <c r="P18" s="37"/>
      <c r="Q18" s="37"/>
      <c r="R18" s="37"/>
      <c r="S18" s="37"/>
      <c r="T18" s="37"/>
      <c r="U18" s="37"/>
      <c r="V18" s="37"/>
      <c r="W18" s="37"/>
    </row>
    <row r="19" spans="2:23" s="37" customFormat="1">
      <c r="B19" s="81"/>
      <c r="C19" s="174" t="str">
        <f>'Pla d''accions  (anàlisi) (2)'!D26</f>
        <v>Govern i catalogació</v>
      </c>
      <c r="D19" s="174"/>
      <c r="E19" s="174"/>
      <c r="F19" s="174"/>
      <c r="G19" s="78">
        <f>AVERAGE(O9:P9)</f>
        <v>2.5</v>
      </c>
    </row>
    <row r="20" spans="2:23" s="37" customFormat="1">
      <c r="B20" s="81"/>
      <c r="C20" s="174" t="str">
        <f>'Pla d''accions  (anàlisi) (2)'!D30</f>
        <v>Seguretat i control</v>
      </c>
      <c r="D20" s="174"/>
      <c r="E20" s="174"/>
      <c r="F20" s="174"/>
      <c r="G20" s="78">
        <f>AVERAGE(Q9)</f>
        <v>2</v>
      </c>
    </row>
    <row r="21" spans="2:23" s="37" customFormat="1">
      <c r="B21" s="81"/>
      <c r="C21" s="174" t="str">
        <f>'Pla d''accions  (anàlisi) (2)'!D35</f>
        <v>Integració o arquitectura</v>
      </c>
      <c r="D21" s="174"/>
      <c r="E21" s="174"/>
      <c r="F21" s="174"/>
      <c r="G21" s="78">
        <f>AVERAGE(R9:S9)</f>
        <v>1</v>
      </c>
    </row>
    <row r="22" spans="2:23" s="37" customFormat="1">
      <c r="B22" s="81"/>
      <c r="C22" s="174" t="str">
        <f>'Pla d''accions  (anàlisi) (2)'!D39</f>
        <v>Qualitat i monitorització</v>
      </c>
      <c r="D22" s="174"/>
      <c r="E22" s="174"/>
      <c r="F22" s="174"/>
      <c r="G22" s="78">
        <f>AVERAGE(T9)</f>
        <v>1</v>
      </c>
    </row>
    <row r="23" spans="2:23" s="37" customFormat="1">
      <c r="B23" s="81"/>
      <c r="C23" s="174" t="str">
        <f>'Pla d''accions  (anàlisi) (2)'!D44</f>
        <v>Gestió del cicle de vida de la dada</v>
      </c>
      <c r="D23" s="174"/>
      <c r="E23" s="174"/>
      <c r="F23" s="174"/>
      <c r="G23" s="78">
        <f>AVERAGE(U9)</f>
        <v>1</v>
      </c>
    </row>
    <row r="24" spans="2:23">
      <c r="B24" s="81"/>
      <c r="C24" s="38"/>
      <c r="D24" s="38"/>
      <c r="E24" s="37"/>
      <c r="F24" s="37"/>
      <c r="G24" s="77"/>
      <c r="H24" s="37"/>
      <c r="I24" s="37"/>
      <c r="J24" s="37"/>
      <c r="K24" s="37"/>
      <c r="L24" s="37"/>
      <c r="M24" s="37"/>
      <c r="N24" s="37"/>
      <c r="O24" s="37"/>
      <c r="P24" s="37"/>
      <c r="Q24" s="37"/>
      <c r="R24" s="37"/>
      <c r="S24" s="37"/>
      <c r="T24" s="37"/>
      <c r="U24" s="37"/>
      <c r="V24" s="37"/>
      <c r="W24" s="37"/>
    </row>
    <row r="25" spans="2:23">
      <c r="B25" s="80" t="s">
        <v>565</v>
      </c>
      <c r="C25" s="38"/>
      <c r="D25" s="38"/>
      <c r="E25" s="37"/>
      <c r="F25" s="37"/>
      <c r="H25" s="82">
        <f>AVERAGE(G26:G28)</f>
        <v>1</v>
      </c>
      <c r="I25" s="37"/>
      <c r="J25" s="37"/>
      <c r="K25" s="37"/>
      <c r="L25" s="37"/>
      <c r="M25" s="37"/>
      <c r="N25" s="37"/>
      <c r="O25" s="37"/>
      <c r="P25" s="37"/>
      <c r="Q25" s="37"/>
      <c r="R25" s="37"/>
      <c r="S25" s="37"/>
      <c r="T25" s="37"/>
      <c r="U25" s="37"/>
      <c r="V25" s="37"/>
      <c r="W25" s="37"/>
    </row>
    <row r="26" spans="2:23" ht="24.6" customHeight="1">
      <c r="B26" s="81"/>
      <c r="C26" s="174" t="str">
        <f>'Pla d''accions  (anàlisi) (2)'!D48</f>
        <v>Govern i normativa</v>
      </c>
      <c r="D26" s="174"/>
      <c r="E26" s="174"/>
      <c r="F26" s="174"/>
      <c r="G26" s="78">
        <f>AVERAGE(V9)</f>
        <v>1</v>
      </c>
      <c r="H26" s="37"/>
      <c r="I26" s="37"/>
      <c r="J26" s="37"/>
      <c r="K26" s="37"/>
      <c r="L26" s="37"/>
      <c r="M26" s="37"/>
      <c r="N26" s="37"/>
      <c r="O26" s="37"/>
      <c r="P26" s="37"/>
      <c r="Q26" s="37"/>
      <c r="R26" s="37"/>
      <c r="S26" s="37"/>
      <c r="T26" s="37"/>
      <c r="U26" s="37"/>
      <c r="V26" s="37"/>
      <c r="W26" s="37"/>
    </row>
    <row r="27" spans="2:23">
      <c r="B27" s="81"/>
      <c r="C27" s="174" t="str">
        <f>'Pla d''accions  (anàlisi) (2)'!D53</f>
        <v>Estrategia i planificació</v>
      </c>
      <c r="D27" s="174"/>
      <c r="E27" s="174"/>
      <c r="F27" s="174"/>
      <c r="G27" s="78">
        <f>AVERAGE(W9)</f>
        <v>1</v>
      </c>
      <c r="H27" s="37"/>
      <c r="I27" s="37"/>
      <c r="J27" s="37"/>
      <c r="K27" s="37"/>
      <c r="L27" s="37"/>
      <c r="M27" s="37"/>
      <c r="N27" s="37"/>
      <c r="O27" s="37"/>
      <c r="P27" s="37"/>
      <c r="Q27" s="37"/>
      <c r="R27" s="37"/>
      <c r="S27" s="37"/>
      <c r="T27" s="37"/>
      <c r="U27" s="37"/>
      <c r="V27" s="37"/>
      <c r="W27" s="37"/>
    </row>
    <row r="28" spans="2:23">
      <c r="B28" s="81"/>
      <c r="C28" s="174" t="str">
        <f>'Pla d''accions  (anàlisi) (2)'!D59</f>
        <v>Estructura de govern</v>
      </c>
      <c r="D28" s="174"/>
      <c r="E28" s="174"/>
      <c r="F28" s="174"/>
      <c r="G28" s="78">
        <f>AVERAGE(X9)</f>
        <v>1</v>
      </c>
      <c r="H28" s="37"/>
      <c r="I28" s="37"/>
      <c r="J28" s="37"/>
      <c r="K28" s="37"/>
      <c r="L28" s="37"/>
      <c r="M28" s="37"/>
      <c r="N28" s="37"/>
      <c r="O28" s="37"/>
      <c r="P28" s="37"/>
      <c r="Q28" s="37"/>
      <c r="R28" s="37"/>
      <c r="S28" s="37"/>
      <c r="T28" s="37"/>
      <c r="U28" s="37"/>
      <c r="V28" s="37"/>
      <c r="W28" s="37"/>
    </row>
    <row r="29" spans="2:23">
      <c r="B29" s="81"/>
      <c r="C29" s="174" t="str">
        <f>'Pla d''accions  (anàlisi) (2)'!D62</f>
        <v>Processos operatius de dades</v>
      </c>
      <c r="D29" s="174"/>
      <c r="E29" s="174"/>
      <c r="F29" s="174"/>
      <c r="G29" s="78" t="e">
        <f t="shared" ref="G29:G31" si="0">AVERAGE(X10)</f>
        <v>#DIV/0!</v>
      </c>
      <c r="H29" s="37"/>
      <c r="I29" s="37"/>
      <c r="J29" s="37"/>
      <c r="K29" s="37"/>
      <c r="L29" s="37"/>
      <c r="M29" s="37"/>
      <c r="N29" s="37"/>
      <c r="O29" s="37"/>
      <c r="P29" s="37"/>
      <c r="Q29" s="37"/>
      <c r="R29" s="37"/>
      <c r="S29" s="37"/>
      <c r="T29" s="37"/>
      <c r="U29" s="37"/>
      <c r="V29" s="37"/>
      <c r="W29" s="37"/>
    </row>
    <row r="30" spans="2:23">
      <c r="B30" s="81"/>
      <c r="C30" s="174" t="str">
        <f>'Pla d''accions  (anàlisi) (2)'!D67</f>
        <v>Control i millora continua</v>
      </c>
      <c r="D30" s="174"/>
      <c r="E30" s="174"/>
      <c r="F30" s="174"/>
      <c r="G30" s="78" t="e">
        <f t="shared" si="0"/>
        <v>#DIV/0!</v>
      </c>
      <c r="H30" s="37"/>
      <c r="I30" s="37"/>
      <c r="J30" s="37"/>
      <c r="K30" s="37"/>
      <c r="L30" s="37"/>
      <c r="M30" s="37"/>
      <c r="N30" s="37"/>
      <c r="O30" s="37"/>
      <c r="P30" s="37"/>
      <c r="Q30" s="37"/>
      <c r="R30" s="37"/>
      <c r="S30" s="37"/>
      <c r="T30" s="37"/>
      <c r="U30" s="37"/>
      <c r="V30" s="37"/>
      <c r="W30" s="37"/>
    </row>
    <row r="31" spans="2:23">
      <c r="B31" s="81"/>
      <c r="C31" s="174" t="str">
        <f>'Pla d''accions  (anàlisi) (2)'!D71</f>
        <v>Gestió del cicle de vida de la dada</v>
      </c>
      <c r="D31" s="174"/>
      <c r="E31" s="174"/>
      <c r="F31" s="174"/>
      <c r="G31" s="78" t="e">
        <f t="shared" si="0"/>
        <v>#DIV/0!</v>
      </c>
      <c r="H31" s="37"/>
      <c r="I31" s="37"/>
      <c r="J31" s="37"/>
      <c r="K31" s="37"/>
      <c r="L31" s="37"/>
      <c r="M31" s="37"/>
      <c r="N31" s="37"/>
      <c r="O31" s="37"/>
      <c r="P31" s="37"/>
      <c r="Q31" s="37"/>
      <c r="R31" s="37"/>
      <c r="S31" s="37"/>
      <c r="T31" s="37"/>
      <c r="U31" s="37"/>
      <c r="V31" s="37"/>
      <c r="W31" s="37"/>
    </row>
    <row r="32" spans="2:23">
      <c r="B32" s="81"/>
      <c r="C32" s="174" t="str">
        <f>'Pla d''accions  (anàlisi) (2)'!D74</f>
        <v>Gestió de la qualitat de dades</v>
      </c>
      <c r="D32" s="174"/>
      <c r="E32" s="174"/>
      <c r="F32" s="174"/>
      <c r="G32" s="78" t="e">
        <f t="shared" ref="G32" si="1">AVERAGE(X13)</f>
        <v>#DIV/0!</v>
      </c>
      <c r="H32" s="37"/>
      <c r="I32" s="37"/>
      <c r="J32" s="37"/>
      <c r="K32" s="37"/>
      <c r="L32" s="37"/>
      <c r="M32" s="37"/>
      <c r="N32" s="37"/>
      <c r="O32" s="37"/>
      <c r="P32" s="37"/>
      <c r="Q32" s="37"/>
      <c r="R32" s="37"/>
      <c r="S32" s="37"/>
      <c r="T32" s="37"/>
      <c r="U32" s="37"/>
      <c r="V32" s="37"/>
      <c r="W32" s="37"/>
    </row>
    <row r="33" spans="2:23">
      <c r="B33" s="81"/>
      <c r="C33" s="38"/>
      <c r="D33" s="38"/>
      <c r="E33" s="37"/>
      <c r="F33" s="37"/>
      <c r="G33" s="37"/>
      <c r="H33" s="37"/>
      <c r="I33" s="37"/>
      <c r="J33" s="37"/>
      <c r="K33" s="37"/>
      <c r="L33" s="37"/>
      <c r="M33" s="37"/>
      <c r="N33" s="37"/>
      <c r="O33" s="37"/>
      <c r="P33" s="37"/>
      <c r="Q33" s="37"/>
      <c r="R33" s="37"/>
      <c r="S33" s="37"/>
      <c r="T33" s="37"/>
      <c r="U33" s="37"/>
      <c r="V33" s="37"/>
      <c r="W33" s="37"/>
    </row>
    <row r="34" spans="2:23">
      <c r="B34" s="81"/>
      <c r="C34" s="38"/>
      <c r="D34" s="38"/>
      <c r="E34" s="37"/>
      <c r="F34" s="37"/>
      <c r="G34" s="37"/>
      <c r="H34" s="37"/>
      <c r="I34" s="37"/>
      <c r="J34" s="37"/>
      <c r="K34" s="37"/>
      <c r="L34" s="37"/>
      <c r="M34" s="37"/>
      <c r="N34" s="37"/>
      <c r="O34" s="37"/>
      <c r="P34" s="37"/>
      <c r="Q34" s="37"/>
      <c r="R34" s="37"/>
      <c r="S34" s="37"/>
      <c r="T34" s="37"/>
      <c r="U34" s="37"/>
      <c r="V34" s="37"/>
      <c r="W34" s="37"/>
    </row>
    <row r="35" spans="2:23">
      <c r="B35" s="81" t="str">
        <f>B12</f>
        <v>Persones</v>
      </c>
      <c r="C35" s="79">
        <f>H12</f>
        <v>1</v>
      </c>
      <c r="D35" s="38"/>
      <c r="E35" s="37"/>
      <c r="F35" s="37"/>
      <c r="H35" s="37"/>
      <c r="I35" s="37"/>
      <c r="J35" s="37"/>
      <c r="K35" s="37"/>
      <c r="L35" s="37"/>
      <c r="M35" s="37"/>
      <c r="N35" s="37"/>
      <c r="O35" s="37"/>
      <c r="P35" s="37"/>
      <c r="Q35" s="37"/>
      <c r="R35" s="37"/>
      <c r="S35" s="37"/>
      <c r="T35" s="37"/>
      <c r="U35" s="37"/>
      <c r="V35" s="37"/>
      <c r="W35" s="37"/>
    </row>
    <row r="36" spans="2:23">
      <c r="B36" s="81" t="str">
        <f>B18</f>
        <v>Tecnologia</v>
      </c>
      <c r="C36" s="79">
        <f>H18</f>
        <v>1.5</v>
      </c>
      <c r="D36" s="38"/>
      <c r="E36" s="37"/>
      <c r="F36" s="37"/>
      <c r="H36" s="37"/>
      <c r="I36" s="37"/>
      <c r="J36" s="37"/>
      <c r="K36" s="37"/>
      <c r="L36" s="37"/>
      <c r="M36" s="37"/>
      <c r="N36" s="37"/>
      <c r="O36" s="37"/>
      <c r="P36" s="37"/>
      <c r="Q36" s="37"/>
      <c r="R36" s="37"/>
      <c r="S36" s="37"/>
      <c r="T36" s="37"/>
      <c r="U36" s="37"/>
      <c r="V36" s="37"/>
      <c r="W36" s="37"/>
    </row>
    <row r="37" spans="2:23">
      <c r="B37" s="40" t="str">
        <f>B25</f>
        <v>Organització/Processos</v>
      </c>
      <c r="C37" s="79">
        <f>H25</f>
        <v>1</v>
      </c>
      <c r="D37" s="38"/>
      <c r="E37" s="37"/>
      <c r="F37" s="37"/>
      <c r="H37" s="37"/>
    </row>
    <row r="38" spans="2:23">
      <c r="D38" s="38"/>
      <c r="E38" s="37"/>
      <c r="F38" s="37"/>
      <c r="H38" s="37"/>
    </row>
    <row r="39" spans="2:23">
      <c r="H39" s="37"/>
    </row>
    <row r="40" spans="2:23">
      <c r="H40" s="37"/>
    </row>
    <row r="41" spans="2:23">
      <c r="H41" s="37"/>
    </row>
    <row r="42" spans="2:23">
      <c r="H42" s="37"/>
    </row>
    <row r="43" spans="2:23">
      <c r="H43" s="37"/>
    </row>
    <row r="44" spans="2:23">
      <c r="H44" s="37"/>
    </row>
    <row r="45" spans="2:23">
      <c r="H45" s="37"/>
    </row>
    <row r="46" spans="2:23">
      <c r="H46" s="37"/>
    </row>
    <row r="47" spans="2:23">
      <c r="H47" s="37"/>
    </row>
    <row r="48" spans="2:23">
      <c r="H48" s="37"/>
    </row>
    <row r="49" spans="8:8">
      <c r="H49" s="37"/>
    </row>
    <row r="50" spans="8:8">
      <c r="H50" s="37"/>
    </row>
    <row r="51" spans="8:8">
      <c r="H51" s="37"/>
    </row>
    <row r="52" spans="8:8">
      <c r="H52" s="37"/>
    </row>
    <row r="53" spans="8:8">
      <c r="H53" s="37"/>
    </row>
    <row r="54" spans="8:8">
      <c r="H54" s="37"/>
    </row>
    <row r="55" spans="8:8">
      <c r="H55" s="37"/>
    </row>
    <row r="56" spans="8:8">
      <c r="H56" s="37"/>
    </row>
    <row r="57" spans="8:8">
      <c r="H57" s="37"/>
    </row>
    <row r="58" spans="8:8">
      <c r="H58" s="37"/>
    </row>
  </sheetData>
  <mergeCells count="16">
    <mergeCell ref="C29:F29"/>
    <mergeCell ref="C30:F30"/>
    <mergeCell ref="C31:F31"/>
    <mergeCell ref="C32:F32"/>
    <mergeCell ref="C28:F28"/>
    <mergeCell ref="C13:F13"/>
    <mergeCell ref="C14:F14"/>
    <mergeCell ref="C15:F15"/>
    <mergeCell ref="C16:F16"/>
    <mergeCell ref="C19:F19"/>
    <mergeCell ref="C27:F27"/>
    <mergeCell ref="C20:F20"/>
    <mergeCell ref="C21:F21"/>
    <mergeCell ref="C22:F22"/>
    <mergeCell ref="C23:F23"/>
    <mergeCell ref="C26:F26"/>
  </mergeCells>
  <pageMargins left="0.7" right="0.7" top="0.75" bottom="0.75" header="0.3" footer="0.3"/>
  <pageSetup paperSize="9" scale="5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683B0-AB68-425B-8B97-8964D62E7090}">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6601-479C-4BBF-B762-E1D7E6C4A1C0}">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03310-D19D-41DA-987C-68398BB61A1C}">
  <sheetPr>
    <tabColor rgb="FF00B0F0"/>
    <pageSetUpPr fitToPage="1"/>
  </sheetPr>
  <dimension ref="A1:D55"/>
  <sheetViews>
    <sheetView workbookViewId="0">
      <pane ySplit="5" topLeftCell="A6" activePane="bottomLeft" state="frozen"/>
      <selection pane="bottomLeft" activeCell="A109" sqref="A109"/>
      <selection activeCell="O9" sqref="O9"/>
    </sheetView>
  </sheetViews>
  <sheetFormatPr defaultColWidth="11.42578125" defaultRowHeight="15"/>
  <cols>
    <col min="1" max="1" width="2.5703125" style="2" customWidth="1"/>
    <col min="2" max="2" width="21.42578125" customWidth="1"/>
    <col min="3" max="3" width="75.42578125" style="40" customWidth="1"/>
    <col min="4" max="4" width="29" customWidth="1"/>
  </cols>
  <sheetData>
    <row r="1" spans="1:4" s="24" customFormat="1">
      <c r="A1" s="23"/>
      <c r="B1" s="23"/>
      <c r="C1" s="23"/>
    </row>
    <row r="2" spans="1:4" s="24" customFormat="1" ht="41.45" customHeight="1">
      <c r="A2" s="23"/>
      <c r="B2" s="23"/>
      <c r="C2" s="23"/>
    </row>
    <row r="3" spans="1:4" s="24" customFormat="1">
      <c r="A3" s="23"/>
      <c r="B3" s="23"/>
      <c r="C3" s="23"/>
    </row>
    <row r="4" spans="1:4" s="27" customFormat="1" ht="18.75">
      <c r="A4" s="26"/>
      <c r="B4" s="26" t="s">
        <v>0</v>
      </c>
      <c r="C4" s="26"/>
    </row>
    <row r="5" spans="1:4" s="24" customFormat="1" ht="27.75">
      <c r="A5" s="23"/>
      <c r="B5" s="28" t="s">
        <v>605</v>
      </c>
      <c r="C5" s="23"/>
    </row>
    <row r="6" spans="1:4" s="2" customFormat="1">
      <c r="C6" s="37"/>
    </row>
    <row r="7" spans="1:4" s="2" customFormat="1" ht="18">
      <c r="C7" s="63" t="s">
        <v>606</v>
      </c>
    </row>
    <row r="8" spans="1:4" s="2" customFormat="1">
      <c r="C8" s="37"/>
    </row>
    <row r="9" spans="1:4" s="29" customFormat="1" ht="15.75">
      <c r="A9" s="30"/>
      <c r="B9" s="84" t="s">
        <v>607</v>
      </c>
      <c r="C9" s="84" t="s">
        <v>115</v>
      </c>
      <c r="D9" s="84" t="s">
        <v>608</v>
      </c>
    </row>
    <row r="10" spans="1:4">
      <c r="B10" s="85" t="s">
        <v>12</v>
      </c>
      <c r="C10" s="86" t="s">
        <v>609</v>
      </c>
      <c r="D10" s="83" t="s">
        <v>610</v>
      </c>
    </row>
    <row r="11" spans="1:4" s="2" customFormat="1">
      <c r="B11" s="85" t="s">
        <v>510</v>
      </c>
      <c r="C11" s="87" t="s">
        <v>611</v>
      </c>
      <c r="D11" s="83" t="s">
        <v>610</v>
      </c>
    </row>
    <row r="12" spans="1:4" s="2" customFormat="1">
      <c r="B12" s="85" t="s">
        <v>14</v>
      </c>
      <c r="C12" s="89" t="s">
        <v>612</v>
      </c>
      <c r="D12" s="83" t="s">
        <v>610</v>
      </c>
    </row>
    <row r="13" spans="1:4" s="2" customFormat="1" ht="30">
      <c r="B13" s="85" t="s">
        <v>511</v>
      </c>
      <c r="C13" s="90" t="s">
        <v>613</v>
      </c>
      <c r="D13" s="83" t="s">
        <v>610</v>
      </c>
    </row>
    <row r="14" spans="1:4" s="2" customFormat="1" ht="30">
      <c r="B14" s="85" t="s">
        <v>17</v>
      </c>
      <c r="C14" s="89" t="s">
        <v>614</v>
      </c>
      <c r="D14" s="83" t="s">
        <v>610</v>
      </c>
    </row>
    <row r="15" spans="1:4" s="2" customFormat="1"/>
    <row r="16" spans="1:4" s="2" customFormat="1">
      <c r="B16" s="85" t="s">
        <v>20</v>
      </c>
      <c r="C16" s="89" t="s">
        <v>615</v>
      </c>
      <c r="D16" s="83" t="s">
        <v>610</v>
      </c>
    </row>
    <row r="17" spans="1:4" s="2" customFormat="1">
      <c r="B17" s="85" t="s">
        <v>78</v>
      </c>
      <c r="C17" s="89" t="s">
        <v>616</v>
      </c>
      <c r="D17" s="83" t="s">
        <v>610</v>
      </c>
    </row>
    <row r="18" spans="1:4" s="2" customFormat="1">
      <c r="B18" s="85" t="s">
        <v>85</v>
      </c>
      <c r="C18" s="89" t="s">
        <v>617</v>
      </c>
      <c r="D18" s="83" t="s">
        <v>610</v>
      </c>
    </row>
    <row r="19" spans="1:4" s="2" customFormat="1">
      <c r="B19" s="85" t="s">
        <v>104</v>
      </c>
      <c r="C19" s="89" t="s">
        <v>618</v>
      </c>
      <c r="D19" s="83" t="s">
        <v>610</v>
      </c>
    </row>
    <row r="20" spans="1:4" s="2" customFormat="1" ht="30">
      <c r="B20" s="85" t="s">
        <v>108</v>
      </c>
      <c r="C20" s="89" t="s">
        <v>619</v>
      </c>
      <c r="D20" s="83" t="s">
        <v>610</v>
      </c>
    </row>
    <row r="21" spans="1:4" s="2" customFormat="1"/>
    <row r="22" spans="1:4" s="2" customFormat="1">
      <c r="B22" s="85" t="s">
        <v>21</v>
      </c>
      <c r="C22" s="89" t="s">
        <v>620</v>
      </c>
      <c r="D22" s="83" t="s">
        <v>610</v>
      </c>
    </row>
    <row r="23" spans="1:4" s="2" customFormat="1">
      <c r="B23" s="85" t="s">
        <v>22</v>
      </c>
      <c r="C23" s="89" t="s">
        <v>621</v>
      </c>
      <c r="D23" s="83" t="s">
        <v>610</v>
      </c>
    </row>
    <row r="24" spans="1:4" s="2" customFormat="1">
      <c r="B24" s="85" t="s">
        <v>23</v>
      </c>
      <c r="C24" s="89" t="s">
        <v>622</v>
      </c>
      <c r="D24" s="83" t="s">
        <v>610</v>
      </c>
    </row>
    <row r="25" spans="1:4" s="2" customFormat="1">
      <c r="B25" s="85" t="s">
        <v>24</v>
      </c>
      <c r="C25" s="89" t="s">
        <v>623</v>
      </c>
      <c r="D25" s="83" t="s">
        <v>610</v>
      </c>
    </row>
    <row r="26" spans="1:4" s="2" customFormat="1">
      <c r="C26" s="37"/>
    </row>
    <row r="27" spans="1:4" s="2" customFormat="1" ht="18">
      <c r="C27" s="63" t="s">
        <v>624</v>
      </c>
    </row>
    <row r="28" spans="1:4" s="2" customFormat="1">
      <c r="C28" s="37"/>
    </row>
    <row r="29" spans="1:4" s="29" customFormat="1" ht="15.75">
      <c r="A29" s="30"/>
      <c r="B29" s="84" t="s">
        <v>607</v>
      </c>
      <c r="C29" s="84" t="s">
        <v>115</v>
      </c>
      <c r="D29" s="84" t="s">
        <v>608</v>
      </c>
    </row>
    <row r="30" spans="1:4">
      <c r="B30" s="85" t="s">
        <v>112</v>
      </c>
      <c r="C30" s="86" t="s">
        <v>625</v>
      </c>
      <c r="D30" s="83" t="s">
        <v>610</v>
      </c>
    </row>
    <row r="31" spans="1:4" s="2" customFormat="1">
      <c r="B31" s="85" t="s">
        <v>113</v>
      </c>
      <c r="C31" s="87" t="s">
        <v>626</v>
      </c>
      <c r="D31" s="88" t="s">
        <v>627</v>
      </c>
    </row>
    <row r="32" spans="1:4" s="2" customFormat="1">
      <c r="B32" s="85" t="s">
        <v>114</v>
      </c>
      <c r="C32" s="89" t="s">
        <v>628</v>
      </c>
      <c r="D32" s="83" t="s">
        <v>610</v>
      </c>
    </row>
    <row r="33" spans="1:4" s="2" customFormat="1">
      <c r="B33" s="85" t="s">
        <v>115</v>
      </c>
      <c r="C33" s="90" t="s">
        <v>629</v>
      </c>
      <c r="D33" s="83" t="s">
        <v>610</v>
      </c>
    </row>
    <row r="34" spans="1:4" s="2" customFormat="1" ht="105">
      <c r="B34" s="85" t="s">
        <v>194</v>
      </c>
      <c r="C34" s="89" t="s">
        <v>630</v>
      </c>
      <c r="D34" s="83" t="s">
        <v>610</v>
      </c>
    </row>
    <row r="35" spans="1:4" s="2" customFormat="1">
      <c r="B35" s="85" t="s">
        <v>117</v>
      </c>
      <c r="C35" s="91" t="s">
        <v>631</v>
      </c>
      <c r="D35" s="88" t="s">
        <v>627</v>
      </c>
    </row>
    <row r="36" spans="1:4" s="2" customFormat="1" ht="30">
      <c r="B36" s="85" t="s">
        <v>118</v>
      </c>
      <c r="C36" s="92" t="s">
        <v>632</v>
      </c>
      <c r="D36" s="83" t="s">
        <v>610</v>
      </c>
    </row>
    <row r="37" spans="1:4" s="2" customFormat="1" ht="45">
      <c r="B37" s="85" t="s">
        <v>119</v>
      </c>
      <c r="C37" s="92" t="s">
        <v>119</v>
      </c>
      <c r="D37" s="83" t="s">
        <v>610</v>
      </c>
    </row>
    <row r="38" spans="1:4" s="2" customFormat="1" ht="60">
      <c r="B38" s="85" t="s">
        <v>120</v>
      </c>
      <c r="C38" s="92" t="s">
        <v>120</v>
      </c>
      <c r="D38" s="83" t="s">
        <v>610</v>
      </c>
    </row>
    <row r="39" spans="1:4" s="2" customFormat="1">
      <c r="B39" s="85" t="s">
        <v>121</v>
      </c>
      <c r="C39" s="92" t="s">
        <v>633</v>
      </c>
      <c r="D39" s="83" t="s">
        <v>610</v>
      </c>
    </row>
    <row r="40" spans="1:4" s="2" customFormat="1" ht="30">
      <c r="B40" s="85" t="s">
        <v>122</v>
      </c>
      <c r="C40" s="92" t="s">
        <v>122</v>
      </c>
      <c r="D40" s="83" t="s">
        <v>610</v>
      </c>
    </row>
    <row r="41" spans="1:4" s="2" customFormat="1" ht="45">
      <c r="B41" s="85" t="s">
        <v>123</v>
      </c>
      <c r="C41" s="92" t="s">
        <v>123</v>
      </c>
      <c r="D41" s="83" t="s">
        <v>610</v>
      </c>
    </row>
    <row r="42" spans="1:4" s="2" customFormat="1">
      <c r="C42" s="37"/>
    </row>
    <row r="43" spans="1:4" s="2" customFormat="1">
      <c r="C43" s="37"/>
    </row>
    <row r="44" spans="1:4" s="24" customFormat="1" ht="18">
      <c r="A44" s="23"/>
      <c r="B44" s="23"/>
      <c r="C44" s="63" t="s">
        <v>634</v>
      </c>
    </row>
    <row r="45" spans="1:4" s="24" customFormat="1" ht="14.45" customHeight="1">
      <c r="C45" s="25"/>
    </row>
    <row r="46" spans="1:4" s="29" customFormat="1" ht="15.75">
      <c r="A46" s="30"/>
      <c r="B46" s="84" t="s">
        <v>607</v>
      </c>
      <c r="C46" s="84" t="s">
        <v>115</v>
      </c>
      <c r="D46" s="84" t="s">
        <v>635</v>
      </c>
    </row>
    <row r="47" spans="1:4">
      <c r="B47" s="85" t="s">
        <v>636</v>
      </c>
      <c r="C47" s="86" t="s">
        <v>637</v>
      </c>
      <c r="D47" s="93" t="s">
        <v>638</v>
      </c>
    </row>
    <row r="48" spans="1:4">
      <c r="B48" s="85" t="s">
        <v>216</v>
      </c>
      <c r="C48" s="86" t="s">
        <v>639</v>
      </c>
      <c r="D48" s="93" t="s">
        <v>638</v>
      </c>
    </row>
    <row r="49" spans="2:4" ht="30">
      <c r="B49" s="85" t="s">
        <v>217</v>
      </c>
      <c r="C49" s="86" t="s">
        <v>640</v>
      </c>
      <c r="D49" s="94" t="s">
        <v>610</v>
      </c>
    </row>
    <row r="50" spans="2:4" ht="30">
      <c r="B50" s="85" t="s">
        <v>24</v>
      </c>
      <c r="C50" s="86" t="s">
        <v>641</v>
      </c>
      <c r="D50" s="95" t="s">
        <v>627</v>
      </c>
    </row>
    <row r="51" spans="2:4" ht="30">
      <c r="B51" s="85" t="s">
        <v>218</v>
      </c>
      <c r="C51" s="86" t="s">
        <v>642</v>
      </c>
      <c r="D51" s="95" t="s">
        <v>627</v>
      </c>
    </row>
    <row r="52" spans="2:4" s="2" customFormat="1">
      <c r="C52" s="37"/>
    </row>
    <row r="53" spans="2:4" s="2" customFormat="1">
      <c r="C53" s="37"/>
    </row>
    <row r="54" spans="2:4" s="2" customFormat="1">
      <c r="C54" s="37"/>
    </row>
    <row r="55" spans="2:4" s="2" customFormat="1">
      <c r="C55" s="37"/>
    </row>
  </sheetData>
  <pageMargins left="0.7" right="0.7" top="0.75" bottom="0.75" header="0.3" footer="0.3"/>
  <pageSetup paperSize="9" fitToWidth="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58C6F-3671-453F-9B6B-CD95A6EE291E}">
  <sheetPr>
    <tabColor rgb="FF00B0F0"/>
  </sheetPr>
  <dimension ref="A2:P313"/>
  <sheetViews>
    <sheetView topLeftCell="F1" zoomScaleNormal="100" workbookViewId="0">
      <pane ySplit="2" topLeftCell="P6" activePane="bottomLeft" state="frozen"/>
      <selection pane="bottomLeft" activeCell="P6" sqref="P6"/>
      <selection activeCell="O9" sqref="O9"/>
    </sheetView>
  </sheetViews>
  <sheetFormatPr defaultColWidth="10.85546875" defaultRowHeight="15"/>
  <cols>
    <col min="1" max="1" width="12.5703125" style="2" customWidth="1"/>
    <col min="2" max="2" width="0.42578125" style="34" customWidth="1"/>
    <col min="3" max="3" width="82.5703125" style="2" bestFit="1" customWidth="1"/>
    <col min="4" max="4" width="0.42578125" style="34" customWidth="1"/>
    <col min="5" max="5" width="30" style="2" customWidth="1"/>
    <col min="6" max="6" width="0.42578125" style="34" customWidth="1"/>
    <col min="7" max="7" width="43.5703125" style="2" bestFit="1" customWidth="1"/>
    <col min="8" max="8" width="0.42578125" style="34" customWidth="1"/>
    <col min="9" max="9" width="30.85546875" style="2" bestFit="1" customWidth="1"/>
    <col min="10" max="10" width="0.42578125" style="34" customWidth="1"/>
    <col min="11" max="11" width="9.85546875" style="2" customWidth="1"/>
    <col min="12" max="12" width="0.42578125" style="34" customWidth="1"/>
    <col min="13" max="13" width="10.85546875" style="2" bestFit="1" customWidth="1"/>
    <col min="14" max="14" width="0.42578125" style="34" customWidth="1"/>
    <col min="15" max="15" width="25.140625" style="2" bestFit="1" customWidth="1"/>
    <col min="16" max="16384" width="10.85546875" style="2"/>
  </cols>
  <sheetData>
    <row r="2" spans="1:16" s="31" customFormat="1" ht="18.75">
      <c r="A2" s="31" t="s">
        <v>194</v>
      </c>
      <c r="B2" s="33"/>
      <c r="C2" s="31" t="s">
        <v>643</v>
      </c>
      <c r="D2" s="33"/>
      <c r="E2" s="31" t="s">
        <v>15</v>
      </c>
      <c r="F2" s="33"/>
      <c r="G2" s="31" t="s">
        <v>17</v>
      </c>
      <c r="H2" s="33"/>
      <c r="I2" s="35" t="s">
        <v>644</v>
      </c>
      <c r="J2" s="33"/>
      <c r="K2" s="35" t="s">
        <v>483</v>
      </c>
      <c r="L2" s="33"/>
      <c r="M2" s="35" t="s">
        <v>484</v>
      </c>
      <c r="N2" s="33"/>
      <c r="O2" s="35" t="s">
        <v>645</v>
      </c>
      <c r="P2" s="31" t="s">
        <v>116</v>
      </c>
    </row>
    <row r="3" spans="1:16">
      <c r="A3" s="2" t="s">
        <v>643</v>
      </c>
      <c r="C3" s="32" t="s">
        <v>646</v>
      </c>
      <c r="E3" s="2" t="s">
        <v>647</v>
      </c>
      <c r="G3" s="2" t="s">
        <v>18</v>
      </c>
      <c r="I3" s="46" t="s">
        <v>27</v>
      </c>
      <c r="K3" s="46" t="s">
        <v>487</v>
      </c>
      <c r="M3" s="46" t="s">
        <v>493</v>
      </c>
      <c r="O3" s="46" t="s">
        <v>492</v>
      </c>
      <c r="P3" s="2" t="s">
        <v>648</v>
      </c>
    </row>
    <row r="4" spans="1:16">
      <c r="A4" s="2" t="s">
        <v>15</v>
      </c>
      <c r="C4" s="32" t="s">
        <v>649</v>
      </c>
      <c r="E4" s="2" t="s">
        <v>650</v>
      </c>
      <c r="G4" s="2" t="s">
        <v>651</v>
      </c>
      <c r="I4" s="46" t="s">
        <v>26</v>
      </c>
      <c r="K4" s="46" t="s">
        <v>490</v>
      </c>
      <c r="M4" s="46" t="s">
        <v>491</v>
      </c>
      <c r="O4" s="46" t="s">
        <v>489</v>
      </c>
      <c r="P4" s="2" t="s">
        <v>652</v>
      </c>
    </row>
    <row r="5" spans="1:16">
      <c r="A5" s="2" t="s">
        <v>17</v>
      </c>
      <c r="C5" s="32" t="s">
        <v>653</v>
      </c>
      <c r="E5" s="2" t="s">
        <v>654</v>
      </c>
      <c r="G5" s="2" t="s">
        <v>655</v>
      </c>
      <c r="I5" s="46" t="s">
        <v>656</v>
      </c>
      <c r="K5" s="46" t="s">
        <v>657</v>
      </c>
      <c r="M5" s="46" t="s">
        <v>488</v>
      </c>
      <c r="O5" s="46" t="s">
        <v>658</v>
      </c>
      <c r="P5" s="2" t="s">
        <v>659</v>
      </c>
    </row>
    <row r="6" spans="1:16">
      <c r="C6" s="32" t="s">
        <v>660</v>
      </c>
      <c r="E6" s="2" t="s">
        <v>661</v>
      </c>
      <c r="G6" s="2" t="s">
        <v>662</v>
      </c>
      <c r="O6" s="2" t="s">
        <v>638</v>
      </c>
    </row>
    <row r="7" spans="1:16">
      <c r="C7" s="32" t="s">
        <v>663</v>
      </c>
      <c r="E7" s="2" t="s">
        <v>664</v>
      </c>
      <c r="G7" s="2" t="s">
        <v>665</v>
      </c>
    </row>
    <row r="8" spans="1:16">
      <c r="C8" s="32" t="s">
        <v>666</v>
      </c>
      <c r="E8" s="2" t="s">
        <v>667</v>
      </c>
      <c r="G8" s="2" t="s">
        <v>668</v>
      </c>
    </row>
    <row r="9" spans="1:16">
      <c r="C9" s="32" t="s">
        <v>669</v>
      </c>
      <c r="E9" s="2" t="s">
        <v>670</v>
      </c>
      <c r="G9" s="2" t="s">
        <v>671</v>
      </c>
    </row>
    <row r="10" spans="1:16">
      <c r="C10" s="32" t="s">
        <v>672</v>
      </c>
      <c r="E10" s="2" t="s">
        <v>673</v>
      </c>
      <c r="G10" s="2" t="s">
        <v>674</v>
      </c>
    </row>
    <row r="11" spans="1:16">
      <c r="C11" s="32" t="s">
        <v>675</v>
      </c>
      <c r="E11" s="2" t="s">
        <v>676</v>
      </c>
      <c r="G11" s="2" t="s">
        <v>677</v>
      </c>
    </row>
    <row r="12" spans="1:16">
      <c r="C12" s="32" t="s">
        <v>678</v>
      </c>
      <c r="E12" s="2" t="s">
        <v>679</v>
      </c>
      <c r="G12" s="2" t="s">
        <v>680</v>
      </c>
    </row>
    <row r="13" spans="1:16" ht="30">
      <c r="C13" s="32" t="s">
        <v>681</v>
      </c>
      <c r="E13" s="2" t="s">
        <v>682</v>
      </c>
      <c r="G13" s="2" t="s">
        <v>683</v>
      </c>
    </row>
    <row r="14" spans="1:16">
      <c r="C14" s="32" t="s">
        <v>684</v>
      </c>
      <c r="E14" s="2" t="s">
        <v>685</v>
      </c>
      <c r="G14" s="2" t="s">
        <v>686</v>
      </c>
    </row>
    <row r="15" spans="1:16">
      <c r="C15" s="32" t="s">
        <v>687</v>
      </c>
      <c r="E15" s="2" t="s">
        <v>688</v>
      </c>
      <c r="G15" s="2" t="s">
        <v>689</v>
      </c>
    </row>
    <row r="16" spans="1:16">
      <c r="C16" s="32" t="s">
        <v>690</v>
      </c>
      <c r="E16" s="2" t="s">
        <v>691</v>
      </c>
      <c r="G16" s="2" t="s">
        <v>692</v>
      </c>
    </row>
    <row r="17" spans="3:7">
      <c r="C17" s="32" t="s">
        <v>693</v>
      </c>
      <c r="E17" s="2" t="s">
        <v>694</v>
      </c>
      <c r="G17" s="2" t="s">
        <v>695</v>
      </c>
    </row>
    <row r="18" spans="3:7">
      <c r="C18" s="32" t="s">
        <v>696</v>
      </c>
      <c r="E18" s="2" t="s">
        <v>697</v>
      </c>
    </row>
    <row r="19" spans="3:7">
      <c r="C19" s="32" t="s">
        <v>698</v>
      </c>
      <c r="E19" s="2" t="s">
        <v>699</v>
      </c>
    </row>
    <row r="20" spans="3:7">
      <c r="C20" s="32" t="s">
        <v>700</v>
      </c>
      <c r="E20" s="2" t="s">
        <v>701</v>
      </c>
    </row>
    <row r="21" spans="3:7">
      <c r="E21" s="2" t="s">
        <v>702</v>
      </c>
    </row>
    <row r="22" spans="3:7">
      <c r="E22" s="2" t="s">
        <v>703</v>
      </c>
    </row>
    <row r="23" spans="3:7">
      <c r="E23" s="2" t="s">
        <v>704</v>
      </c>
    </row>
    <row r="24" spans="3:7">
      <c r="E24" s="2" t="s">
        <v>705</v>
      </c>
    </row>
    <row r="25" spans="3:7">
      <c r="E25" s="2" t="s">
        <v>16</v>
      </c>
    </row>
    <row r="26" spans="3:7">
      <c r="E26" s="2" t="s">
        <v>706</v>
      </c>
    </row>
    <row r="27" spans="3:7">
      <c r="E27" s="2" t="s">
        <v>707</v>
      </c>
    </row>
    <row r="28" spans="3:7">
      <c r="E28" s="2" t="s">
        <v>708</v>
      </c>
    </row>
    <row r="29" spans="3:7">
      <c r="E29" s="2" t="s">
        <v>709</v>
      </c>
    </row>
    <row r="30" spans="3:7">
      <c r="E30" s="2" t="s">
        <v>710</v>
      </c>
    </row>
    <row r="31" spans="3:7">
      <c r="E31" s="2" t="s">
        <v>711</v>
      </c>
    </row>
    <row r="32" spans="3:7">
      <c r="E32" s="2" t="s">
        <v>712</v>
      </c>
    </row>
    <row r="33" spans="5:5">
      <c r="E33" s="2" t="s">
        <v>713</v>
      </c>
    </row>
    <row r="34" spans="5:5">
      <c r="E34" s="2" t="s">
        <v>714</v>
      </c>
    </row>
    <row r="35" spans="5:5">
      <c r="E35" s="2" t="s">
        <v>715</v>
      </c>
    </row>
    <row r="36" spans="5:5">
      <c r="E36" s="2" t="s">
        <v>716</v>
      </c>
    </row>
    <row r="37" spans="5:5">
      <c r="E37" s="2" t="s">
        <v>717</v>
      </c>
    </row>
    <row r="38" spans="5:5">
      <c r="E38" s="2" t="s">
        <v>718</v>
      </c>
    </row>
    <row r="39" spans="5:5">
      <c r="E39" s="2" t="s">
        <v>719</v>
      </c>
    </row>
    <row r="40" spans="5:5">
      <c r="E40" s="2" t="s">
        <v>720</v>
      </c>
    </row>
    <row r="41" spans="5:5">
      <c r="E41" s="2" t="s">
        <v>721</v>
      </c>
    </row>
    <row r="42" spans="5:5">
      <c r="E42" s="2" t="s">
        <v>722</v>
      </c>
    </row>
    <row r="43" spans="5:5">
      <c r="E43" s="2" t="s">
        <v>723</v>
      </c>
    </row>
    <row r="44" spans="5:5">
      <c r="E44" s="2" t="s">
        <v>724</v>
      </c>
    </row>
    <row r="45" spans="5:5">
      <c r="E45" s="2" t="s">
        <v>725</v>
      </c>
    </row>
    <row r="46" spans="5:5">
      <c r="E46" s="2" t="s">
        <v>726</v>
      </c>
    </row>
    <row r="47" spans="5:5">
      <c r="E47" s="2" t="s">
        <v>727</v>
      </c>
    </row>
    <row r="48" spans="5:5">
      <c r="E48" s="2" t="s">
        <v>728</v>
      </c>
    </row>
    <row r="49" spans="5:5">
      <c r="E49" s="2" t="s">
        <v>729</v>
      </c>
    </row>
    <row r="50" spans="5:5">
      <c r="E50" s="2" t="s">
        <v>730</v>
      </c>
    </row>
    <row r="51" spans="5:5">
      <c r="E51" s="2" t="s">
        <v>731</v>
      </c>
    </row>
    <row r="52" spans="5:5">
      <c r="E52" s="2" t="s">
        <v>732</v>
      </c>
    </row>
    <row r="53" spans="5:5">
      <c r="E53" s="2" t="s">
        <v>733</v>
      </c>
    </row>
    <row r="54" spans="5:5">
      <c r="E54" s="2" t="s">
        <v>734</v>
      </c>
    </row>
    <row r="55" spans="5:5">
      <c r="E55" s="2" t="s">
        <v>735</v>
      </c>
    </row>
    <row r="56" spans="5:5">
      <c r="E56" s="2" t="s">
        <v>736</v>
      </c>
    </row>
    <row r="57" spans="5:5">
      <c r="E57" s="2" t="s">
        <v>737</v>
      </c>
    </row>
    <row r="58" spans="5:5">
      <c r="E58" s="2" t="s">
        <v>738</v>
      </c>
    </row>
    <row r="59" spans="5:5">
      <c r="E59" s="2" t="s">
        <v>739</v>
      </c>
    </row>
    <row r="60" spans="5:5">
      <c r="E60" s="2" t="s">
        <v>740</v>
      </c>
    </row>
    <row r="61" spans="5:5">
      <c r="E61" s="2" t="s">
        <v>741</v>
      </c>
    </row>
    <row r="62" spans="5:5">
      <c r="E62" s="2" t="s">
        <v>742</v>
      </c>
    </row>
    <row r="63" spans="5:5">
      <c r="E63" s="2" t="s">
        <v>743</v>
      </c>
    </row>
    <row r="64" spans="5:5">
      <c r="E64" s="2" t="s">
        <v>744</v>
      </c>
    </row>
    <row r="65" spans="5:5">
      <c r="E65" s="2" t="s">
        <v>745</v>
      </c>
    </row>
    <row r="66" spans="5:5">
      <c r="E66" s="2" t="s">
        <v>746</v>
      </c>
    </row>
    <row r="67" spans="5:5">
      <c r="E67" s="2" t="s">
        <v>747</v>
      </c>
    </row>
    <row r="68" spans="5:5">
      <c r="E68" s="2" t="s">
        <v>748</v>
      </c>
    </row>
    <row r="69" spans="5:5">
      <c r="E69" s="2" t="s">
        <v>749</v>
      </c>
    </row>
    <row r="70" spans="5:5">
      <c r="E70" s="2" t="s">
        <v>750</v>
      </c>
    </row>
    <row r="71" spans="5:5">
      <c r="E71" s="2" t="s">
        <v>751</v>
      </c>
    </row>
    <row r="72" spans="5:5">
      <c r="E72" s="2" t="s">
        <v>752</v>
      </c>
    </row>
    <row r="73" spans="5:5">
      <c r="E73" s="2" t="s">
        <v>753</v>
      </c>
    </row>
    <row r="74" spans="5:5">
      <c r="E74" s="2" t="s">
        <v>754</v>
      </c>
    </row>
    <row r="75" spans="5:5">
      <c r="E75" s="2" t="s">
        <v>755</v>
      </c>
    </row>
    <row r="76" spans="5:5">
      <c r="E76" s="2" t="s">
        <v>756</v>
      </c>
    </row>
    <row r="77" spans="5:5">
      <c r="E77" s="2" t="s">
        <v>757</v>
      </c>
    </row>
    <row r="78" spans="5:5">
      <c r="E78" s="2" t="s">
        <v>758</v>
      </c>
    </row>
    <row r="79" spans="5:5">
      <c r="E79" s="2" t="s">
        <v>759</v>
      </c>
    </row>
    <row r="80" spans="5:5">
      <c r="E80" s="2" t="s">
        <v>760</v>
      </c>
    </row>
    <row r="81" spans="5:5">
      <c r="E81" s="2" t="s">
        <v>761</v>
      </c>
    </row>
    <row r="82" spans="5:5">
      <c r="E82" s="2" t="s">
        <v>762</v>
      </c>
    </row>
    <row r="83" spans="5:5">
      <c r="E83" s="2" t="s">
        <v>763</v>
      </c>
    </row>
    <row r="84" spans="5:5">
      <c r="E84" s="2" t="s">
        <v>764</v>
      </c>
    </row>
    <row r="85" spans="5:5">
      <c r="E85" s="2" t="s">
        <v>765</v>
      </c>
    </row>
    <row r="86" spans="5:5">
      <c r="E86" s="2" t="s">
        <v>766</v>
      </c>
    </row>
    <row r="87" spans="5:5">
      <c r="E87" s="2" t="s">
        <v>767</v>
      </c>
    </row>
    <row r="88" spans="5:5">
      <c r="E88" s="2" t="s">
        <v>768</v>
      </c>
    </row>
    <row r="89" spans="5:5">
      <c r="E89" s="2" t="s">
        <v>769</v>
      </c>
    </row>
    <row r="90" spans="5:5">
      <c r="E90" s="2" t="s">
        <v>770</v>
      </c>
    </row>
    <row r="91" spans="5:5">
      <c r="E91" s="2" t="s">
        <v>771</v>
      </c>
    </row>
    <row r="92" spans="5:5">
      <c r="E92" s="2" t="s">
        <v>772</v>
      </c>
    </row>
    <row r="93" spans="5:5">
      <c r="E93" s="2" t="s">
        <v>773</v>
      </c>
    </row>
    <row r="94" spans="5:5">
      <c r="E94" s="2" t="s">
        <v>774</v>
      </c>
    </row>
    <row r="95" spans="5:5">
      <c r="E95" s="2" t="s">
        <v>775</v>
      </c>
    </row>
    <row r="96" spans="5:5">
      <c r="E96" s="2" t="s">
        <v>776</v>
      </c>
    </row>
    <row r="97" spans="5:5">
      <c r="E97" s="2" t="s">
        <v>777</v>
      </c>
    </row>
    <row r="98" spans="5:5">
      <c r="E98" s="2" t="s">
        <v>778</v>
      </c>
    </row>
    <row r="99" spans="5:5">
      <c r="E99" s="2" t="s">
        <v>779</v>
      </c>
    </row>
    <row r="100" spans="5:5">
      <c r="E100" s="2" t="s">
        <v>780</v>
      </c>
    </row>
    <row r="101" spans="5:5">
      <c r="E101" s="2" t="s">
        <v>781</v>
      </c>
    </row>
    <row r="102" spans="5:5">
      <c r="E102" s="2" t="s">
        <v>782</v>
      </c>
    </row>
    <row r="103" spans="5:5">
      <c r="E103" s="2" t="s">
        <v>783</v>
      </c>
    </row>
    <row r="104" spans="5:5">
      <c r="E104" s="2" t="s">
        <v>784</v>
      </c>
    </row>
    <row r="105" spans="5:5">
      <c r="E105" s="2" t="s">
        <v>785</v>
      </c>
    </row>
    <row r="106" spans="5:5">
      <c r="E106" s="2" t="s">
        <v>786</v>
      </c>
    </row>
    <row r="107" spans="5:5">
      <c r="E107" s="2" t="s">
        <v>787</v>
      </c>
    </row>
    <row r="108" spans="5:5">
      <c r="E108" s="2" t="s">
        <v>788</v>
      </c>
    </row>
    <row r="109" spans="5:5">
      <c r="E109" s="2" t="s">
        <v>789</v>
      </c>
    </row>
    <row r="110" spans="5:5">
      <c r="E110" s="2" t="s">
        <v>790</v>
      </c>
    </row>
    <row r="111" spans="5:5">
      <c r="E111" s="2" t="s">
        <v>791</v>
      </c>
    </row>
    <row r="112" spans="5:5">
      <c r="E112" s="2" t="s">
        <v>792</v>
      </c>
    </row>
    <row r="113" spans="5:5">
      <c r="E113" s="2" t="s">
        <v>793</v>
      </c>
    </row>
    <row r="114" spans="5:5">
      <c r="E114" s="2" t="s">
        <v>794</v>
      </c>
    </row>
    <row r="115" spans="5:5">
      <c r="E115" s="2" t="s">
        <v>795</v>
      </c>
    </row>
    <row r="116" spans="5:5">
      <c r="E116" s="2" t="s">
        <v>796</v>
      </c>
    </row>
    <row r="117" spans="5:5">
      <c r="E117" s="2" t="s">
        <v>797</v>
      </c>
    </row>
    <row r="118" spans="5:5">
      <c r="E118" s="2" t="s">
        <v>798</v>
      </c>
    </row>
    <row r="119" spans="5:5">
      <c r="E119" s="2" t="s">
        <v>799</v>
      </c>
    </row>
    <row r="120" spans="5:5">
      <c r="E120" s="2" t="s">
        <v>800</v>
      </c>
    </row>
    <row r="121" spans="5:5">
      <c r="E121" s="2" t="s">
        <v>801</v>
      </c>
    </row>
    <row r="122" spans="5:5">
      <c r="E122" s="2" t="s">
        <v>802</v>
      </c>
    </row>
    <row r="123" spans="5:5">
      <c r="E123" s="2" t="s">
        <v>803</v>
      </c>
    </row>
    <row r="124" spans="5:5">
      <c r="E124" s="2" t="s">
        <v>804</v>
      </c>
    </row>
    <row r="125" spans="5:5">
      <c r="E125" s="2" t="s">
        <v>805</v>
      </c>
    </row>
    <row r="126" spans="5:5">
      <c r="E126" s="2" t="s">
        <v>806</v>
      </c>
    </row>
    <row r="127" spans="5:5">
      <c r="E127" s="2" t="s">
        <v>807</v>
      </c>
    </row>
    <row r="128" spans="5:5">
      <c r="E128" s="2" t="s">
        <v>808</v>
      </c>
    </row>
    <row r="129" spans="5:5">
      <c r="E129" s="2" t="s">
        <v>809</v>
      </c>
    </row>
    <row r="130" spans="5:5">
      <c r="E130" s="2" t="s">
        <v>810</v>
      </c>
    </row>
    <row r="131" spans="5:5">
      <c r="E131" s="2" t="s">
        <v>811</v>
      </c>
    </row>
    <row r="132" spans="5:5">
      <c r="E132" s="2" t="s">
        <v>812</v>
      </c>
    </row>
    <row r="133" spans="5:5">
      <c r="E133" s="2" t="s">
        <v>813</v>
      </c>
    </row>
    <row r="134" spans="5:5">
      <c r="E134" s="2" t="s">
        <v>814</v>
      </c>
    </row>
    <row r="135" spans="5:5">
      <c r="E135" s="2" t="s">
        <v>815</v>
      </c>
    </row>
    <row r="136" spans="5:5">
      <c r="E136" s="2" t="s">
        <v>816</v>
      </c>
    </row>
    <row r="137" spans="5:5">
      <c r="E137" s="2" t="s">
        <v>817</v>
      </c>
    </row>
    <row r="138" spans="5:5">
      <c r="E138" s="2" t="s">
        <v>818</v>
      </c>
    </row>
    <row r="139" spans="5:5">
      <c r="E139" s="2" t="s">
        <v>819</v>
      </c>
    </row>
    <row r="140" spans="5:5">
      <c r="E140" s="2" t="s">
        <v>820</v>
      </c>
    </row>
    <row r="141" spans="5:5">
      <c r="E141" s="2" t="s">
        <v>821</v>
      </c>
    </row>
    <row r="142" spans="5:5">
      <c r="E142" s="2" t="s">
        <v>822</v>
      </c>
    </row>
    <row r="143" spans="5:5">
      <c r="E143" s="2" t="s">
        <v>823</v>
      </c>
    </row>
    <row r="144" spans="5:5">
      <c r="E144" s="2" t="s">
        <v>824</v>
      </c>
    </row>
    <row r="145" spans="5:5">
      <c r="E145" s="2" t="s">
        <v>825</v>
      </c>
    </row>
    <row r="146" spans="5:5">
      <c r="E146" s="2" t="s">
        <v>826</v>
      </c>
    </row>
    <row r="147" spans="5:5">
      <c r="E147" s="2" t="s">
        <v>827</v>
      </c>
    </row>
    <row r="148" spans="5:5">
      <c r="E148" s="2" t="s">
        <v>828</v>
      </c>
    </row>
    <row r="149" spans="5:5">
      <c r="E149" s="2" t="s">
        <v>829</v>
      </c>
    </row>
    <row r="150" spans="5:5">
      <c r="E150" s="2" t="s">
        <v>830</v>
      </c>
    </row>
    <row r="151" spans="5:5">
      <c r="E151" s="2" t="s">
        <v>831</v>
      </c>
    </row>
    <row r="152" spans="5:5">
      <c r="E152" s="2" t="s">
        <v>832</v>
      </c>
    </row>
    <row r="153" spans="5:5">
      <c r="E153" s="2" t="s">
        <v>833</v>
      </c>
    </row>
    <row r="154" spans="5:5">
      <c r="E154" s="2" t="s">
        <v>834</v>
      </c>
    </row>
    <row r="155" spans="5:5">
      <c r="E155" s="2" t="s">
        <v>835</v>
      </c>
    </row>
    <row r="156" spans="5:5">
      <c r="E156" s="2" t="s">
        <v>836</v>
      </c>
    </row>
    <row r="157" spans="5:5">
      <c r="E157" s="2" t="s">
        <v>837</v>
      </c>
    </row>
    <row r="158" spans="5:5">
      <c r="E158" s="2" t="s">
        <v>838</v>
      </c>
    </row>
    <row r="159" spans="5:5">
      <c r="E159" s="2" t="s">
        <v>839</v>
      </c>
    </row>
    <row r="160" spans="5:5">
      <c r="E160" s="2" t="s">
        <v>840</v>
      </c>
    </row>
    <row r="161" spans="5:5">
      <c r="E161" s="2" t="s">
        <v>841</v>
      </c>
    </row>
    <row r="162" spans="5:5">
      <c r="E162" s="2" t="s">
        <v>842</v>
      </c>
    </row>
    <row r="163" spans="5:5">
      <c r="E163" s="2" t="s">
        <v>843</v>
      </c>
    </row>
    <row r="164" spans="5:5">
      <c r="E164" s="2" t="s">
        <v>844</v>
      </c>
    </row>
    <row r="165" spans="5:5">
      <c r="E165" s="2" t="s">
        <v>845</v>
      </c>
    </row>
    <row r="166" spans="5:5">
      <c r="E166" s="2" t="s">
        <v>846</v>
      </c>
    </row>
    <row r="167" spans="5:5">
      <c r="E167" s="2" t="s">
        <v>847</v>
      </c>
    </row>
    <row r="168" spans="5:5">
      <c r="E168" s="2" t="s">
        <v>848</v>
      </c>
    </row>
    <row r="169" spans="5:5">
      <c r="E169" s="2" t="s">
        <v>849</v>
      </c>
    </row>
    <row r="170" spans="5:5">
      <c r="E170" s="2" t="s">
        <v>850</v>
      </c>
    </row>
    <row r="171" spans="5:5">
      <c r="E171" s="2" t="s">
        <v>851</v>
      </c>
    </row>
    <row r="172" spans="5:5">
      <c r="E172" s="2" t="s">
        <v>852</v>
      </c>
    </row>
    <row r="173" spans="5:5">
      <c r="E173" s="2" t="s">
        <v>853</v>
      </c>
    </row>
    <row r="174" spans="5:5">
      <c r="E174" s="2" t="s">
        <v>854</v>
      </c>
    </row>
    <row r="175" spans="5:5">
      <c r="E175" s="2" t="s">
        <v>855</v>
      </c>
    </row>
    <row r="176" spans="5:5">
      <c r="E176" s="2" t="s">
        <v>856</v>
      </c>
    </row>
    <row r="177" spans="5:5">
      <c r="E177" s="2" t="s">
        <v>857</v>
      </c>
    </row>
    <row r="178" spans="5:5">
      <c r="E178" s="2" t="s">
        <v>858</v>
      </c>
    </row>
    <row r="179" spans="5:5">
      <c r="E179" s="2" t="s">
        <v>859</v>
      </c>
    </row>
    <row r="180" spans="5:5">
      <c r="E180" s="2" t="s">
        <v>860</v>
      </c>
    </row>
    <row r="181" spans="5:5">
      <c r="E181" s="2" t="s">
        <v>861</v>
      </c>
    </row>
    <row r="182" spans="5:5">
      <c r="E182" s="2" t="s">
        <v>862</v>
      </c>
    </row>
    <row r="183" spans="5:5">
      <c r="E183" s="2" t="s">
        <v>863</v>
      </c>
    </row>
    <row r="184" spans="5:5">
      <c r="E184" s="2" t="s">
        <v>864</v>
      </c>
    </row>
    <row r="185" spans="5:5">
      <c r="E185" s="2" t="s">
        <v>865</v>
      </c>
    </row>
    <row r="186" spans="5:5">
      <c r="E186" s="2" t="s">
        <v>866</v>
      </c>
    </row>
    <row r="187" spans="5:5">
      <c r="E187" s="2" t="s">
        <v>867</v>
      </c>
    </row>
    <row r="188" spans="5:5">
      <c r="E188" s="2" t="s">
        <v>868</v>
      </c>
    </row>
    <row r="189" spans="5:5">
      <c r="E189" s="2" t="s">
        <v>869</v>
      </c>
    </row>
    <row r="190" spans="5:5">
      <c r="E190" s="2" t="s">
        <v>870</v>
      </c>
    </row>
    <row r="191" spans="5:5">
      <c r="E191" s="2" t="s">
        <v>871</v>
      </c>
    </row>
    <row r="192" spans="5:5">
      <c r="E192" s="2" t="s">
        <v>872</v>
      </c>
    </row>
    <row r="193" spans="5:5">
      <c r="E193" s="2" t="s">
        <v>873</v>
      </c>
    </row>
    <row r="194" spans="5:5">
      <c r="E194" s="2" t="s">
        <v>874</v>
      </c>
    </row>
    <row r="195" spans="5:5">
      <c r="E195" s="2" t="s">
        <v>875</v>
      </c>
    </row>
    <row r="196" spans="5:5">
      <c r="E196" s="2" t="s">
        <v>876</v>
      </c>
    </row>
    <row r="197" spans="5:5">
      <c r="E197" s="2" t="s">
        <v>877</v>
      </c>
    </row>
    <row r="198" spans="5:5">
      <c r="E198" s="2" t="s">
        <v>878</v>
      </c>
    </row>
    <row r="199" spans="5:5">
      <c r="E199" s="2" t="s">
        <v>879</v>
      </c>
    </row>
    <row r="200" spans="5:5">
      <c r="E200" s="2" t="s">
        <v>880</v>
      </c>
    </row>
    <row r="201" spans="5:5">
      <c r="E201" s="2" t="s">
        <v>881</v>
      </c>
    </row>
    <row r="202" spans="5:5">
      <c r="E202" s="2" t="s">
        <v>882</v>
      </c>
    </row>
    <row r="203" spans="5:5">
      <c r="E203" s="2" t="s">
        <v>883</v>
      </c>
    </row>
    <row r="204" spans="5:5">
      <c r="E204" s="2" t="s">
        <v>884</v>
      </c>
    </row>
    <row r="205" spans="5:5">
      <c r="E205" s="2" t="s">
        <v>885</v>
      </c>
    </row>
    <row r="206" spans="5:5">
      <c r="E206" s="2" t="s">
        <v>886</v>
      </c>
    </row>
    <row r="207" spans="5:5">
      <c r="E207" s="2" t="s">
        <v>887</v>
      </c>
    </row>
    <row r="208" spans="5:5">
      <c r="E208" s="2" t="s">
        <v>888</v>
      </c>
    </row>
    <row r="209" spans="5:5">
      <c r="E209" s="2" t="s">
        <v>889</v>
      </c>
    </row>
    <row r="210" spans="5:5">
      <c r="E210" s="2" t="s">
        <v>890</v>
      </c>
    </row>
    <row r="211" spans="5:5">
      <c r="E211" s="2" t="s">
        <v>891</v>
      </c>
    </row>
    <row r="212" spans="5:5">
      <c r="E212" s="2" t="s">
        <v>892</v>
      </c>
    </row>
    <row r="213" spans="5:5">
      <c r="E213" s="2" t="s">
        <v>893</v>
      </c>
    </row>
    <row r="214" spans="5:5">
      <c r="E214" s="2" t="s">
        <v>894</v>
      </c>
    </row>
    <row r="215" spans="5:5">
      <c r="E215" s="2" t="s">
        <v>895</v>
      </c>
    </row>
    <row r="216" spans="5:5">
      <c r="E216" s="2" t="s">
        <v>896</v>
      </c>
    </row>
    <row r="217" spans="5:5">
      <c r="E217" s="2" t="s">
        <v>897</v>
      </c>
    </row>
    <row r="218" spans="5:5">
      <c r="E218" s="2" t="s">
        <v>898</v>
      </c>
    </row>
    <row r="219" spans="5:5">
      <c r="E219" s="2" t="s">
        <v>899</v>
      </c>
    </row>
    <row r="220" spans="5:5">
      <c r="E220" s="2" t="s">
        <v>900</v>
      </c>
    </row>
    <row r="221" spans="5:5">
      <c r="E221" s="2" t="s">
        <v>901</v>
      </c>
    </row>
    <row r="222" spans="5:5">
      <c r="E222" s="2" t="s">
        <v>902</v>
      </c>
    </row>
    <row r="223" spans="5:5">
      <c r="E223" s="2" t="s">
        <v>903</v>
      </c>
    </row>
    <row r="224" spans="5:5">
      <c r="E224" s="2" t="s">
        <v>904</v>
      </c>
    </row>
    <row r="225" spans="5:5">
      <c r="E225" s="2" t="s">
        <v>905</v>
      </c>
    </row>
    <row r="226" spans="5:5">
      <c r="E226" s="2" t="s">
        <v>906</v>
      </c>
    </row>
    <row r="227" spans="5:5">
      <c r="E227" s="2" t="s">
        <v>907</v>
      </c>
    </row>
    <row r="228" spans="5:5">
      <c r="E228" s="2" t="s">
        <v>908</v>
      </c>
    </row>
    <row r="229" spans="5:5">
      <c r="E229" s="2" t="s">
        <v>909</v>
      </c>
    </row>
    <row r="230" spans="5:5">
      <c r="E230" s="2" t="s">
        <v>910</v>
      </c>
    </row>
    <row r="231" spans="5:5">
      <c r="E231" s="2" t="s">
        <v>911</v>
      </c>
    </row>
    <row r="232" spans="5:5">
      <c r="E232" s="2" t="s">
        <v>912</v>
      </c>
    </row>
    <row r="233" spans="5:5">
      <c r="E233" s="2" t="s">
        <v>913</v>
      </c>
    </row>
    <row r="234" spans="5:5">
      <c r="E234" s="2" t="s">
        <v>914</v>
      </c>
    </row>
    <row r="235" spans="5:5">
      <c r="E235" s="2" t="s">
        <v>915</v>
      </c>
    </row>
    <row r="236" spans="5:5">
      <c r="E236" s="2" t="s">
        <v>916</v>
      </c>
    </row>
    <row r="237" spans="5:5">
      <c r="E237" s="2" t="s">
        <v>917</v>
      </c>
    </row>
    <row r="238" spans="5:5">
      <c r="E238" s="2" t="s">
        <v>918</v>
      </c>
    </row>
    <row r="239" spans="5:5">
      <c r="E239" s="2" t="s">
        <v>919</v>
      </c>
    </row>
    <row r="240" spans="5:5">
      <c r="E240" s="2" t="s">
        <v>920</v>
      </c>
    </row>
    <row r="241" spans="5:5">
      <c r="E241" s="2" t="s">
        <v>921</v>
      </c>
    </row>
    <row r="242" spans="5:5">
      <c r="E242" s="2" t="s">
        <v>922</v>
      </c>
    </row>
    <row r="243" spans="5:5">
      <c r="E243" s="2" t="s">
        <v>923</v>
      </c>
    </row>
    <row r="244" spans="5:5">
      <c r="E244" s="2" t="s">
        <v>924</v>
      </c>
    </row>
    <row r="245" spans="5:5">
      <c r="E245" s="2" t="s">
        <v>925</v>
      </c>
    </row>
    <row r="246" spans="5:5">
      <c r="E246" s="2" t="s">
        <v>926</v>
      </c>
    </row>
    <row r="247" spans="5:5">
      <c r="E247" s="2" t="s">
        <v>927</v>
      </c>
    </row>
    <row r="248" spans="5:5">
      <c r="E248" s="2" t="s">
        <v>928</v>
      </c>
    </row>
    <row r="249" spans="5:5">
      <c r="E249" s="2" t="s">
        <v>929</v>
      </c>
    </row>
    <row r="250" spans="5:5">
      <c r="E250" s="2" t="s">
        <v>930</v>
      </c>
    </row>
    <row r="251" spans="5:5">
      <c r="E251" s="2" t="s">
        <v>931</v>
      </c>
    </row>
    <row r="252" spans="5:5">
      <c r="E252" s="2" t="s">
        <v>932</v>
      </c>
    </row>
    <row r="253" spans="5:5">
      <c r="E253" s="2" t="s">
        <v>933</v>
      </c>
    </row>
    <row r="254" spans="5:5">
      <c r="E254" s="2" t="s">
        <v>934</v>
      </c>
    </row>
    <row r="255" spans="5:5">
      <c r="E255" s="2" t="s">
        <v>935</v>
      </c>
    </row>
    <row r="256" spans="5:5">
      <c r="E256" s="2" t="s">
        <v>936</v>
      </c>
    </row>
    <row r="257" spans="5:5">
      <c r="E257" s="2" t="s">
        <v>937</v>
      </c>
    </row>
    <row r="258" spans="5:5">
      <c r="E258" s="2" t="s">
        <v>938</v>
      </c>
    </row>
    <row r="259" spans="5:5">
      <c r="E259" s="2" t="s">
        <v>939</v>
      </c>
    </row>
    <row r="260" spans="5:5">
      <c r="E260" s="2" t="s">
        <v>940</v>
      </c>
    </row>
    <row r="261" spans="5:5">
      <c r="E261" s="2" t="s">
        <v>941</v>
      </c>
    </row>
    <row r="262" spans="5:5">
      <c r="E262" s="2" t="s">
        <v>942</v>
      </c>
    </row>
    <row r="263" spans="5:5">
      <c r="E263" s="2" t="s">
        <v>943</v>
      </c>
    </row>
    <row r="264" spans="5:5">
      <c r="E264" s="2" t="s">
        <v>944</v>
      </c>
    </row>
    <row r="265" spans="5:5">
      <c r="E265" s="2" t="s">
        <v>945</v>
      </c>
    </row>
    <row r="266" spans="5:5">
      <c r="E266" s="2" t="s">
        <v>946</v>
      </c>
    </row>
    <row r="267" spans="5:5">
      <c r="E267" s="2" t="s">
        <v>947</v>
      </c>
    </row>
    <row r="268" spans="5:5">
      <c r="E268" s="2" t="s">
        <v>948</v>
      </c>
    </row>
    <row r="269" spans="5:5">
      <c r="E269" s="2" t="s">
        <v>949</v>
      </c>
    </row>
    <row r="270" spans="5:5">
      <c r="E270" s="2" t="s">
        <v>950</v>
      </c>
    </row>
    <row r="271" spans="5:5">
      <c r="E271" s="2" t="s">
        <v>951</v>
      </c>
    </row>
    <row r="272" spans="5:5">
      <c r="E272" s="2" t="s">
        <v>952</v>
      </c>
    </row>
    <row r="273" spans="5:5">
      <c r="E273" s="2" t="s">
        <v>953</v>
      </c>
    </row>
    <row r="274" spans="5:5">
      <c r="E274" s="2" t="s">
        <v>954</v>
      </c>
    </row>
    <row r="275" spans="5:5">
      <c r="E275" s="2" t="s">
        <v>955</v>
      </c>
    </row>
    <row r="276" spans="5:5">
      <c r="E276" s="2" t="s">
        <v>956</v>
      </c>
    </row>
    <row r="277" spans="5:5">
      <c r="E277" s="2" t="s">
        <v>957</v>
      </c>
    </row>
    <row r="278" spans="5:5">
      <c r="E278" s="2" t="s">
        <v>958</v>
      </c>
    </row>
    <row r="279" spans="5:5">
      <c r="E279" s="2" t="s">
        <v>959</v>
      </c>
    </row>
    <row r="280" spans="5:5">
      <c r="E280" s="2" t="s">
        <v>960</v>
      </c>
    </row>
    <row r="281" spans="5:5">
      <c r="E281" s="2" t="s">
        <v>961</v>
      </c>
    </row>
    <row r="282" spans="5:5">
      <c r="E282" s="2" t="s">
        <v>962</v>
      </c>
    </row>
    <row r="283" spans="5:5">
      <c r="E283" s="2" t="s">
        <v>963</v>
      </c>
    </row>
    <row r="284" spans="5:5">
      <c r="E284" s="2" t="s">
        <v>964</v>
      </c>
    </row>
    <row r="285" spans="5:5">
      <c r="E285" s="2" t="s">
        <v>965</v>
      </c>
    </row>
    <row r="286" spans="5:5">
      <c r="E286" s="2" t="s">
        <v>966</v>
      </c>
    </row>
    <row r="287" spans="5:5">
      <c r="E287" s="2" t="s">
        <v>967</v>
      </c>
    </row>
    <row r="288" spans="5:5">
      <c r="E288" s="2" t="s">
        <v>968</v>
      </c>
    </row>
    <row r="289" spans="5:5">
      <c r="E289" s="2" t="s">
        <v>969</v>
      </c>
    </row>
    <row r="290" spans="5:5">
      <c r="E290" s="2" t="s">
        <v>970</v>
      </c>
    </row>
    <row r="291" spans="5:5">
      <c r="E291" s="2" t="s">
        <v>971</v>
      </c>
    </row>
    <row r="292" spans="5:5">
      <c r="E292" s="2" t="s">
        <v>972</v>
      </c>
    </row>
    <row r="293" spans="5:5">
      <c r="E293" s="2" t="s">
        <v>973</v>
      </c>
    </row>
    <row r="294" spans="5:5">
      <c r="E294" s="2" t="s">
        <v>974</v>
      </c>
    </row>
    <row r="295" spans="5:5">
      <c r="E295" s="2" t="s">
        <v>975</v>
      </c>
    </row>
    <row r="296" spans="5:5">
      <c r="E296" s="2" t="s">
        <v>976</v>
      </c>
    </row>
    <row r="297" spans="5:5">
      <c r="E297" s="2" t="s">
        <v>977</v>
      </c>
    </row>
    <row r="298" spans="5:5">
      <c r="E298" s="2" t="s">
        <v>978</v>
      </c>
    </row>
    <row r="299" spans="5:5">
      <c r="E299" s="2" t="s">
        <v>979</v>
      </c>
    </row>
    <row r="300" spans="5:5">
      <c r="E300" s="2" t="s">
        <v>980</v>
      </c>
    </row>
    <row r="301" spans="5:5">
      <c r="E301" s="2" t="s">
        <v>981</v>
      </c>
    </row>
    <row r="302" spans="5:5">
      <c r="E302" s="2" t="s">
        <v>982</v>
      </c>
    </row>
    <row r="303" spans="5:5">
      <c r="E303" s="2" t="s">
        <v>983</v>
      </c>
    </row>
    <row r="304" spans="5:5">
      <c r="E304" s="2" t="s">
        <v>984</v>
      </c>
    </row>
    <row r="305" spans="5:5">
      <c r="E305" s="2" t="s">
        <v>985</v>
      </c>
    </row>
    <row r="306" spans="5:5">
      <c r="E306" s="2" t="s">
        <v>986</v>
      </c>
    </row>
    <row r="307" spans="5:5">
      <c r="E307" s="2" t="s">
        <v>987</v>
      </c>
    </row>
    <row r="308" spans="5:5">
      <c r="E308" s="2" t="s">
        <v>988</v>
      </c>
    </row>
    <row r="309" spans="5:5">
      <c r="E309" s="2" t="s">
        <v>989</v>
      </c>
    </row>
    <row r="310" spans="5:5">
      <c r="E310" s="2" t="s">
        <v>990</v>
      </c>
    </row>
    <row r="311" spans="5:5">
      <c r="E311" s="2" t="s">
        <v>991</v>
      </c>
    </row>
    <row r="312" spans="5:5">
      <c r="E312" s="2" t="s">
        <v>992</v>
      </c>
    </row>
    <row r="313" spans="5:5">
      <c r="E313" s="2" t="s">
        <v>993</v>
      </c>
    </row>
  </sheetData>
  <hyperlinks>
    <hyperlink ref="C3" r:id="rId1" display="https://transparencia-orgt.diba.cat/" xr:uid="{4F1EA8AA-4D4F-4571-904D-62EA0911D8CD}"/>
    <hyperlink ref="C4" r:id="rId2" display="http://transparencia.institutdelteatre.cat/" xr:uid="{527B4798-72C5-48FE-89E7-306A141723B1}"/>
    <hyperlink ref="C5" r:id="rId3" display="https://transparencia-patronat-apostes.diba.cat/" xr:uid="{669469D4-2D3E-4F3F-9C4B-999413567C91}"/>
    <hyperlink ref="C6" r:id="rId4" display="https://www.xal.cat/" xr:uid="{3288C3E4-E366-44C5-A47A-D8A8A25DB3E2}"/>
    <hyperlink ref="C7" r:id="rId5" display="https://gobiernolocal.org/" xr:uid="{DD2C8E56-BD77-464D-B1D8-52221F430498}"/>
    <hyperlink ref="C8" r:id="rId6" display="https://seu-e.cat/es/web/cccb/govern-obert-i-transparencia" xr:uid="{851157D6-4974-4859-89C8-865070D470C4}"/>
    <hyperlink ref="C9" r:id="rId7" display="https://transparencia-cemical.diba.cat/" xr:uid="{F743CE55-037A-422D-931B-7B838F8B7F41}"/>
    <hyperlink ref="C10" r:id="rId8" display="https://www.seu-e.cat/web/cdrassanesreialsimuseumaritim/govern-obert-i-transparencia" xr:uid="{DA1DEBCE-11D0-4346-8A09-485F884F59CE}"/>
    <hyperlink ref="C11" r:id="rId9" display="https://museusdesitges.cat/ca/el-consorci-del-patrimoni-de-sitges" xr:uid="{747D0125-6BEA-4121-8425-CB297317E8B7}"/>
    <hyperlink ref="C12" r:id="rId10" display="https://cdmt.cat/portal-de-transparencia/" xr:uid="{933327F0-2FA9-4B2A-99A9-BD7181412E5E}"/>
    <hyperlink ref="C13" r:id="rId11" display="https://cuimpb.cat/" xr:uid="{C26DF528-67C5-47FE-98AC-49F06A168425}"/>
    <hyperlink ref="C14" r:id="rId12" display="https://parcagrari.cat/" xr:uid="{63CD162E-DF75-4078-884A-5034246E5E55}"/>
    <hyperlink ref="C15" r:id="rId13" display="https://parcs.diba.cat/web/marina" xr:uid="{610593CC-1B29-4E89-A206-44406DA6DDD6}"/>
    <hyperlink ref="C16" r:id="rId14" display="https://www.fundaciopalau.cat/la-fundacio/" xr:uid="{14E6441B-1103-4D3C-8B2F-45AA32F5684B}"/>
    <hyperlink ref="C17" r:id="rId15" display="https://www.icps.cat/" xr:uid="{BFAE96B3-C253-4BC7-B093-494B2C3B4EF2}"/>
    <hyperlink ref="C18" r:id="rId16" display="https://seu-e.cat/web/cespainaturalguilleries-savassona" xr:uid="{C2329066-DF77-4667-8537-1C19AE39EB30}"/>
    <hyperlink ref="C19" r:id="rId17" display="https://seu-e.cat/web/cparcdelaserraladalitoral" xr:uid="{3D66EC0B-9B27-447F-A2D7-D284357623CD}"/>
    <hyperlink ref="C20" r:id="rId18" display="https://www.seu-e.cat/ca/web/cdrassanesreialsimuseumaritim/govern-obert-i-transparencia/informacio-institucional-i-organitzativa/informacio-institucional/fundacio-de-suport-al-museu-maritim-i-drassanes-reials-de-barcelona-214" xr:uid="{43EB10DB-3249-4F20-A320-2905BED5094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483003528B6E64494AA139DCF069EFA" ma:contentTypeVersion="3" ma:contentTypeDescription="Crear nuevo documento." ma:contentTypeScope="" ma:versionID="c136701b96dfdf72e3623bca53eb3ddb">
  <xsd:schema xmlns:xsd="http://www.w3.org/2001/XMLSchema" xmlns:xs="http://www.w3.org/2001/XMLSchema" xmlns:p="http://schemas.microsoft.com/office/2006/metadata/properties" xmlns:ns2="bf4472a1-5c7a-479c-bd7d-3ae26fd7540e" targetNamespace="http://schemas.microsoft.com/office/2006/metadata/properties" ma:root="true" ma:fieldsID="8e057afc45012590a433a9fb8c011213" ns2:_="">
    <xsd:import namespace="bf4472a1-5c7a-479c-bd7d-3ae26fd7540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4472a1-5c7a-479c-bd7d-3ae26fd754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14651F-3C4E-4E8E-92EA-8B3E6BF3A1A0}"/>
</file>

<file path=customXml/itemProps2.xml><?xml version="1.0" encoding="utf-8"?>
<ds:datastoreItem xmlns:ds="http://schemas.openxmlformats.org/officeDocument/2006/customXml" ds:itemID="{8F4DC618-D6DC-4FD7-BAC3-9CF029968531}"/>
</file>

<file path=customXml/itemProps3.xml><?xml version="1.0" encoding="utf-8"?>
<ds:datastoreItem xmlns:ds="http://schemas.openxmlformats.org/officeDocument/2006/customXml" ds:itemID="{5836B77B-AB35-47F2-98E6-4F66AD5D6F80}"/>
</file>

<file path=docMetadata/LabelInfo.xml><?xml version="1.0" encoding="utf-8"?>
<clbl:labelList xmlns:clbl="http://schemas.microsoft.com/office/2020/mipLabelMetadata">
  <clbl:label id="{fd526602-58c8-494f-8a3d-4d906671215d}"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MENDEZ ARCE Alberto</dc:creator>
  <cp:keywords/>
  <dc:description/>
  <cp:lastModifiedBy>GUTIERREZ LOPEZ, DAVID</cp:lastModifiedBy>
  <cp:revision/>
  <dcterms:created xsi:type="dcterms:W3CDTF">2025-01-23T08:59:51Z</dcterms:created>
  <dcterms:modified xsi:type="dcterms:W3CDTF">2026-05-04T14:14:55Z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526602-58c8-494f-8a3d-4d906671215d_Enabled">
    <vt:lpwstr>true</vt:lpwstr>
  </property>
  <property fmtid="{D5CDD505-2E9C-101B-9397-08002B2CF9AE}" pid="3" name="MSIP_Label_fd526602-58c8-494f-8a3d-4d906671215d_SetDate">
    <vt:lpwstr>2025-01-24T10:23:18Z</vt:lpwstr>
  </property>
  <property fmtid="{D5CDD505-2E9C-101B-9397-08002B2CF9AE}" pid="4" name="MSIP_Label_fd526602-58c8-494f-8a3d-4d906671215d_Method">
    <vt:lpwstr>Standard</vt:lpwstr>
  </property>
  <property fmtid="{D5CDD505-2E9C-101B-9397-08002B2CF9AE}" pid="5" name="MSIP_Label_fd526602-58c8-494f-8a3d-4d906671215d_Name">
    <vt:lpwstr>ES Uso Restringido</vt:lpwstr>
  </property>
  <property fmtid="{D5CDD505-2E9C-101B-9397-08002B2CF9AE}" pid="6" name="MSIP_Label_fd526602-58c8-494f-8a3d-4d906671215d_SiteId">
    <vt:lpwstr>8b87af7d-8647-4dc7-8df4-5f69a2011bb5</vt:lpwstr>
  </property>
  <property fmtid="{D5CDD505-2E9C-101B-9397-08002B2CF9AE}" pid="7" name="MSIP_Label_fd526602-58c8-494f-8a3d-4d906671215d_ActionId">
    <vt:lpwstr>1d987446-f240-47ce-8c8d-a37f53502045</vt:lpwstr>
  </property>
  <property fmtid="{D5CDD505-2E9C-101B-9397-08002B2CF9AE}" pid="8" name="MSIP_Label_fd526602-58c8-494f-8a3d-4d906671215d_ContentBits">
    <vt:lpwstr>3</vt:lpwstr>
  </property>
  <property fmtid="{D5CDD505-2E9C-101B-9397-08002B2CF9AE}" pid="9" name="ContentTypeId">
    <vt:lpwstr>0x010100E483003528B6E64494AA139DCF069EFA</vt:lpwstr>
  </property>
  <property fmtid="{D5CDD505-2E9C-101B-9397-08002B2CF9AE}" pid="10" name="MediaServiceImageTags">
    <vt:lpwstr/>
  </property>
  <property fmtid="{D5CDD505-2E9C-101B-9397-08002B2CF9AE}" pid="11" name="Order">
    <vt:r8>400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_SourceUrl">
    <vt:lpwstr/>
  </property>
  <property fmtid="{D5CDD505-2E9C-101B-9397-08002B2CF9AE}" pid="19" name="_SharedFileIndex">
    <vt:lpwstr/>
  </property>
</Properties>
</file>