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nietosp\Documents\excells\"/>
    </mc:Choice>
  </mc:AlternateContent>
  <xr:revisionPtr revIDLastSave="0" documentId="8_{CB90E07D-6663-45F6-AC05-D5BF2CECE0FE}" xr6:coauthVersionLast="47" xr6:coauthVersionMax="47" xr10:uidLastSave="{00000000-0000-0000-0000-000000000000}"/>
  <bookViews>
    <workbookView xWindow="-120" yWindow="-120" windowWidth="29040" windowHeight="15720" tabRatio="748" activeTab="1" xr2:uid="{170824B5-60C3-4CDA-B474-AEAA2E33DD6F}"/>
  </bookViews>
  <sheets>
    <sheet name="Instruccions" sheetId="2" r:id="rId1"/>
    <sheet name="Sistemes" sheetId="11" r:id="rId2"/>
    <sheet name="Dominis de dades" sheetId="9" r:id="rId3"/>
    <sheet name="Conjunts de dades" sheetId="6" r:id="rId4"/>
    <sheet name="Rel.Conjunts-Sistemes" sheetId="16" r:id="rId5"/>
    <sheet name="Qualitat" sheetId="10" r:id="rId6"/>
    <sheet name="Llegenda" sheetId="3" r:id="rId7"/>
    <sheet name="Relació inventaris" sheetId="15" r:id="rId8"/>
    <sheet name="Llistes" sheetId="17" r:id="rId9"/>
  </sheets>
  <externalReferences>
    <externalReference r:id="rId10"/>
    <externalReference r:id="rId11"/>
    <externalReference r:id="rId12"/>
  </externalReferences>
  <definedNames>
    <definedName name="_xlnm._FilterDatabase" localSheetId="3" hidden="1">'Conjunts de dades'!$B$5:$AS$119</definedName>
    <definedName name="_xlnm._FilterDatabase" localSheetId="2" hidden="1">'Dominis de dades'!$B$5:$F$62</definedName>
    <definedName name="_xlnm._FilterDatabase" localSheetId="1" hidden="1">Sistemes!$A$8:$L$10</definedName>
    <definedName name="AbastOrganitzatiu">Llistes!$T$2:$T$6</definedName>
    <definedName name="AccionsGD" localSheetId="1">[1]Llistes!#REF!</definedName>
    <definedName name="AccionsGD">[2]Llistes!#REF!</definedName>
    <definedName name="AltValor">Llistes!$AA$2:$AA$10</definedName>
    <definedName name="Àmbit">Llistes!$P$2:$P$6</definedName>
    <definedName name="AnàlisiRiscos">Llistes!$BS$2:$BS$10</definedName>
    <definedName name="AnàlisiRiscosGrau">[3]Llistes!$BT$2:$BT$10</definedName>
    <definedName name="Àrea" localSheetId="1">[1]Llistes!$G$3:$G$173</definedName>
    <definedName name="Àrea">Llistes!$N$5:$N$37</definedName>
    <definedName name="_xlnm.Print_Area" localSheetId="2">'Dominis de dades'!$B$5:$E$38</definedName>
    <definedName name="_xlnm.Print_Area" localSheetId="1">Sistemes!$A$5:$K$12</definedName>
    <definedName name="ArquitecturaCloud">Llistes!$F$2:$F$7</definedName>
    <definedName name="Atributs">#REF!</definedName>
    <definedName name="Cadencia">Llistes!$AC$2:$AC$10</definedName>
    <definedName name="Catàleg_de_protecció_del_patrimoni_arquitectònic_i_paisatgístic">'Conjunts de dades'!$B$119</definedName>
    <definedName name="CategoriaConjuntDades">Llistes!$AO$2:$AO$7</definedName>
    <definedName name="Confidencialitat">Llistes!$BG$2:$BG$5</definedName>
    <definedName name="ConjuntsDades">'Conjunts de dades'!$B$9:$B$112</definedName>
    <definedName name="Criticitat">Llistes!$L$2:$L$6</definedName>
    <definedName name="DadesObertes">Llistes!$AM$2:$AM$8</definedName>
    <definedName name="Dominis">'Dominis de dades'!$B$9:$B$62</definedName>
    <definedName name="Dominis_a_Atributs">#REF!</definedName>
    <definedName name="Dominis_a_ConjuntsDades">'Conjunts de dades'!$D$9:$D$112</definedName>
    <definedName name="Dominis_a_Entitats">#REF!</definedName>
    <definedName name="DominisDades">'Dominis de dades'!$B$9:$E$62</definedName>
    <definedName name="Entitats">#REF!</definedName>
    <definedName name="Entitats_a_Atributs">#REF!</definedName>
    <definedName name="EntitatsGlobals">Llistes!$AS$2:$AS$38</definedName>
    <definedName name="EstatSistemes">Llistes!$H$2:$H$12</definedName>
    <definedName name="Format">Llistes!$BI$2:$BI$12</definedName>
    <definedName name="Impacte" localSheetId="1">[1]Llistes!$K$3:$K$5</definedName>
    <definedName name="Impacte">[2]Llistes!$K$3:$K$5</definedName>
    <definedName name="LlistaDominisDades">Llistes!$N$2:$N$37</definedName>
    <definedName name="NivellAccés">Llistes!$AE$2:$AE$10</definedName>
    <definedName name="Nom_Conjunt_de_dades">'Conjunts de dades'!$B$8:$B$119</definedName>
    <definedName name="Origens">Llistes!$AK$2:$AK$9</definedName>
    <definedName name="Orígens">Llistes!$AK$2:$AK$7</definedName>
    <definedName name="Persistencia">Llistes!$AG$2:$AG$12</definedName>
    <definedName name="Prioritats">Llistes!$BQ$2:$BQ$6</definedName>
    <definedName name="Rel_ConjuntsDades_Entitats" localSheetId="4">'Rel.Conjunts-Sistemes'!$B$9:$B$66</definedName>
    <definedName name="Rel_ConjuntsDades_Entitats">#REF!</definedName>
    <definedName name="Rel_Entitats_ConjuntsDades" localSheetId="4">'Rel.Conjunts-Sistemes'!$D$9:$D$66</definedName>
    <definedName name="Rel_Entitats_ConjuntsDades">#REF!</definedName>
    <definedName name="Rel_Sistemes_Conjunts">'Rel.Conjunts-Sistemes'!$D$9:$D$66</definedName>
    <definedName name="RelacióGlosari">Llistes!$BE$2:$BE$8</definedName>
    <definedName name="RelacionsConjuntsDades" localSheetId="4">'Rel.Conjunts-Sistemes'!$B$9:$B$66</definedName>
    <definedName name="RelacionsConjuntsDades">#REF!</definedName>
    <definedName name="Retenció">Llistes!$AI$3:$AI$12</definedName>
    <definedName name="Reutilitzacio">Llistes!$BO$2:$BO$8</definedName>
    <definedName name="Riscos">#REF!</definedName>
    <definedName name="Seguretat">Llistes!$BK$2:$BK$7</definedName>
    <definedName name="SensibilitatDades">Llistes!$J$2:$J$8</definedName>
    <definedName name="SiNo">Llistes!$BV$2:$BV$3</definedName>
    <definedName name="SiNoParcialment">Llistes!$BV$2:$BV$4</definedName>
    <definedName name="Sistemes">Sistemes!$B$9:$B$67</definedName>
    <definedName name="Sistemes_a_Entitats">#REF!</definedName>
    <definedName name="TipusAtributs">Llistes!$AY$2:$AY$15</definedName>
    <definedName name="TipusConjunt">Llistes!$V$2:$V$7</definedName>
    <definedName name="TipusInformació">Llistes!$X$2:$X$12</definedName>
    <definedName name="TipusRelEntitats">Llistes!$BC$2:$BC$7</definedName>
    <definedName name="TipusServei">Llistes!$D$2:$D$7</definedName>
    <definedName name="_xlnm.Print_Titles" localSheetId="2">'Dominis de dades'!$5:$8</definedName>
    <definedName name="_xlnm.Print_Titles" localSheetId="1">Sistemes!$5:$8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P15" i="6" l="1"/>
  <c r="AP16" i="6"/>
  <c r="AP17" i="6"/>
  <c r="AP18" i="6"/>
  <c r="AP19" i="6"/>
  <c r="AP20" i="6"/>
  <c r="AP21" i="6"/>
  <c r="AP22" i="6"/>
  <c r="AP23" i="6"/>
  <c r="AP24" i="6"/>
  <c r="AP25" i="6"/>
  <c r="AP26" i="6"/>
  <c r="AP27" i="6"/>
  <c r="AP28" i="6"/>
  <c r="AP29" i="6"/>
  <c r="AP30" i="6"/>
  <c r="AP31" i="6"/>
  <c r="AP32" i="6"/>
  <c r="AP33" i="6"/>
  <c r="AP34" i="6"/>
  <c r="AP35" i="6"/>
  <c r="AP36" i="6"/>
  <c r="AP37" i="6"/>
  <c r="AP38" i="6"/>
  <c r="AP39" i="6"/>
  <c r="AP40" i="6"/>
  <c r="AP41" i="6"/>
  <c r="AP42" i="6"/>
  <c r="AP43" i="6"/>
  <c r="AP44" i="6"/>
  <c r="AP45" i="6"/>
  <c r="AP46" i="6"/>
  <c r="AP47" i="6"/>
  <c r="AP48" i="6"/>
  <c r="AP49" i="6"/>
  <c r="AP50" i="6"/>
  <c r="AP51" i="6"/>
  <c r="AP52" i="6"/>
  <c r="AP53" i="6"/>
  <c r="AP54" i="6"/>
  <c r="AP55" i="6"/>
  <c r="AP56" i="6"/>
  <c r="AP57" i="6"/>
  <c r="AP58" i="6"/>
  <c r="AP59" i="6"/>
  <c r="AP60" i="6"/>
  <c r="AP61" i="6"/>
  <c r="AP62" i="6"/>
  <c r="AP63" i="6"/>
  <c r="AP64" i="6"/>
  <c r="AP65" i="6"/>
  <c r="AP66" i="6"/>
  <c r="AP67" i="6"/>
  <c r="AP68" i="6"/>
  <c r="AP69" i="6"/>
  <c r="AP70" i="6"/>
  <c r="AP71" i="6"/>
  <c r="AP72" i="6"/>
  <c r="AP73" i="6"/>
  <c r="AP74" i="6"/>
  <c r="AP75" i="6"/>
  <c r="AP76" i="6"/>
  <c r="AP77" i="6"/>
  <c r="AP78" i="6"/>
  <c r="AP79" i="6"/>
  <c r="AP80" i="6"/>
  <c r="AP81" i="6"/>
  <c r="AP82" i="6"/>
  <c r="AP83" i="6"/>
  <c r="AP84" i="6"/>
  <c r="AP85" i="6"/>
  <c r="AP86" i="6"/>
  <c r="AP87" i="6"/>
  <c r="AP88" i="6"/>
  <c r="AP89" i="6"/>
  <c r="AP90" i="6"/>
  <c r="AP91" i="6"/>
  <c r="AP92" i="6"/>
  <c r="AP93" i="6"/>
  <c r="AP94" i="6"/>
  <c r="AP95" i="6"/>
  <c r="AP96" i="6"/>
  <c r="AP97" i="6"/>
  <c r="AP98" i="6"/>
  <c r="AP99" i="6"/>
  <c r="AP100" i="6"/>
  <c r="AP101" i="6"/>
  <c r="AP102" i="6"/>
  <c r="AP103" i="6"/>
  <c r="AP104" i="6"/>
  <c r="AP105" i="6"/>
  <c r="AP106" i="6"/>
  <c r="AP107" i="6"/>
  <c r="AP108" i="6"/>
  <c r="AP109" i="6"/>
  <c r="AP110" i="6"/>
  <c r="AP111" i="6"/>
  <c r="AP112" i="6"/>
  <c r="AP11" i="6"/>
  <c r="AP12" i="6"/>
  <c r="AP13" i="6"/>
  <c r="AP14" i="6"/>
  <c r="AP9" i="6"/>
  <c r="AP10" i="6"/>
  <c r="AR104" i="6"/>
  <c r="AR102" i="6"/>
  <c r="AR94" i="6"/>
  <c r="AR76" i="6"/>
  <c r="AR77" i="6"/>
  <c r="AR64" i="6"/>
  <c r="AR53" i="6"/>
  <c r="AR54" i="6"/>
  <c r="AR50" i="6"/>
  <c r="AR51" i="6"/>
  <c r="AR30" i="6"/>
  <c r="AR105" i="6"/>
  <c r="AR106" i="6"/>
  <c r="AR107" i="6"/>
  <c r="AR108" i="6"/>
  <c r="AR109" i="6"/>
  <c r="AR110" i="6"/>
  <c r="AR111" i="6"/>
  <c r="B6" i="6"/>
  <c r="AR103" i="6" l="1"/>
  <c r="AR101" i="6"/>
  <c r="AR100" i="6"/>
  <c r="AR99" i="6"/>
  <c r="AR98" i="6"/>
  <c r="AR97" i="6"/>
  <c r="AR96" i="6"/>
  <c r="AR95" i="6"/>
  <c r="AR93" i="6"/>
  <c r="AR92" i="6"/>
  <c r="AR75" i="6"/>
  <c r="AR74" i="6"/>
  <c r="AR73" i="6"/>
  <c r="AR72" i="6"/>
  <c r="AR71" i="6"/>
  <c r="AR70" i="6"/>
  <c r="AR81" i="6"/>
  <c r="AR80" i="6"/>
  <c r="AR79" i="6"/>
  <c r="AR78" i="6"/>
  <c r="AR11" i="6"/>
  <c r="AR83" i="6"/>
  <c r="AR82" i="6"/>
  <c r="AR69" i="6"/>
  <c r="AR68" i="6"/>
  <c r="AR67" i="6"/>
  <c r="AR66" i="6"/>
  <c r="AR87" i="6"/>
  <c r="AR86" i="6"/>
  <c r="AR85" i="6"/>
  <c r="AR84" i="6"/>
  <c r="AR89" i="6"/>
  <c r="AR88" i="6"/>
  <c r="AR91" i="6"/>
  <c r="AR60" i="6"/>
  <c r="AR59" i="6"/>
  <c r="AR58" i="6"/>
  <c r="AR57" i="6"/>
  <c r="AR56" i="6"/>
  <c r="AR55" i="6"/>
  <c r="AR90" i="6"/>
  <c r="AR65" i="6"/>
  <c r="AR63" i="6"/>
  <c r="AR62" i="6"/>
  <c r="AR61" i="6"/>
  <c r="B2" i="17" a="1"/>
  <c r="B2" i="17" s="1"/>
  <c r="AS3" i="17" a="1"/>
  <c r="AS3" i="17" s="1"/>
  <c r="F13" i="16" l="1"/>
  <c r="G13" i="16"/>
  <c r="F14" i="16"/>
  <c r="G14" i="16"/>
  <c r="F15" i="16"/>
  <c r="G15" i="16"/>
  <c r="F16" i="16"/>
  <c r="G16" i="16"/>
  <c r="F17" i="16"/>
  <c r="G17" i="16"/>
  <c r="F18" i="16"/>
  <c r="G18" i="16"/>
  <c r="F19" i="16"/>
  <c r="G19" i="16"/>
  <c r="F20" i="16"/>
  <c r="G20" i="16"/>
  <c r="F21" i="16"/>
  <c r="G21" i="16"/>
  <c r="F22" i="16"/>
  <c r="G22" i="16"/>
  <c r="F23" i="16"/>
  <c r="G23" i="16"/>
  <c r="F24" i="16"/>
  <c r="G24" i="16"/>
  <c r="F25" i="16"/>
  <c r="G25" i="16"/>
  <c r="F26" i="16"/>
  <c r="G26" i="16"/>
  <c r="F27" i="16"/>
  <c r="G27" i="16"/>
  <c r="F28" i="16"/>
  <c r="G28" i="16"/>
  <c r="F29" i="16"/>
  <c r="G29" i="16"/>
  <c r="F30" i="16"/>
  <c r="G30" i="16"/>
  <c r="F31" i="16"/>
  <c r="G31" i="16"/>
  <c r="F32" i="16"/>
  <c r="G32" i="16"/>
  <c r="F33" i="16"/>
  <c r="G33" i="16"/>
  <c r="F34" i="16"/>
  <c r="G34" i="16"/>
  <c r="F35" i="16"/>
  <c r="G35" i="16"/>
  <c r="F36" i="16"/>
  <c r="G36" i="16"/>
  <c r="F37" i="16"/>
  <c r="G37" i="16"/>
  <c r="F38" i="16"/>
  <c r="G38" i="16"/>
  <c r="F39" i="16"/>
  <c r="G39" i="16"/>
  <c r="F40" i="16"/>
  <c r="G40" i="16"/>
  <c r="F41" i="16"/>
  <c r="G41" i="16"/>
  <c r="F42" i="16"/>
  <c r="G42" i="16"/>
  <c r="F43" i="16"/>
  <c r="G43" i="16"/>
  <c r="F44" i="16"/>
  <c r="G44" i="16"/>
  <c r="F45" i="16"/>
  <c r="G45" i="16"/>
  <c r="F46" i="16"/>
  <c r="G46" i="16"/>
  <c r="F47" i="16"/>
  <c r="G47" i="16"/>
  <c r="F48" i="16"/>
  <c r="G48" i="16"/>
  <c r="F49" i="16"/>
  <c r="G49" i="16"/>
  <c r="F50" i="16"/>
  <c r="G50" i="16"/>
  <c r="F51" i="16"/>
  <c r="G51" i="16"/>
  <c r="F52" i="16"/>
  <c r="G52" i="16"/>
  <c r="F53" i="16"/>
  <c r="G53" i="16"/>
  <c r="F54" i="16"/>
  <c r="G54" i="16"/>
  <c r="F55" i="16"/>
  <c r="G55" i="16"/>
  <c r="F56" i="16"/>
  <c r="G56" i="16"/>
  <c r="F57" i="16"/>
  <c r="G57" i="16"/>
  <c r="F58" i="16"/>
  <c r="G58" i="16"/>
  <c r="F59" i="16"/>
  <c r="G59" i="16"/>
  <c r="F60" i="16"/>
  <c r="G60" i="16"/>
  <c r="F61" i="16"/>
  <c r="G61" i="16"/>
  <c r="F62" i="16"/>
  <c r="G62" i="16"/>
  <c r="F63" i="16"/>
  <c r="G63" i="16"/>
  <c r="F64" i="16"/>
  <c r="G64" i="16"/>
  <c r="F65" i="16"/>
  <c r="G65" i="16"/>
  <c r="F66" i="16"/>
  <c r="G66" i="16"/>
  <c r="G10" i="16"/>
  <c r="G11" i="16"/>
  <c r="G12" i="16"/>
  <c r="G9" i="16"/>
  <c r="F10" i="16"/>
  <c r="F11" i="16"/>
  <c r="F12" i="16"/>
  <c r="F9" i="16"/>
  <c r="F44" i="9"/>
  <c r="F45" i="9"/>
  <c r="F46" i="9"/>
  <c r="F47" i="9"/>
  <c r="F48" i="9"/>
  <c r="F49" i="9"/>
  <c r="F50" i="9"/>
  <c r="F51" i="9"/>
  <c r="F52" i="9"/>
  <c r="F53" i="9"/>
  <c r="F54" i="9"/>
  <c r="F55" i="9"/>
  <c r="F56" i="9"/>
  <c r="F57" i="9"/>
  <c r="F58" i="9"/>
  <c r="F59" i="9"/>
  <c r="F60" i="9"/>
  <c r="F61" i="9"/>
  <c r="F62" i="9"/>
  <c r="AR10" i="6"/>
  <c r="AR12" i="6"/>
  <c r="AR13" i="6"/>
  <c r="AR14" i="6"/>
  <c r="AR15" i="6"/>
  <c r="AR16" i="6"/>
  <c r="AR17" i="6"/>
  <c r="AR18" i="6"/>
  <c r="AR19" i="6"/>
  <c r="AR20" i="6"/>
  <c r="AR21" i="6"/>
  <c r="AR22" i="6"/>
  <c r="AR23" i="6"/>
  <c r="AR24" i="6"/>
  <c r="AR25" i="6"/>
  <c r="AR26" i="6"/>
  <c r="AR27" i="6"/>
  <c r="AR28" i="6"/>
  <c r="AR29" i="6"/>
  <c r="AR31" i="6"/>
  <c r="AR32" i="6"/>
  <c r="AR33" i="6"/>
  <c r="AR34" i="6"/>
  <c r="AR35" i="6"/>
  <c r="AR36" i="6"/>
  <c r="AR37" i="6"/>
  <c r="AR38" i="6"/>
  <c r="AR39" i="6"/>
  <c r="AR40" i="6"/>
  <c r="AR41" i="6"/>
  <c r="AR42" i="6"/>
  <c r="AR43" i="6"/>
  <c r="AR44" i="6"/>
  <c r="AR45" i="6"/>
  <c r="AR46" i="6"/>
  <c r="AR47" i="6"/>
  <c r="AR48" i="6"/>
  <c r="AR49" i="6"/>
  <c r="AR52" i="6"/>
  <c r="AR112" i="6"/>
  <c r="AR9" i="6"/>
  <c r="O10" i="11"/>
  <c r="O11" i="11"/>
  <c r="O12" i="11"/>
  <c r="O13" i="11"/>
  <c r="O14" i="11"/>
  <c r="O15" i="11"/>
  <c r="O16" i="11"/>
  <c r="O17" i="11"/>
  <c r="O18" i="11"/>
  <c r="O19" i="11"/>
  <c r="O20" i="11"/>
  <c r="O21" i="11"/>
  <c r="O22" i="11"/>
  <c r="O23" i="11"/>
  <c r="O24" i="11"/>
  <c r="O25" i="11"/>
  <c r="O26" i="11"/>
  <c r="O27" i="11"/>
  <c r="O28" i="11"/>
  <c r="O29" i="11"/>
  <c r="O30" i="11"/>
  <c r="O31" i="11"/>
  <c r="O32" i="11"/>
  <c r="O33" i="11"/>
  <c r="O34" i="11"/>
  <c r="O35" i="11"/>
  <c r="O36" i="11"/>
  <c r="O37" i="11"/>
  <c r="O38" i="11"/>
  <c r="O39" i="11"/>
  <c r="O40" i="11"/>
  <c r="O41" i="11"/>
  <c r="O42" i="11"/>
  <c r="O43" i="11"/>
  <c r="O44" i="11"/>
  <c r="O45" i="11"/>
  <c r="O46" i="11"/>
  <c r="O47" i="11"/>
  <c r="O48" i="11"/>
  <c r="O49" i="11"/>
  <c r="O50" i="11"/>
  <c r="O51" i="11"/>
  <c r="O52" i="11"/>
  <c r="O53" i="11"/>
  <c r="O54" i="11"/>
  <c r="O55" i="11"/>
  <c r="O56" i="11"/>
  <c r="O57" i="11"/>
  <c r="O58" i="11"/>
  <c r="O59" i="11"/>
  <c r="O60" i="11"/>
  <c r="O61" i="11"/>
  <c r="O62" i="11"/>
  <c r="O63" i="11"/>
  <c r="O64" i="11"/>
  <c r="O65" i="11"/>
  <c r="O66" i="11"/>
  <c r="O67" i="11"/>
  <c r="O9" i="11"/>
  <c r="E10" i="10" a="1"/>
  <c r="E10" i="10" s="1"/>
  <c r="F10" i="10" s="1"/>
  <c r="E29" i="10"/>
  <c r="B7" i="11"/>
  <c r="C7" i="11" s="1"/>
  <c r="N7" i="11" l="1"/>
  <c r="J7" i="11"/>
  <c r="F7" i="11"/>
  <c r="L7" i="11"/>
  <c r="I7" i="11"/>
  <c r="H7" i="11"/>
  <c r="K7" i="11"/>
  <c r="M7" i="11"/>
  <c r="G7" i="11"/>
  <c r="E7" i="11"/>
  <c r="D7" i="11"/>
  <c r="E36" i="10"/>
  <c r="E15" i="10"/>
  <c r="E21" i="10"/>
  <c r="E8" i="10"/>
  <c r="AE6" i="6" l="1" a="1"/>
  <c r="AE6" i="6" s="1"/>
  <c r="AF6" i="6" a="1"/>
  <c r="AF6" i="6" s="1"/>
  <c r="AJ6" i="6" a="1"/>
  <c r="AJ6" i="6" s="1"/>
  <c r="AG6" i="6" a="1"/>
  <c r="AG6" i="6" s="1"/>
  <c r="AH6" i="6" a="1"/>
  <c r="AH6" i="6" s="1"/>
  <c r="AI6" i="6" a="1"/>
  <c r="AI6" i="6" s="1"/>
  <c r="AK6" i="6" a="1"/>
  <c r="AK6" i="6" s="1"/>
  <c r="AL6" i="6" a="1"/>
  <c r="AL6" i="6" s="1"/>
  <c r="AN6" i="6" a="1"/>
  <c r="AN6" i="6" s="1"/>
  <c r="AC6" i="6" a="1"/>
  <c r="AC6" i="6" s="1"/>
  <c r="AD6" i="6" a="1"/>
  <c r="AD6" i="6" s="1"/>
  <c r="AM6" i="6" a="1"/>
  <c r="AM6" i="6" s="1"/>
  <c r="AO6" i="6" a="1"/>
  <c r="AO6" i="6" s="1"/>
  <c r="P6" i="6" a="1"/>
  <c r="P6" i="6" s="1"/>
  <c r="R6" i="6" a="1"/>
  <c r="R6" i="6" s="1"/>
  <c r="T6" i="6" a="1"/>
  <c r="T6" i="6" s="1"/>
  <c r="Q6" i="6" a="1"/>
  <c r="Q6" i="6" s="1"/>
  <c r="S6" i="6" a="1"/>
  <c r="S6" i="6" s="1"/>
  <c r="K6" i="6" a="1"/>
  <c r="K6" i="6" s="1"/>
  <c r="L6" i="6" a="1"/>
  <c r="L6" i="6" s="1"/>
  <c r="I6" i="6" a="1"/>
  <c r="I6" i="6" s="1"/>
  <c r="M6" i="6" a="1"/>
  <c r="M6" i="6" s="1"/>
  <c r="N6" i="6" a="1"/>
  <c r="N6" i="6" s="1"/>
  <c r="J6" i="6" a="1"/>
  <c r="J6" i="6" s="1"/>
  <c r="U6" i="6" a="1"/>
  <c r="U6" i="6" s="1"/>
  <c r="AA6" i="6" a="1"/>
  <c r="AA6" i="6" s="1"/>
  <c r="W6" i="6" a="1"/>
  <c r="W6" i="6" s="1"/>
  <c r="F6" i="6" a="1"/>
  <c r="F6" i="6" s="1"/>
  <c r="AB6" i="6" a="1"/>
  <c r="AB6" i="6" s="1"/>
  <c r="Y6" i="6" a="1"/>
  <c r="Y6" i="6" s="1"/>
  <c r="V6" i="6" a="1"/>
  <c r="V6" i="6" s="1"/>
  <c r="Z6" i="6" a="1"/>
  <c r="Z6" i="6" s="1"/>
  <c r="X6" i="6" a="1"/>
  <c r="X6" i="6" s="1"/>
  <c r="G6" i="6" a="1"/>
  <c r="G6" i="6" s="1"/>
  <c r="H6" i="6" a="1"/>
  <c r="H6" i="6" s="1"/>
  <c r="D6" i="6" a="1"/>
  <c r="D6" i="6" s="1"/>
  <c r="O6" i="6" a="1"/>
  <c r="O6" i="6" s="1"/>
  <c r="F15" i="10"/>
  <c r="E28" i="10"/>
  <c r="E30" i="10" s="1"/>
  <c r="F16" i="9" l="1"/>
  <c r="F28" i="9"/>
  <c r="F40" i="9"/>
  <c r="F17" i="9"/>
  <c r="F29" i="9"/>
  <c r="F41" i="9"/>
  <c r="F18" i="9"/>
  <c r="F30" i="9"/>
  <c r="F42" i="9"/>
  <c r="F20" i="9"/>
  <c r="F32" i="9"/>
  <c r="F25" i="9"/>
  <c r="F14" i="9"/>
  <c r="F8" i="9"/>
  <c r="F27" i="9"/>
  <c r="F19" i="9"/>
  <c r="F31" i="9"/>
  <c r="F39" i="9"/>
  <c r="F13" i="9"/>
  <c r="F15" i="9"/>
  <c r="F9" i="9"/>
  <c r="F21" i="9"/>
  <c r="F33" i="9"/>
  <c r="F10" i="9"/>
  <c r="F34" i="9"/>
  <c r="F22" i="9"/>
  <c r="F37" i="9"/>
  <c r="F26" i="9"/>
  <c r="F11" i="9"/>
  <c r="F23" i="9"/>
  <c r="F35" i="9"/>
  <c r="F38" i="9"/>
  <c r="F12" i="9"/>
  <c r="F24" i="9"/>
  <c r="F36" i="9"/>
  <c r="F30" i="10"/>
  <c r="F12" i="10"/>
  <c r="E12" i="10"/>
  <c r="E31" i="10"/>
  <c r="B6" i="9"/>
  <c r="E38" i="10" a="1"/>
  <c r="E38" i="10" s="1"/>
  <c r="F38" i="10" s="1"/>
  <c r="E35" i="10"/>
  <c r="F36" i="10" s="1"/>
  <c r="E43" i="10"/>
  <c r="E23" i="10"/>
  <c r="E19" i="10"/>
  <c r="E22" i="10" s="1"/>
  <c r="AS112" i="6" l="1"/>
  <c r="AS94" i="6"/>
  <c r="AS50" i="6"/>
  <c r="AS108" i="6"/>
  <c r="AS76" i="6"/>
  <c r="AS51" i="6"/>
  <c r="AS109" i="6"/>
  <c r="AS77" i="6"/>
  <c r="AS30" i="6"/>
  <c r="AS110" i="6"/>
  <c r="AS64" i="6"/>
  <c r="AS105" i="6"/>
  <c r="AS111" i="6"/>
  <c r="AS104" i="6"/>
  <c r="AS53" i="6"/>
  <c r="AS106" i="6"/>
  <c r="AS54" i="6"/>
  <c r="AS107" i="6"/>
  <c r="AS102" i="6"/>
  <c r="AS101" i="6"/>
  <c r="AS97" i="6"/>
  <c r="AS93" i="6"/>
  <c r="AS73" i="6"/>
  <c r="AS81" i="6"/>
  <c r="AS96" i="6"/>
  <c r="AS72" i="6"/>
  <c r="AS89" i="6"/>
  <c r="AS62" i="6"/>
  <c r="AS66" i="6"/>
  <c r="AS84" i="6"/>
  <c r="AS60" i="6"/>
  <c r="AS56" i="6"/>
  <c r="AS63" i="6"/>
  <c r="AS100" i="6"/>
  <c r="AS80" i="6"/>
  <c r="AS87" i="6"/>
  <c r="AS55" i="6"/>
  <c r="AS86" i="6"/>
  <c r="AS70" i="6"/>
  <c r="AS67" i="6"/>
  <c r="AS85" i="6"/>
  <c r="AS91" i="6"/>
  <c r="AS57" i="6"/>
  <c r="AS65" i="6"/>
  <c r="AS82" i="6"/>
  <c r="AS88" i="6"/>
  <c r="AS90" i="6"/>
  <c r="AS98" i="6"/>
  <c r="AS92" i="6"/>
  <c r="AS83" i="6"/>
  <c r="AS69" i="6"/>
  <c r="AS59" i="6"/>
  <c r="AS103" i="6"/>
  <c r="AS99" i="6"/>
  <c r="AS95" i="6"/>
  <c r="AS75" i="6"/>
  <c r="AS71" i="6"/>
  <c r="AS79" i="6"/>
  <c r="AS68" i="6"/>
  <c r="AS58" i="6"/>
  <c r="AS61" i="6"/>
  <c r="AS74" i="6"/>
  <c r="AS78" i="6"/>
  <c r="AS52" i="6"/>
  <c r="AS49" i="6"/>
  <c r="AS10" i="6"/>
  <c r="AS16" i="6"/>
  <c r="AS22" i="6"/>
  <c r="AS28" i="6"/>
  <c r="AS34" i="6"/>
  <c r="AS40" i="6"/>
  <c r="AS46" i="6"/>
  <c r="AS11" i="6"/>
  <c r="AS17" i="6"/>
  <c r="AS23" i="6"/>
  <c r="AS29" i="6"/>
  <c r="AS35" i="6"/>
  <c r="AS41" i="6"/>
  <c r="AS47" i="6"/>
  <c r="AS12" i="6"/>
  <c r="AS18" i="6"/>
  <c r="AS24" i="6"/>
  <c r="AS36" i="6"/>
  <c r="AS42" i="6"/>
  <c r="AS48" i="6"/>
  <c r="AS33" i="6"/>
  <c r="AS27" i="6"/>
  <c r="AS39" i="6"/>
  <c r="AS9" i="6"/>
  <c r="AS13" i="6"/>
  <c r="AS25" i="6"/>
  <c r="AS31" i="6"/>
  <c r="AS43" i="6"/>
  <c r="AS19" i="6"/>
  <c r="AS37" i="6"/>
  <c r="D6" i="9"/>
  <c r="AS21" i="6"/>
  <c r="AS15" i="6"/>
  <c r="AS45" i="6"/>
  <c r="AS14" i="6"/>
  <c r="AS20" i="6"/>
  <c r="AS26" i="6"/>
  <c r="AS32" i="6"/>
  <c r="AS38" i="6"/>
  <c r="AS44" i="6"/>
  <c r="F22" i="10"/>
  <c r="E11" i="10"/>
  <c r="F11" i="10"/>
  <c r="E6" i="9"/>
  <c r="C6" i="9"/>
  <c r="F23" i="10"/>
  <c r="E20" i="10" l="1"/>
  <c r="E37" i="10"/>
  <c r="F37" i="10" s="1"/>
  <c r="E44" i="10" a="1"/>
  <c r="E44" i="10" s="1"/>
  <c r="F44" i="10" s="1"/>
  <c r="E24" i="10"/>
  <c r="F24" i="10" s="1"/>
  <c r="E45" i="10" l="1"/>
  <c r="C6" i="6" l="1" a="1"/>
  <c r="C6" i="6" s="1"/>
  <c r="E39" i="10" s="1"/>
  <c r="E9" i="10"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MENDEZ ARCE Alberto</author>
  </authors>
  <commentList>
    <comment ref="D8" authorId="0" shapeId="0" xr:uid="{772DC8C1-480D-4808-BDBA-6EA6DA0C9A3B}">
      <text>
        <r>
          <rPr>
            <sz val="9"/>
            <color indexed="81"/>
            <rFont val="Tahoma"/>
            <family val="2"/>
          </rPr>
          <t xml:space="preserve">Base de dades, llenguatges, frameworks, servidor, etc.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tc={EE77B44E-C4A0-415D-B945-60E29AA0F72F}</author>
  </authors>
  <commentList>
    <comment ref="B8" authorId="0" shapeId="0" xr:uid="{EE77B44E-C4A0-415D-B945-60E29AA0F72F}">
      <text>
        <t>[Comentari en fils]
La vostra versió de l'Excel us permet llegir aquest comentari en fils. No obstant això, les edicions que s'hi apliquin se suprimiran si el fitxer s'obre en una versió més recent de l'Excel. Més informació: https://go.microsoft.com/fwlink/?linkid=870924.
Comentari:
    D'on surten aquests conjunts? Dels catàleg s de Tarragona? Mataro? 
Resposta:
    Crec que el conjunt de dades ha d'incorporar el contingut del conjunt de forma concreta
Resposta:
    Crec que és important saber perquè l'incorporem. En quin inventari dels que hem analitzat s'ha proposat. En el de Tarragona? En el de Mataro?</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<sst xmlns="http://schemas.openxmlformats.org/spreadsheetml/2006/main" count="1642" uniqueCount="971">
  <si>
    <t>Instruccions</t>
  </si>
  <si>
    <t>Sistemes de dades</t>
  </si>
  <si>
    <t>Sistema de dades</t>
  </si>
  <si>
    <t>Descripció</t>
  </si>
  <si>
    <t>Tecnologies principals</t>
  </si>
  <si>
    <t>Tipus de servei</t>
  </si>
  <si>
    <t>Arquitectura cloud</t>
  </si>
  <si>
    <t>Domini de dades principal</t>
  </si>
  <si>
    <t>Estat Sistema</t>
  </si>
  <si>
    <t>Data revisió estat</t>
  </si>
  <si>
    <t>És extern?</t>
  </si>
  <si>
    <t>Administrador del sistema (nom)</t>
  </si>
  <si>
    <t>Administrador del sistema (rol)</t>
  </si>
  <si>
    <t>Sensibilitat de les dades</t>
  </si>
  <si>
    <t>Criticitat</t>
  </si>
  <si>
    <t>Riscos</t>
  </si>
  <si>
    <t>Integracions</t>
  </si>
  <si>
    <t>Model d’autenticació</t>
  </si>
  <si>
    <t>SaaS (software com a servei)</t>
  </si>
  <si>
    <t>En producció</t>
  </si>
  <si>
    <t>Alta (dades personals / bancàries)</t>
  </si>
  <si>
    <t>Mitjana</t>
  </si>
  <si>
    <t>On-premise</t>
  </si>
  <si>
    <t>No</t>
  </si>
  <si>
    <t>Alta</t>
  </si>
  <si>
    <t>PaaS (plataforma com a servei)</t>
  </si>
  <si>
    <t>Alta (dades personals)</t>
  </si>
  <si>
    <t>Baixa</t>
  </si>
  <si>
    <t>IaaS (infraestructura com a servei)</t>
  </si>
  <si>
    <t>ERP</t>
  </si>
  <si>
    <t>Alta (dades especials)</t>
  </si>
  <si>
    <t>Pendent d'actualització</t>
  </si>
  <si>
    <t>Substitució planificada</t>
  </si>
  <si>
    <t>Padró municipal d’habitants</t>
  </si>
  <si>
    <t>ERET Enquesta retributiva per a ús municipal</t>
  </si>
  <si>
    <t>Cultura</t>
  </si>
  <si>
    <t>SeTDIBA Registre i tramitació d’expedients als ajuntaments.</t>
  </si>
  <si>
    <t>SeTDIBA-SECRETARIA Aplicació per gestionar els òrgans col·legiats</t>
  </si>
  <si>
    <t>EPSILON Gestió de nòmines municipals</t>
  </si>
  <si>
    <t>GIA Expedients d’activitats econòmiques</t>
  </si>
  <si>
    <t>PCOM Gestió dels plans de protecció civil municipal</t>
  </si>
  <si>
    <t>IMAGINA Repositori imatges arxius municipals</t>
  </si>
  <si>
    <t>XALOC Serveis locals d’ocupació</t>
  </si>
  <si>
    <t>SICALWIN Comptabilitat per als ajuntaments</t>
  </si>
  <si>
    <t>ACCEDE-SUB Subvencions</t>
  </si>
  <si>
    <t>GPA Gestió patrimonial</t>
  </si>
  <si>
    <t>DS-DIBA Valoració de diagnosi social</t>
  </si>
  <si>
    <t>TASSAD Càlcul copagament SSAD i teleassistència</t>
  </si>
  <si>
    <t>HÈSTIA Expedients atenció primària serveis socials</t>
  </si>
  <si>
    <t>SIAPE Auditories pobresa energètica</t>
  </si>
  <si>
    <t>Dominis de dades</t>
  </si>
  <si>
    <t>Un domini de dades és una classificació lògica que agrupa dades relacionades per un significat, tema o propòsit comú, independentment de l’aplicació</t>
  </si>
  <si>
    <t>Domini de dades</t>
  </si>
  <si>
    <t>Àrea propietària</t>
  </si>
  <si>
    <t>Tipus d'informació</t>
  </si>
  <si>
    <t>Activitat administrativa</t>
  </si>
  <si>
    <t>Registra l'entrada i sortida de documents, els expedients interns, les notificacions i el seguiment de tràmits municipals. Inclou calendaris d'actes, terminis i evidències per garantir traçabilitat i bon funcionament diari.</t>
  </si>
  <si>
    <t>Secretaria General</t>
  </si>
  <si>
    <t>Altres</t>
  </si>
  <si>
    <t>Aigua i sanejament</t>
  </si>
  <si>
    <t>Inclou dades d'abonats, comptadors, lectures, incidències de xarxa i actuacions de manteniment. Serveix per planificar reparacions, controlar el consum i coordinar les empreses concessionàries amb el servei municipal.</t>
  </si>
  <si>
    <t>Serveis Urbans</t>
  </si>
  <si>
    <t>Dades de servei/operacionals</t>
  </si>
  <si>
    <t>Atenció ciutadana</t>
  </si>
  <si>
    <t>Recull sol·licituds, queixes, consultes i cites prèvies dels veïns, amb el seu estat i resposta. Permet mesurar temps d'atenció, derivacions entre àrees i qualitat del servei a l'Oficina d'Atenció.</t>
  </si>
  <si>
    <t>Atenció Ciutadana</t>
  </si>
  <si>
    <t>Dades personals</t>
  </si>
  <si>
    <t>Bon govern, transparència i participació</t>
  </si>
  <si>
    <t>Agrupa informació publicada i de seguiment: agenda institucional, acords de govern, indicadors, consultes i processos participatius. Facilita rendició de comptes, accés públic a la informació i registre de propostes veïnals.</t>
  </si>
  <si>
    <t>Alcaldia i Govern Obert</t>
  </si>
  <si>
    <t>Dades públiques</t>
  </si>
  <si>
    <t>Cementiri i serveis funeraris</t>
  </si>
  <si>
    <t>Inclou concessions de nínxols, inhumacions, exhumacions, registre de difunts, quotes i manteniment del recinte. Dona suport a l'atenció a famílies i a la gestió administrativa i econòmica del cementiri.</t>
  </si>
  <si>
    <t>Serveis Funeraris</t>
  </si>
  <si>
    <t>Reuneix registres d'accessos, alertes, inventari de riscos, incidències de seguretat i controls aplicats. Serveix per detectar atacs, auditar canvis i garantir que els sistemes municipals compleixen les polítiques internes.</t>
  </si>
  <si>
    <t>TIC i Seguretat</t>
  </si>
  <si>
    <t>Dades sensibles</t>
  </si>
  <si>
    <t>Contractació, convenis i subvencions</t>
  </si>
  <si>
    <t>Gestiona expedients de contractes, licitacions, adjudicacions, convenis i subvencions, amb terminis, imports i documentació. Ajuda a controlar obligacions, publicitat, seguiment d'execució i justificacions davant òrgans de control.</t>
  </si>
  <si>
    <t>Contractació i Intervenció</t>
  </si>
  <si>
    <t>Dades financeres</t>
  </si>
  <si>
    <t>Dades d’inventari/patrimoni</t>
  </si>
  <si>
    <t>Economia local, comerç i mercats</t>
  </si>
  <si>
    <t>Recull llicències i comunicacions d'activitats comercials, parades de mercat, inspeccions i campanyes de dinamització. Serveix per ordenar l'espai comercial, atendre peticions i fer seguiment de taxes i ocupacions.</t>
  </si>
  <si>
    <t>Promoció Econòmica</t>
  </si>
  <si>
    <t>Educació</t>
  </si>
  <si>
    <t>Inclou inscripcions i participació en activitats educatives, beques, menjador, absentisme i coordinació amb centres. Permet planificar oferta, controlar places i comunicar incidències amb famílies i equips directius.</t>
  </si>
  <si>
    <t>Esport</t>
  </si>
  <si>
    <t>Inclou abonaments, reserves d'instal·lacions, activitats dirigides, escoles esportives, competicions i manteniment d'equipaments. Permet gestionar aforaments, cobraments, calendaris, incidències i comunicacions amb clubs, entitats i usuaris.</t>
  </si>
  <si>
    <t>Esports</t>
  </si>
  <si>
    <t>Formació i ocupació</t>
  </si>
  <si>
    <t>Registra persones participants, itineraris d'orientació, cursos, ofertes de feina i contactes amb empreses. Serveix per fer seguiment de resultats, gestionar ajuts i coordinar accions amb altres administracions i agents locals.</t>
  </si>
  <si>
    <t>Govern i organització</t>
  </si>
  <si>
    <t>Inclou estructura organitzativa, unitats, càrrecs, òrgans col·legiats, delegacions i catàlegs de serveis. Dona suport a la presa de decisions, la publicació d'organigrames i la coordinació interna entre àrees.</t>
  </si>
  <si>
    <t>Gerència Municipal</t>
  </si>
  <si>
    <t>Dades d’organització/estructura</t>
  </si>
  <si>
    <t>Habitatge</t>
  </si>
  <si>
    <t>Recull sol·licituds d'ajuts, borsa de lloguer, inspeccions, mediacions i expedients d'emergència habitacional. Permet prioritzar casos, coordinar visites i gestionar comunicacions amb propietaris, llogaters i entitats socials.</t>
  </si>
  <si>
    <t>Hisenda</t>
  </si>
  <si>
    <t>Inclou padrons fiscals, liquidacions, recaptació, domiciliacions i gestió pressupostària. Serveix per calcular impostos i taxes, controlar ingressos, fer seguiment de morositat i generar informes per a intervenció i govern.</t>
  </si>
  <si>
    <t>Incidències de la via pública</t>
  </si>
  <si>
    <t>Via Pública</t>
  </si>
  <si>
    <t>Informació i comunicació</t>
  </si>
  <si>
    <t>Inclou notes de premsa, continguts web, xarxes socials, campanyes i butlletins. Ajuda a coordinar missatges, calendaris i canals, i a mantenir informació actualitzada per a veïns, entitats i mitjans locals.</t>
  </si>
  <si>
    <t>Comunicació</t>
  </si>
  <si>
    <t>Agrupa cartografia, carrers, adreces, parcel·les, equipaments i capes temàtiques. Serveix per suportar tràmits, planificació i consultes internes, i per compartir mapes amb altres organismes quan cal.</t>
  </si>
  <si>
    <t>Urbanisme</t>
  </si>
  <si>
    <t>Dades de localització/geoespacials</t>
  </si>
  <si>
    <t>Medi ambient</t>
  </si>
  <si>
    <t>Inclou controls de qualitat de l'aire i soroll, gestió d'espais naturals, permisos ambientals i seguiment de sancions. Permet planificar campanyes, gestionar denúncies i elaborar indicadors per a informes i transparència.</t>
  </si>
  <si>
    <t>Medi Ambient</t>
  </si>
  <si>
    <t>Dades estadístiques/analítiques</t>
  </si>
  <si>
    <t>Informació desactualitzada</t>
  </si>
  <si>
    <t>Recull regulació de trànsit, zones d'estacionament, sancions, incidències, aforaments i informació de transport. Ajuda a prendre decisions de circulació, millorar el servei i coordinar actuacions amb operadors i policia.</t>
  </si>
  <si>
    <t>Mobilitat</t>
  </si>
  <si>
    <t>Neteja viària</t>
  </si>
  <si>
    <t>Inclou rutes de neteja, planificació de torns, incidències, inspeccions i control de qualitat del servei. Permet fer seguiment del contracte, registrar queixes i ajustar recursos segons zones i esdeveniments.</t>
  </si>
  <si>
    <t>Obres públiques i manteniment</t>
  </si>
  <si>
    <t>Obres i Manteniment</t>
  </si>
  <si>
    <t>Inclou el padró, altes i baixes, canvis de domicili i certificats. És clau per a serveis municipals, estadística i finançament. Permet garantir adreces correctes i traçabilitat de moviments de veïns.</t>
  </si>
  <si>
    <t>Padró i Estadística</t>
  </si>
  <si>
    <t>Protecció civil i emergències</t>
  </si>
  <si>
    <t>Reuneix plans d'emergència, inventari de recursos, avisos, activacions i informes d'incidents. Ajuda a coordinar operatius, gestionar comunicacions amb altres cossos i conservar evidències per avaluar i millorar respostes.</t>
  </si>
  <si>
    <t>Protecció Civil</t>
  </si>
  <si>
    <t>Recursos humans</t>
  </si>
  <si>
    <t>Inclou fitxes de personal, contractes, nòmines, permisos, formació i processos selectius. Serveix per planificar plantilla, controlar absències i garantir compliment legal, amb accés restringit i auditable.</t>
  </si>
  <si>
    <t>Recursos Humans</t>
  </si>
  <si>
    <t>Residus</t>
  </si>
  <si>
    <t>Inclou recollida, contenidors, rutes, incidències, inspeccions i dades de pes o volum. Ajuda a millorar el servei, controlar objectius de reciclatge i gestionar contractes i campanyes amb la ciutadania.</t>
  </si>
  <si>
    <t>Salut pública</t>
  </si>
  <si>
    <t>Recull inspeccions sanitàries, controls d'aigua de consum, plagues, campanyes de vacunació i registres d'establiments. Permet prioritzar actuacions i compartir informació amb autoritats sanitàries quan hi ha risc.</t>
  </si>
  <si>
    <t>Salut Pública</t>
  </si>
  <si>
    <t>Secretaria</t>
  </si>
  <si>
    <t>Inclou actes i acords dels òrgans municipals, fe pública, registres, decrets i assessorament jurídic. Dona suport a la validesa dels procediments, la conservació documental i l'accés a la informació administrativa.</t>
  </si>
  <si>
    <t>Inclou incidències policials, denúncies, atestats, controls, intervencions i gestió de recursos. Permet coordinar patrulles, tramitar sancions i compartir informació operativa amb altres cossos quan és necessari.</t>
  </si>
  <si>
    <t>Policia Local</t>
  </si>
  <si>
    <t>Recull expedients d'atenció social, valoracions, prestacions, plans de treball i derivacions. Permet prioritzar urgències, coordinar professionals i garantir confidencialitat en informació molt sensible de persones i famílies.</t>
  </si>
  <si>
    <t>Serveis Socials</t>
  </si>
  <si>
    <t>Turisme i oci</t>
  </si>
  <si>
    <t>Inclou recursos turístics, agenda d'activitats, reserves de visites, consultes i estadístiques de demanda. Permet informar visitants, coordinar agents locals i avaluar l'impacte d'esdeveniments amb dades clares i comparables.</t>
  </si>
  <si>
    <t>Turisme</t>
  </si>
  <si>
    <t>Urbanisme i planejament</t>
  </si>
  <si>
    <t>Inclou planejament urbanístic, llicències, expedients d'obres, disciplina i informació de sòl. Serveix per tramitar permisos, consultar normativa i coordinar informes tècnics, amb cartografia i documentació vinculada a cada actuació.</t>
  </si>
  <si>
    <t>Conjunts de dades</t>
  </si>
  <si>
    <t>Nom Conjunt de dades</t>
  </si>
  <si>
    <t>Intern</t>
  </si>
  <si>
    <t>Ciutadania</t>
  </si>
  <si>
    <t>Entitats</t>
  </si>
  <si>
    <t>Nom Entitat</t>
  </si>
  <si>
    <t>És entitat global?</t>
  </si>
  <si>
    <t>Entitat global referida</t>
  </si>
  <si>
    <t>Àrea propietària principal</t>
  </si>
  <si>
    <t>Sistema de dades d'orígen</t>
  </si>
  <si>
    <t>Responsable de l'entitat (Propietari de dades)</t>
  </si>
  <si>
    <t>Rol del responsable de l'entitat</t>
  </si>
  <si>
    <t>Nom del terme relacionat (Glossari)</t>
  </si>
  <si>
    <t>Informació continguda</t>
  </si>
  <si>
    <t>Referent tècnic</t>
  </si>
  <si>
    <t>Rol del referent tècnic</t>
  </si>
  <si>
    <t>Origen de les dades</t>
  </si>
  <si>
    <t>Arquitecte de la dada</t>
  </si>
  <si>
    <t>Unitat orgànica Arquitecte de la dada</t>
  </si>
  <si>
    <t>Custodi de dades</t>
  </si>
  <si>
    <t>Cadència d'actualització</t>
  </si>
  <si>
    <t>Reutilització de dades</t>
  </si>
  <si>
    <t>Ajut</t>
  </si>
  <si>
    <t>Declaracions de ciutadans</t>
  </si>
  <si>
    <t>Mensual</t>
  </si>
  <si>
    <t>Planificació estratègica</t>
  </si>
  <si>
    <t>Si</t>
  </si>
  <si>
    <t>Diària</t>
  </si>
  <si>
    <t>Sistemes municipals interns</t>
  </si>
  <si>
    <t>Transparència</t>
  </si>
  <si>
    <t>Administracions supramunicipals</t>
  </si>
  <si>
    <t>Sensors o sistemes Iot</t>
  </si>
  <si>
    <t>Optimització de serveis</t>
  </si>
  <si>
    <t>No informat</t>
  </si>
  <si>
    <t>En temps real</t>
  </si>
  <si>
    <t>&lt;No aplica&gt;</t>
  </si>
  <si>
    <t>Trimestral</t>
  </si>
  <si>
    <t>Informes interns</t>
  </si>
  <si>
    <t>Empreses contractistes</t>
  </si>
  <si>
    <t>Quadres de comandament</t>
  </si>
  <si>
    <t>Anual</t>
  </si>
  <si>
    <t>Proveïdor</t>
  </si>
  <si>
    <t>Relacions de Conjunts de dades amb entitats</t>
  </si>
  <si>
    <t>Conjunt de dades</t>
  </si>
  <si>
    <t>Entitat</t>
  </si>
  <si>
    <t>Descripció de la relació</t>
  </si>
  <si>
    <t>Sol·licitud d'ajut</t>
  </si>
  <si>
    <t>Persona sol·licitant d'ajut</t>
  </si>
  <si>
    <t>Persones que estan inscrites al registre de voluntaris</t>
  </si>
  <si>
    <t>Documentació ajut aportada</t>
  </si>
  <si>
    <t>Resolució ajut</t>
  </si>
  <si>
    <t>Nom Atribut</t>
  </si>
  <si>
    <t>Descripció de l'atribut</t>
  </si>
  <si>
    <t>Pertany a entitat global?</t>
  </si>
  <si>
    <t>És clau?</t>
  </si>
  <si>
    <t>Sistema</t>
  </si>
  <si>
    <t>Tipus d'Atribut</t>
  </si>
  <si>
    <t>Informació sensible</t>
  </si>
  <si>
    <t>Terme de negoci relacionat (Glossari)</t>
  </si>
  <si>
    <t>Format de base de dades</t>
  </si>
  <si>
    <t>Admet valor nul?</t>
  </si>
  <si>
    <t>Criteris de precisió</t>
  </si>
  <si>
    <t>Criteris de completitud</t>
  </si>
  <si>
    <t>Criteris de consistència</t>
  </si>
  <si>
    <t>Criteris d'actualització</t>
  </si>
  <si>
    <t>Regla de validació</t>
  </si>
  <si>
    <t>Nivel qualitat esperada</t>
  </si>
  <si>
    <t>Catàleg de valors</t>
  </si>
  <si>
    <t>Origen</t>
  </si>
  <si>
    <t>Freqüència d'actualització</t>
  </si>
  <si>
    <t>Usos principals de la dada</t>
  </si>
  <si>
    <t>Compartició amb altres sistemes</t>
  </si>
  <si>
    <t>Text</t>
  </si>
  <si>
    <t>Data</t>
  </si>
  <si>
    <t>Decimal</t>
  </si>
  <si>
    <t>1:N</t>
  </si>
  <si>
    <t>N:M</t>
  </si>
  <si>
    <t>Qualitat i completitut de l'inventari d'actius de dades</t>
  </si>
  <si>
    <t>Dominis identificats</t>
  </si>
  <si>
    <t>Completitut informació</t>
  </si>
  <si>
    <t>Dominis amb conjunts de dades</t>
  </si>
  <si>
    <t>Dominis amb entitats</t>
  </si>
  <si>
    <t>Dominis amb atributs</t>
  </si>
  <si>
    <t>Entitats identificades</t>
  </si>
  <si>
    <t>Completitut</t>
  </si>
  <si>
    <t>Relacionats amb Entitats</t>
  </si>
  <si>
    <t>Entitats de Dominis no vàlids</t>
  </si>
  <si>
    <t>Entitats amb atributs</t>
  </si>
  <si>
    <t>Atributs</t>
  </si>
  <si>
    <t>Atributs identificats</t>
  </si>
  <si>
    <t>Atributs d'Entitats no vàlides</t>
  </si>
  <si>
    <t>Sistemes</t>
  </si>
  <si>
    <t>Sistemes identificats</t>
  </si>
  <si>
    <t>Llegenda</t>
  </si>
  <si>
    <t>Format</t>
  </si>
  <si>
    <t>Nom amb què s’identifica el sistema o aplicació dins de l’organització. Ha de ser clar i recognoscible per a tots els equips.</t>
  </si>
  <si>
    <t>Selecció</t>
  </si>
  <si>
    <t>Situació actual del sistema dins del seu cicle de vida, indicant si està operatiu o en una altra fase.</t>
  </si>
  <si>
    <t>Data en què es va revisar per última vegada l’estat del sistema, per garantir que la informació és actualitzada.</t>
  </si>
  <si>
    <t>Nivell de sensibilitat de la informació que tracta el sistema, rellevant per a la protecció de dades i el compliment normatiu.</t>
  </si>
  <si>
    <t>Importància del sistema per al funcionament dels serveis i processos municipals.</t>
  </si>
  <si>
    <t>Principals riscos associats a l’ús, la disponibilitat o la seguretat del sistema.</t>
  </si>
  <si>
    <t>Altres sistemes o plataformes amb els quals aquest sistema intercanvia informació.</t>
  </si>
  <si>
    <t>Mecanisme utilitzat per verificar i controlar l’accés dels usuaris al sistema.</t>
  </si>
  <si>
    <t>Resumeix en una o dues frases què recull el conjunt de dades i per a què s'utilitza en el dia a dia. Indica els principals processos municipals on intervé i algun exemple d'ús, com ara informes, tramitació o atenció ciutadana.</t>
  </si>
  <si>
    <t>Indica el domini de dades al qual pertany el conjunt de dades, per exemple: serveis socials, via pública, hisenda o educació.</t>
  </si>
  <si>
    <t>Calculat en funció del Domini de dades seleccionat</t>
  </si>
  <si>
    <t>Indica el nom i cognoms de la persona que assumeix la responsabilitat funcional del conjunt de dades dins l'ajuntament. Normalment serà una cap de servei, direcció o figura similar amb capacitat de decisió sobre l'ús de la informació.</t>
  </si>
  <si>
    <t>Especifica quin rol hi té la persona indicada, per exemple: propietari funcional de les dades, responsable legal o custodi de dades. Aquesta descripció ha d'ajudar a entendre si pren decisions, defineix el model de dades o només en fa la gestió diària.</t>
  </si>
  <si>
    <t>Poseu un nom clar i fàcil d’entendre, que permeti identificar ràpidament de quina entitat es tracta sense haver de llegir cap detall addicional.</t>
  </si>
  <si>
    <t>Expliqueu en poques línies què representa aquesta entitat i en quin context del servei o procés es fa servir habitualment.</t>
  </si>
  <si>
    <t>Indiqueu si l’entitat és comuna a diversos àmbits o només s’utilitza en un context concret.</t>
  </si>
  <si>
    <t>Quan no sigui global, especifiqueu a quina altra entitat queda vinculada o en depèn.</t>
  </si>
  <si>
    <t>Selecció de Entitat marcada com global</t>
  </si>
  <si>
    <t>Mostreu l’àmbit funcional o servei on aquesta entitat té sentit i on s’utilitza de forma natural.</t>
  </si>
  <si>
    <t>Identifiqueu l’àrea o servei que vetlla perquè la informació sigui correcta i coherent amb les seves funcions.</t>
  </si>
  <si>
    <t>Calculat en funció del Domini de dades principal</t>
  </si>
  <si>
    <t>Escriviu el sistema principal del qual provenen les dades que formen aquesta entitat.</t>
  </si>
  <si>
    <t>Descriviu de manera general quin tipus d’informació conté: dades personals, operatives, organitzatives, etc.</t>
  </si>
  <si>
    <t>Indiqueu qui és la persona que supervisa i valida el bon ús de la informació associada a l’entitat.</t>
  </si>
  <si>
    <t>Expliqueu de manera breu quin paper té aquesta persona en la gestió, seguiment i qualitat de la informació.</t>
  </si>
  <si>
    <t>Poseu el terme del glossari que millor ajuda a comprendre què és l’entitat i com s’interpreta.</t>
  </si>
  <si>
    <t>Descriviu els elements principals que conté la informació i què aporten al servei o procés.</t>
  </si>
  <si>
    <t>Identifiqueu la persona de suport que pot ajudar a resoldre dubtes tècnics o funcionals sobre la informació.</t>
  </si>
  <si>
    <t>Expliqueu quines tasques o responsabilitats té aquesta figura en relació amb la dada.</t>
  </si>
  <si>
    <t>Indiqueu d’on surt realment la informació: declaracions, sensors, tràmits, sistemes externs, etc.</t>
  </si>
  <si>
    <t>Identifiqueu qui defineix el model i com s’estructura aquesta informació dins del sistema.</t>
  </si>
  <si>
    <t>Escriviu la unitat on treballa la persona o equip que gestiona l’arquitectura d’aquesta dada.</t>
  </si>
  <si>
    <t>Mostreu quin servei o equip custodiar i manté l’accés, seguretat i preservació de la informació.</t>
  </si>
  <si>
    <t>Expliqueu el nivell de protecció o sensibilitat que requereixen aquestes dades segons el seu contingut.</t>
  </si>
  <si>
    <t>Indiqueu amb quina freqüència es renova, revisa o actualitza la informació.</t>
  </si>
  <si>
    <t>Eina de gestió</t>
  </si>
  <si>
    <t>Escriviu el programari o eina que s’utilitza per consultar o gestionar aquestes dades.</t>
  </si>
  <si>
    <t>Si la informació s’obté també d’altres fonts, especifiqueu-les de manera senzilla.</t>
  </si>
  <si>
    <t>Expliqueu en quins processos, serveis o finalitats es reutilitzen aquestes dades habitualment.</t>
  </si>
  <si>
    <t>Indica l’àmbit o grup de dades al qual pertany la informació, normalment vinculat al procés o servei on es genera.</t>
  </si>
  <si>
    <t>Es refereix al tipus d’element implicat (persona, sol·licitud, documentació...). Ha de ser un concepte comprensible per qualsevol usuari.</t>
  </si>
  <si>
    <t>Explica amb una frase o dues quin és el vincle entre la dada i l’entitat. Ha de ser directe i evitar tecnicismes innecessaris.</t>
  </si>
  <si>
    <t>Poseu un nom curt i entenedor que ajudi a identificar què és la dada dins l’entitat sense haver de revisar més camp detall.</t>
  </si>
  <si>
    <t>Expliqueu amb un parell de frases què representa la dada i en quin moment del procés és útil, pensant en algú que la vegi per primera vegada.</t>
  </si>
  <si>
    <t>Indiqueu a quina entitat pertany aquest atribut, és a dir, l’objecte principal del qual forma part (persona, sol·licitud, incidència…).</t>
  </si>
  <si>
    <t>Assenyaleu si aquest atribut forma part d'una entitat global o si és només complementari.</t>
  </si>
  <si>
    <t>Calculat en funció de l'Entitat</t>
  </si>
  <si>
    <t>Indiqueu si aquesta dada és imprescindible per identificar de manera única un registre dins l’entitat.</t>
  </si>
  <si>
    <t>Escriviu el sistema on es genera o manté el valor d’aquest atribut en el dia a dia.</t>
  </si>
  <si>
    <t>Descriviu breument el tipus general de la dada: text, número, data, codi… sense tecnicismes.</t>
  </si>
  <si>
    <t>Indiqueu si la dada pot contenir informació delicada segons la normativa o el seu contingut.</t>
  </si>
  <si>
    <t>Escriviu el terme del glossari que ajuda a entendre millor el significat del camp.</t>
  </si>
  <si>
    <t>Poseu el format tècnic que utilitza el sistema (ex.: text, número, data), només perquè l’usuari sàpiga què esperar.</t>
  </si>
  <si>
    <t>Indiqueu si el camp pot quedar buit en casos justificats o si sempre ha de tenir valor.</t>
  </si>
  <si>
    <t>Expliqueu quin grau d’exactitud o validació s’espera del valor perquè sigui correcte.</t>
  </si>
  <si>
    <t>Descriviu quin percentatge o nivell d’informació hauria d’estar informat de manera habitual.</t>
  </si>
  <si>
    <t>Indiqueu amb quines altres dades ha de quadrar o mantenir coherència perquè tingui sentit.</t>
  </si>
  <si>
    <t>Expliqueu en quines situacions es pot modificar la dada i cada quant pot canviar realment en el procés.</t>
  </si>
  <si>
    <t>Relacions entre Atributs</t>
  </si>
  <si>
    <t>Atribut</t>
  </si>
  <si>
    <t>Atribut d'origen</t>
  </si>
  <si>
    <t>Nom de l'atribut per al qual la relació serà SORTINT</t>
  </si>
  <si>
    <t>Atribut de destinació</t>
  </si>
  <si>
    <t>Nom de l'atribut per al qual la relació serà ENTRANT</t>
  </si>
  <si>
    <t>Tipus relació</t>
  </si>
  <si>
    <t>Indica el tipus de relació que existeix entre els atributs origen i destinació</t>
  </si>
  <si>
    <t>Entitat d'origen</t>
  </si>
  <si>
    <t>Entitat a la què  pertany l'atribut per al qual la relació serà SORTINT</t>
  </si>
  <si>
    <t>Sistema d'origen</t>
  </si>
  <si>
    <t>Sistema on pertany l'entitat que conté l'atribut per al qual la relació serà SORTINT</t>
  </si>
  <si>
    <t>Entitat de destinació</t>
  </si>
  <si>
    <t>Nom de l'entitat a la què pertany l'atribut per al qual la relació serà ENTRANT</t>
  </si>
  <si>
    <t>Sistema de destinació</t>
  </si>
  <si>
    <t>Nom curt del sistema on pertany l'entitat que conté l'atribut per al qual la relació serà ENTRANT</t>
  </si>
  <si>
    <t>Relació inventaris</t>
  </si>
  <si>
    <t>Inventari</t>
  </si>
  <si>
    <t>Principal referència</t>
  </si>
  <si>
    <t>Detalls</t>
  </si>
  <si>
    <t>Tarragona</t>
  </si>
  <si>
    <r>
      <t>A Tarragona apareix de manera recurrent la columna “</t>
    </r>
    <r>
      <rPr>
        <b/>
        <sz val="11"/>
        <rFont val="Calibri"/>
        <family val="2"/>
      </rPr>
      <t>Sistema d’informació</t>
    </r>
    <r>
      <rPr>
        <sz val="11"/>
        <rFont val="Calibri"/>
        <family val="2"/>
      </rPr>
      <t xml:space="preserve">”, associada als conjunts de dades. Aquest patró es repeteix de forma implícita a Mataró </t>
    </r>
    <r>
      <rPr>
        <b/>
        <sz val="11"/>
        <rFont val="Calibri"/>
        <family val="2"/>
      </rPr>
      <t>(Sistema de Gestió de Bases de Dades, Tipus de sistema/aplicació</t>
    </r>
    <r>
      <rPr>
        <sz val="11"/>
        <rFont val="Calibri"/>
        <family val="2"/>
      </rPr>
      <t>) i a Sant Cugat (</t>
    </r>
    <r>
      <rPr>
        <b/>
        <sz val="11"/>
        <rFont val="Calibri"/>
        <family val="2"/>
      </rPr>
      <t>Sistema on es genera</t>
    </r>
    <r>
      <rPr>
        <sz val="11"/>
        <rFont val="Calibri"/>
        <family val="2"/>
      </rPr>
      <t>). El conjunt Sistemes recull aquesta coincidència transversal: el sistema sempre és present com a element clau.
En aquest inventari hem inclòs la font de dades principal (sistema o aplicació de procedència), una descripció, així com informació tècnica i del proveïdor.  Altres camps com l'</t>
    </r>
    <r>
      <rPr>
        <b/>
        <sz val="11"/>
        <rFont val="Calibri"/>
        <family val="2"/>
      </rPr>
      <t>administrador i rol del sistema</t>
    </r>
    <r>
      <rPr>
        <sz val="11"/>
        <rFont val="Calibri"/>
        <family val="2"/>
      </rPr>
      <t>, han estat inspirats en els camps Gestor, contacte_gestor, custodi, que apareixen a l'inventari de la DIBA</t>
    </r>
  </si>
  <si>
    <r>
      <t>Tarragona disposa explícitament d’un inventari de Dominis de dades</t>
    </r>
    <r>
      <rPr>
        <b/>
        <sz val="11"/>
        <rFont val="Calibri"/>
        <family val="2"/>
      </rPr>
      <t xml:space="preserve"> </t>
    </r>
    <r>
      <rPr>
        <sz val="11"/>
        <rFont val="Calibri"/>
        <family val="2"/>
      </rPr>
      <t xml:space="preserve">utilitzat per agrupar conjunts segons àmbits funcionals (padró, urbanisme, medi ambient, etc.). Allà podem trobar informació com Domini de dades, Descripció breu, Àrea municipal habitual que hem utilitzat per crear aquest inventari: </t>
    </r>
    <r>
      <rPr>
        <b/>
        <sz val="11"/>
        <rFont val="Calibri"/>
        <family val="2"/>
      </rPr>
      <t>Domini de dades, Descripció, Àrea propietària.</t>
    </r>
    <r>
      <rPr>
        <sz val="11"/>
        <rFont val="Calibri"/>
        <family val="2"/>
      </rPr>
      <t xml:space="preserve">
Aquest mateix criteri de classificació funcional s’alinea amb enfocaments generals com els que promou DIBA. 
També  s'inclouen altres termes com administrador i rol del sistema</t>
    </r>
  </si>
  <si>
    <t>Tarragona + Mataró</t>
  </si>
  <si>
    <r>
      <t>Tant Tarragona com Mataró treballen explícitament amb el concepte de conjunt de dades. A Tarragona forma part de l’inventari estructurat; a Mataró és l’eix central de l’Inventari de fonts d’informació, mitjançant el camp “</t>
    </r>
    <r>
      <rPr>
        <b/>
        <sz val="11"/>
        <rFont val="Calibri"/>
        <family val="2"/>
      </rPr>
      <t>Nom del conjunt de dades</t>
    </r>
    <r>
      <rPr>
        <sz val="11"/>
        <rFont val="Calibri"/>
        <family val="2"/>
      </rPr>
      <t xml:space="preserve">”, amb atributs de governança associats.
Camps com </t>
    </r>
    <r>
      <rPr>
        <b/>
        <sz val="11"/>
        <rFont val="Calibri"/>
        <family val="2"/>
      </rPr>
      <t>Nom Conjunt de dades, Descripció, Domini de dades, Àrea propietària o Sistema d'informació d'origen principal</t>
    </r>
    <r>
      <rPr>
        <sz val="11"/>
        <rFont val="Calibri"/>
        <family val="2"/>
      </rPr>
      <t>, han estat agafats de l'inventari de Mataró.
També  s'inclouen altres termes com 'administrador i rol del conjunt de dades</t>
    </r>
  </si>
  <si>
    <t>Sant Cugat</t>
  </si>
  <si>
    <r>
      <t xml:space="preserve">L’inventari Entitats inclou diversos camps que no apareixen a cap dels inventaris de referència, ja que aquests treballen a nivell de domini o de conjunt de dades i no baixen al nivell d’unitat informativa. Entre aquests camps destaquen, per exemple: </t>
    </r>
    <r>
      <rPr>
        <b/>
        <sz val="11"/>
        <rFont val="Calibri"/>
        <family val="2"/>
      </rPr>
      <t xml:space="preserve">Entitat global referida, Sistema de dades d'orígen, etc. </t>
    </r>
    <r>
      <rPr>
        <sz val="11"/>
        <rFont val="Calibri"/>
        <family val="2"/>
      </rPr>
      <t xml:space="preserve">
També  s'inclouen altres termes com administrador i rol de l'entitat</t>
    </r>
  </si>
  <si>
    <t>Rel.Conjunts-Entitats</t>
  </si>
  <si>
    <t>Elaboració pròpia</t>
  </si>
  <si>
    <t>Taula desenvolupada específicament per garantir la traçabilitat entre conjunts de dades i entitats, inspirada en les relacions de Sant Cugat i els criteris de traçabilitat de DIBA.</t>
  </si>
  <si>
    <t xml:space="preserve">Sant Cugat </t>
  </si>
  <si>
    <r>
      <t xml:space="preserve">Sant Cugat descriu cada dada amb un conjunt ric de característiques: </t>
    </r>
    <r>
      <rPr>
        <b/>
        <sz val="11"/>
        <rFont val="Calibri"/>
        <family val="2"/>
      </rPr>
      <t>tipus de camp, obligatorietat, qualitat, dades personals, anonimització, reutilització, etc</t>
    </r>
    <r>
      <rPr>
        <sz val="11"/>
        <rFont val="Calibri"/>
        <family val="2"/>
      </rPr>
      <t>. Aquest nivell de detall coincideix plenament amb el concepte d’atribut.</t>
    </r>
  </si>
  <si>
    <t>Arquitectura Cloud</t>
  </si>
  <si>
    <t xml:space="preserve"> </t>
  </si>
  <si>
    <t>Categoria Conjunt de Dades</t>
  </si>
  <si>
    <t>És Domini de dades principal?</t>
  </si>
  <si>
    <t>TipusRelEntitats</t>
  </si>
  <si>
    <t>RelacióGlosari</t>
  </si>
  <si>
    <t>Confidencialitat</t>
  </si>
  <si>
    <t>Seguretat</t>
  </si>
  <si>
    <t>Sistemes d'informació</t>
  </si>
  <si>
    <t>Prioritats</t>
  </si>
  <si>
    <t>Cadència</t>
  </si>
  <si>
    <t>Pública</t>
  </si>
  <si>
    <t> informen sobre persones físiques identificades o identificables (ciutadania, personal…)</t>
  </si>
  <si>
    <t>Accés a dades sensibles</t>
  </si>
  <si>
    <t>Ajuntaments</t>
  </si>
  <si>
    <t>Dada mestre</t>
  </si>
  <si>
    <t>1:1</t>
  </si>
  <si>
    <t>Jeràrquica (Un terme general (categoria) agrupa termes més específics)</t>
  </si>
  <si>
    <t>No Personal</t>
  </si>
  <si>
    <t>Públic</t>
  </si>
  <si>
    <t>BI</t>
  </si>
  <si>
    <t>1. Molt baixa</t>
  </si>
  <si>
    <t>Híbrida</t>
  </si>
  <si>
    <t> dades amb impacte ètic, legal o reputacional si es divulguen (salut, orientació, menors…)</t>
  </si>
  <si>
    <t>Altres entitats</t>
  </si>
  <si>
    <t>Dada de referència</t>
  </si>
  <si>
    <t>Àlies (Diferents termes que representen el mateix concepte dins del negoci)</t>
  </si>
  <si>
    <t>Personal</t>
  </si>
  <si>
    <t>Numèric</t>
  </si>
  <si>
    <t>CRM ciutadà</t>
  </si>
  <si>
    <t>2. Baixa</t>
  </si>
  <si>
    <t>Privada</t>
  </si>
  <si>
    <t>Obsolet</t>
  </si>
  <si>
    <t> informació no restringida, objecte de transparència o ús general</t>
  </si>
  <si>
    <t>Anàlisi</t>
  </si>
  <si>
    <t>Dada de negoci</t>
  </si>
  <si>
    <t>N:1</t>
  </si>
  <si>
    <t>Dependència (Un terme només té sentit en funció d’un altre)</t>
  </si>
  <si>
    <t>Personal privat</t>
  </si>
  <si>
    <t>Sensible</t>
  </si>
  <si>
    <t>3. Mitja</t>
  </si>
  <si>
    <t>Setmanal</t>
  </si>
  <si>
    <t> rellevants per a gestió econòmica (pressupost, tributs, facturació, subvencions…)</t>
  </si>
  <si>
    <t>Metadada</t>
  </si>
  <si>
    <t>Correspondència (Terme similar que pot tenir variacions en diferents departaments o sistemes)</t>
  </si>
  <si>
    <t>Percentatge</t>
  </si>
  <si>
    <t>Crític</t>
  </si>
  <si>
    <t>Gestor d’activitats</t>
  </si>
  <si>
    <t>4. Alta</t>
  </si>
  <si>
    <t>Quinzenal</t>
  </si>
  <si>
    <t> referenciades a ubicació física (adreces, parcel·les, geoposicionament…)</t>
  </si>
  <si>
    <t>Metadada de negoci</t>
  </si>
  <si>
    <t>Fracció</t>
  </si>
  <si>
    <t>Molt crític</t>
  </si>
  <si>
    <t>Gestor del servei</t>
  </si>
  <si>
    <t>5. Molt alta</t>
  </si>
  <si>
    <t> relatives als serveis prestats, tràmits, processos o activitat interna</t>
  </si>
  <si>
    <t/>
  </si>
  <si>
    <t>Metadada tècnica</t>
  </si>
  <si>
    <t> registres d’actius, equipaments, infraestructures, vehicles…</t>
  </si>
  <si>
    <t>Metadada operacional</t>
  </si>
  <si>
    <t>Hora</t>
  </si>
  <si>
    <t>Plataforma contractació</t>
  </si>
  <si>
    <t> formats agregats, anonimitzats o per a anàlisi, no directament identificables</t>
  </si>
  <si>
    <t>Metadada de qualitat</t>
  </si>
  <si>
    <t>Data i Hora</t>
  </si>
  <si>
    <t>Queixes i Suggeriments</t>
  </si>
  <si>
    <t> referides a organigrames, processos, rols o unitats</t>
  </si>
  <si>
    <t>Metadada de seguretat/privadesa</t>
  </si>
  <si>
    <t>Marca de temps</t>
  </si>
  <si>
    <t>Sistema d'Informació Geogràfica</t>
  </si>
  <si>
    <t> si escau, especificar al camp “Observacions”</t>
  </si>
  <si>
    <t>Metadada de govern</t>
  </si>
  <si>
    <t>Booleà</t>
  </si>
  <si>
    <t>Sistema operador</t>
  </si>
  <si>
    <t>Dades de referència / mestres no homogeneïtzades</t>
  </si>
  <si>
    <t>Candidata a dades de referència / dades mestres</t>
  </si>
  <si>
    <t>Àmbit</t>
  </si>
  <si>
    <t>Corporatiu (Dades mestres i de referència)</t>
  </si>
  <si>
    <t>Serveis a les persones</t>
  </si>
  <si>
    <t>Patrimoni i actius municipals (nou)</t>
  </si>
  <si>
    <t>Inclou codis, classificacions, declaració d'unitats administratives, països. Etc</t>
  </si>
  <si>
    <t>Govern i administració</t>
  </si>
  <si>
    <t>Gestió de l'espai públic</t>
  </si>
  <si>
    <t>Dades de referència (comú a tot l'ecosistema de dades de país)</t>
  </si>
  <si>
    <t>ORALIMS Anàlisi de la qualitat de l’aigua</t>
  </si>
  <si>
    <t>Portal de dades obertes municipal</t>
  </si>
  <si>
    <t>I els atributs de l'inventari de la DIBA i de la GENE? I els que vam preveure nosaltres inicialment?</t>
  </si>
  <si>
    <t>GIAM</t>
  </si>
  <si>
    <t>Gestió de fons de l'arxiu municipal</t>
  </si>
  <si>
    <t>Gestió de cementiris</t>
  </si>
  <si>
    <t>Gestió de queixes i suggeriments</t>
  </si>
  <si>
    <t>Diputació</t>
  </si>
  <si>
    <t>Relacions de Conjunts de dades amb sistemes</t>
  </si>
  <si>
    <t>Sistemes amb Conjunts de dades</t>
  </si>
  <si>
    <t>Dominis no vàlids</t>
  </si>
  <si>
    <t>Conjunts de dades identificats</t>
  </si>
  <si>
    <t>Dominis sense cap Conjunt de dades</t>
  </si>
  <si>
    <t>Sistemes sense cap Sistema</t>
  </si>
  <si>
    <t>Sistemes sense cap Conjunt de dades</t>
  </si>
  <si>
    <t xml:space="preserve">Nom de la classificació lògica que permeten agrupar Conjunts de dades que comparteixen un mateix significat, àmbit temàtic o propòsit funcional. </t>
  </si>
  <si>
    <t xml:space="preserve">Una explicació clara i sintètica que ajuda a comprendre per què existeix el domini de dades i quin tipus d'informació recull, de manera que qualsevol persona el pugui interpretar sense dificultat. </t>
  </si>
  <si>
    <t>És la categoria d’alt nivell que indica l’àmbit general al qual pertany el domini de dades, aquest pot agrupar més d'un domini de dades.</t>
  </si>
  <si>
    <t>És l'àrea organitzativa de l’ens local que assumeix la responsabilitat funcional i operativa de les dades, més enllà del lloc on es trobin allotjades o gestionades.</t>
  </si>
  <si>
    <t>Tecnologies, programes, o plataformes principals utilitza el sistema. Això dona una idea senzilla del seu entorn tècnic.</t>
  </si>
  <si>
    <t>Nom de l’empresa o entitat que subministra el sistema, el manté o dona suport tècnic, addicionalment es pot afegeix el NIF.</t>
  </si>
  <si>
    <t>Funció o responsabilitat que exerceix la persona administradora del sistema dins de l'organització.</t>
  </si>
  <si>
    <t>Si / No</t>
  </si>
  <si>
    <t>El sistema d'informació és propi i l'administra l'ens local?</t>
  </si>
  <si>
    <t>Nom de la persona que gestiona i administra el sistema de dades actualment. És qui pot resoldre dubtes o incidències.</t>
  </si>
  <si>
    <t>Nom clar i específic que identifiqui de que permeti identificar el conjunt de dades dins l'ens local.</t>
  </si>
  <si>
    <t>Tenint en compte la definició del domini de dades al que pertany, automàticament s'informa l'àrea organitzativa de l’ens local que assumeix la responsabilitat funcional i operativa de les dades.</t>
  </si>
  <si>
    <t>Amb quina freqüència es revisa o actualitza el conjunt. Exemple: “Setmanal”, “Mensual”, “Anual”</t>
  </si>
  <si>
    <t>D’on provenen les dades originals. Exemple: “Declaracions de ciutadans”, “Sensors o sistemes Iot”</t>
  </si>
  <si>
    <t>Si el conjunt es fa servir per a altres processos, serveis o informes, indiqueu a quins.</t>
  </si>
  <si>
    <t>La plantilla de l'inventari d'actius de dades s'organitza en les pestanyes següents:</t>
  </si>
  <si>
    <r>
      <t>Sistemes:</t>
    </r>
    <r>
      <rPr>
        <sz val="11"/>
        <color theme="1"/>
        <rFont val="Arial"/>
        <family val="2"/>
      </rPr>
      <t xml:space="preserve"> Registre i descripció dels sistemes d'informació de l'ens local vinculats a les dades.</t>
    </r>
  </si>
  <si>
    <r>
      <t>Dominis de dades:</t>
    </r>
    <r>
      <rPr>
        <sz val="11"/>
        <color theme="1"/>
        <rFont val="Arial"/>
        <family val="2"/>
      </rPr>
      <t xml:space="preserve"> Recull els dominis de dades més habituals en un ens local. Per a cadascun cal completar la informació específica del domini. Es poden afegir dominis addicionals que no figurin a la proposta inicial.</t>
    </r>
  </si>
  <si>
    <r>
      <t>Conjunts de dades:</t>
    </r>
    <r>
      <rPr>
        <sz val="11"/>
        <color theme="1"/>
        <rFont val="Arial"/>
        <family val="2"/>
      </rPr>
      <t xml:space="preserve"> Identificació, registre i descripció dels conjunts de dades associats a cada domini.</t>
    </r>
  </si>
  <si>
    <r>
      <t>Qualitat:</t>
    </r>
    <r>
      <rPr>
        <sz val="11"/>
        <color theme="1"/>
        <rFont val="Arial"/>
        <family val="2"/>
      </rPr>
      <t xml:space="preserve"> Avaluació de la completitud i la coherència de l'inventari.</t>
    </r>
  </si>
  <si>
    <r>
      <t>Llegenda:</t>
    </r>
    <r>
      <rPr>
        <sz val="11"/>
        <color theme="1"/>
        <rFont val="Arial"/>
        <family val="2"/>
      </rPr>
      <t xml:space="preserve"> Instruccions per complimentar correctament totes les pestanyes.</t>
    </r>
  </si>
  <si>
    <r>
      <t>Relació inventaris:</t>
    </r>
    <r>
      <rPr>
        <sz val="11"/>
        <color theme="1"/>
        <rFont val="Arial"/>
        <family val="2"/>
      </rPr>
      <t xml:space="preserve"> Fonts i referents tinguts en compte en el disseny de la plantilla.</t>
    </r>
  </si>
  <si>
    <r>
      <t xml:space="preserve">Llistes: </t>
    </r>
    <r>
      <rPr>
        <sz val="11"/>
        <color theme="1"/>
        <rFont val="Arial"/>
        <family val="2"/>
      </rPr>
      <t>Valors de referència vàlids per a les columnes amb valors restringits</t>
    </r>
  </si>
  <si>
    <r>
      <t>Entitats:</t>
    </r>
    <r>
      <rPr>
        <i/>
        <sz val="11"/>
        <color theme="1" tint="0.499984740745262"/>
        <rFont val="Arial"/>
        <family val="2"/>
      </rPr>
      <t xml:space="preserve"> Identificació, registre i descripció de les entitats vinculades als conjunts de dades.</t>
    </r>
  </si>
  <si>
    <r>
      <t>Rel. Conjunts–Entitats:</t>
    </r>
    <r>
      <rPr>
        <i/>
        <sz val="11"/>
        <color theme="1" tint="0.499984740745262"/>
        <rFont val="Arial"/>
        <family val="2"/>
      </rPr>
      <t xml:space="preserve"> Documentació de les relacions entre conjunts de dades i entitats.</t>
    </r>
  </si>
  <si>
    <r>
      <t>Atributs:</t>
    </r>
    <r>
      <rPr>
        <i/>
        <sz val="11"/>
        <color theme="1" tint="0.499984740745262"/>
        <rFont val="Arial"/>
        <family val="2"/>
      </rPr>
      <t xml:space="preserve"> Registre i descripció dels atributs de cada entitat.</t>
    </r>
  </si>
  <si>
    <r>
      <t>Rel. Entitats–Entitats:</t>
    </r>
    <r>
      <rPr>
        <i/>
        <sz val="11"/>
        <color theme="1" tint="0.499984740745262"/>
        <rFont val="Arial"/>
        <family val="2"/>
      </rPr>
      <t xml:space="preserve"> Documentació de les relacions entre entitats.</t>
    </r>
  </si>
  <si>
    <t>L'àmbit de suport en governança de dades municipal i el responsable de dades de l'ens local són els responsables de documentar, mantenir i gestionar l'inventari d'actius de dades.</t>
  </si>
  <si>
    <t xml:space="preserve">Dominis de dades. S'han agrupat en àmbits: </t>
  </si>
  <si>
    <r>
      <t xml:space="preserve">Gestió de l'espai públic: </t>
    </r>
    <r>
      <rPr>
        <sz val="11"/>
        <color theme="1"/>
        <rFont val="Arial"/>
        <family val="2"/>
      </rPr>
      <t>tot allò que te a veure amb la gestió de la ciutat (residus, clavegueram, informació geogràfica, etc.).</t>
    </r>
  </si>
  <si>
    <r>
      <t xml:space="preserve">Govern i administració: </t>
    </r>
    <r>
      <rPr>
        <sz val="11"/>
        <color theme="1"/>
        <rFont val="Arial"/>
        <family val="2"/>
      </rPr>
      <t>tot allò que té a veure amb la gestió administrativa</t>
    </r>
    <r>
      <rPr>
        <b/>
        <sz val="11"/>
        <color theme="1"/>
        <rFont val="Arial"/>
        <family val="2"/>
      </rPr>
      <t>.</t>
    </r>
  </si>
  <si>
    <r>
      <t>Serveis a les persones:</t>
    </r>
    <r>
      <rPr>
        <sz val="11"/>
        <color theme="1"/>
        <rFont val="Arial"/>
        <family val="2"/>
      </rPr>
      <t xml:space="preserve"> tot el que fa referència a serveis municipals.</t>
    </r>
  </si>
  <si>
    <r>
      <t xml:space="preserve">Corporatiu (dades mestres i de referència): </t>
    </r>
    <r>
      <rPr>
        <sz val="11"/>
        <color theme="1"/>
        <rFont val="Arial"/>
        <family val="2"/>
      </rPr>
      <t>Les dades de referència haurien de ser comunes a tot l'espai de dades</t>
    </r>
  </si>
  <si>
    <t>Indisponiblitat del sistema</t>
  </si>
  <si>
    <t>Major a l'any</t>
  </si>
  <si>
    <t>Enquesta retributiva per a ús municipal</t>
  </si>
  <si>
    <t>Tramitació d’expedients administratius</t>
  </si>
  <si>
    <t>Registre d'entrada i sortida</t>
  </si>
  <si>
    <t>Registre d'analítiques de la qualitat de l’aigua</t>
  </si>
  <si>
    <t>Gestió de nòmines municipals</t>
  </si>
  <si>
    <t>Registre d'activitats econòmiques (GIA)</t>
  </si>
  <si>
    <t>Gestió dels plans de protecció civil municipal</t>
  </si>
  <si>
    <t>Repositori imatges arxius municipals (IMAGINA )</t>
  </si>
  <si>
    <t>Sistema per a la gestió de serveis locals d’ocupació (XALOC)</t>
  </si>
  <si>
    <t>Comptabilitat municipal</t>
  </si>
  <si>
    <t>Gestió de subvencions</t>
  </si>
  <si>
    <t>Gestió de l'inventari de bens mobles i inmobles</t>
  </si>
  <si>
    <t>SITMUN - Corporatiu SIG Sistema d’Informació geogràfica</t>
  </si>
  <si>
    <t>Sistema d’Informació geogràfica municipal</t>
  </si>
  <si>
    <t>Eina per a la valoració de diagnosi social</t>
  </si>
  <si>
    <t>Eina per al càlcul del copagament SSAD i teleassistència</t>
  </si>
  <si>
    <t>Gestió d'expedients atenció primària serveis socials</t>
  </si>
  <si>
    <t>Sistema de gestió de les auditories pobresa energètica</t>
  </si>
  <si>
    <t>Portal de transparència municipal</t>
  </si>
  <si>
    <t>Catàleg de tràmits i eina de tramitació digital</t>
  </si>
  <si>
    <t>Seu electrònica</t>
  </si>
  <si>
    <t>Gestió de serveis bibliotecaris</t>
  </si>
  <si>
    <t>SIERRA - eina de gestió de serveis bibliotecaris</t>
  </si>
  <si>
    <t>Consorci AOC</t>
  </si>
  <si>
    <t>Ajuntament</t>
  </si>
  <si>
    <t>Gestió de representacions</t>
  </si>
  <si>
    <t>Sistema de cita prèvia</t>
  </si>
  <si>
    <t>Sistema de gestió d'impostos municipals</t>
  </si>
  <si>
    <t>Sistema de gestió de personal</t>
  </si>
  <si>
    <t>Control horari</t>
  </si>
  <si>
    <t>Gestió d'incidències a la via pública i manteniment d'equipaments</t>
  </si>
  <si>
    <t>Gestió de residus</t>
  </si>
  <si>
    <t>Gestió dels sistemes de videovigilància</t>
  </si>
  <si>
    <t>Gestió policial d'atestats</t>
  </si>
  <si>
    <t>Gestió de sancions</t>
  </si>
  <si>
    <t>Gestió d'aparcaments</t>
  </si>
  <si>
    <t>Web municipal</t>
  </si>
  <si>
    <t>Eina de gestió de la participació</t>
  </si>
  <si>
    <t>PMH - Berger levrault</t>
  </si>
  <si>
    <t>Gestiona</t>
  </si>
  <si>
    <t>ORACLE</t>
  </si>
  <si>
    <t>EPSILOM</t>
  </si>
  <si>
    <t>GIA - desenvolupament propi</t>
  </si>
  <si>
    <t>Desenvolupament propi</t>
  </si>
  <si>
    <t>PCOM - desenvolupament propi</t>
  </si>
  <si>
    <t>IMAGINA - desenvolupament propi</t>
  </si>
  <si>
    <t>XALOC - desenvolupament propi</t>
  </si>
  <si>
    <t>SITMUN - desenvolupament propi</t>
  </si>
  <si>
    <t>DS-DIBA - desenvolupament propi</t>
  </si>
  <si>
    <t>TASSAD - desenvolupament propi</t>
  </si>
  <si>
    <t>HÈSTIA - desenvolupament propi</t>
  </si>
  <si>
    <t>SIAPE - desenvolupament propi</t>
  </si>
  <si>
    <t>SIERRA - desenvolupament propi</t>
  </si>
  <si>
    <t>SICALWIN - Berger Levrault</t>
  </si>
  <si>
    <t>ACCEDE-SUB - Berger Levrault</t>
  </si>
  <si>
    <t>GPA - Berger Levrault</t>
  </si>
  <si>
    <t>CKAN</t>
  </si>
  <si>
    <t>Base de dades Access</t>
  </si>
  <si>
    <t>Representa</t>
  </si>
  <si>
    <t>ORGT</t>
  </si>
  <si>
    <t>Participa311</t>
  </si>
  <si>
    <t>Padró i identitat ciutadana (antic Població)</t>
  </si>
  <si>
    <t>Cultura i gestió del patrimoni cultural i històric (formulat anteriorment com Cultura i patrimoni)</t>
  </si>
  <si>
    <t>Conté informació de consums, avaries i ordres de treball. Ajuda a prioritzar reparacions, optimitzar energia i comprovar el compliment del contracte de manteniment.</t>
  </si>
  <si>
    <t xml:space="preserve">Consum energètic </t>
  </si>
  <si>
    <t>Registra avisos de desperfectes, mobiliari malmès, manteniment enllumenat, senyalització, semàfors i petites reparacions. Permet assignar brigades, controlar terminis, informar la ciutadania i analitzar punts amb més recurrència d'incidències.</t>
  </si>
  <si>
    <t xml:space="preserve">Inclou edificis, locals, solars, vehicles, equipaments, mobiliari urbà, punts enllumenat, inventari patrimonial, sensors, equip informàtic, llicències, etc.
</t>
  </si>
  <si>
    <t>Informació territorial i geoespacial</t>
  </si>
  <si>
    <t>Mobilitat i trànsit</t>
  </si>
  <si>
    <t xml:space="preserve">Explicació breu i entenedora de per a què serveix el sistema i quins processos o serveis municipals hi dona suport. Indica també des de quan conté dades. </t>
  </si>
  <si>
    <t>Tramitació administrativa</t>
  </si>
  <si>
    <t>Conjunt de dades amb el detall dels expedients administratius, el seu estat, tipus d'interessat, sèrie documental, temps de resolució entre d'altres</t>
  </si>
  <si>
    <t>Nivell d'accés</t>
  </si>
  <si>
    <t>Organització</t>
  </si>
  <si>
    <t>Públiques</t>
  </si>
  <si>
    <t>Retenció</t>
  </si>
  <si>
    <t>Si No</t>
  </si>
  <si>
    <t>Parcialment</t>
  </si>
  <si>
    <t>Dades obertes</t>
  </si>
  <si>
    <t>Previst a futur</t>
  </si>
  <si>
    <t>Pendent d'anàlisi</t>
  </si>
  <si>
    <t>Restriccions dades obertes</t>
  </si>
  <si>
    <t>Observacions</t>
  </si>
  <si>
    <t>Disponibilitat històrica</t>
  </si>
  <si>
    <t>PERSISTENCIA</t>
  </si>
  <si>
    <t>RETENCIO</t>
  </si>
  <si>
    <t>Dades transaccionals (es modifiquen constantment)</t>
  </si>
  <si>
    <t>Dades històriques (es mantenen per consulta, però no es modifiquen)</t>
  </si>
  <si>
    <t>Dades arxivades (ja no s'utilitzen activament, però es conserven)</t>
  </si>
  <si>
    <t>No hi ha una política definida</t>
  </si>
  <si>
    <t>Retenció indefinida (les dades no s'eliminen)</t>
  </si>
  <si>
    <t>Retenció segons polítiques internes</t>
  </si>
  <si>
    <t>Retenció per un període fix (ex. 1, 5, 10 anys)</t>
  </si>
  <si>
    <t>Arxiu després d'un període d'inactivitat</t>
  </si>
  <si>
    <t>Persistència</t>
  </si>
  <si>
    <t>Àrea</t>
  </si>
  <si>
    <t>Tipus Conjunt de dades</t>
  </si>
  <si>
    <t>Dades de referència</t>
  </si>
  <si>
    <t>De negoci</t>
  </si>
  <si>
    <t>Data mestra</t>
  </si>
  <si>
    <t>Tipus conjunt de dades</t>
  </si>
  <si>
    <t>Candidat a dades de referència / dades mestres</t>
  </si>
  <si>
    <t>Categoria alt valor</t>
  </si>
  <si>
    <t>Geoespacial</t>
  </si>
  <si>
    <t>Observació de la terra i el medi ambient</t>
  </si>
  <si>
    <t>Meteorologia</t>
  </si>
  <si>
    <t>Estadística</t>
  </si>
  <si>
    <t>Societats i propietat de societat</t>
  </si>
  <si>
    <t>Categoria de les dades d'alt valor</t>
  </si>
  <si>
    <t>No aplica</t>
  </si>
  <si>
    <t>Informació o conjunt de dades que, per la seva rellevància, impacte o utilitat, és considerat especialment important per a la societat, l'economia o les institucions públiques, segons la normativa europea de HVD Directiva (UE) 2019/1024.Existèixen les següents possibilitats:
  • Geoespacial
  • Observació de la terra i el medi ambient
  • Meteorologia
  • Estadística
  • Societats i propietat de societat
  • Mobilitat</t>
  </si>
  <si>
    <t>Qualsevol informació addicional o comentari que ajudi a entendre millor el conjunt de dades</t>
  </si>
  <si>
    <t>Criteris de retenció de les dades que apliquen al conjunt de dades</t>
  </si>
  <si>
    <t>Data des de la que hi ha dades disponibles</t>
  </si>
  <si>
    <t>Quines restriccions hi ha per obrir el conjunt de dades a Dades Obertes</t>
  </si>
  <si>
    <t>Tecnologies: serveis i seguretat digitals</t>
  </si>
  <si>
    <t>Quadre de classificació documental</t>
  </si>
  <si>
    <t>Control conjunts de dades</t>
  </si>
  <si>
    <t>Control sistemes d'informació</t>
  </si>
  <si>
    <t>PENDENTS DE DADES COHERENTS</t>
  </si>
  <si>
    <t>Calculat automàticament</t>
  </si>
  <si>
    <t>Núm. Conjunts de dades</t>
  </si>
  <si>
    <t>Càlcul automàtic de quants conjunts de dades hi ha relacionats amb el domini de dades, es calcula a partir de les dades de la pestanya "Conjunts de dades". Les caselles en vermell corresponen als registres que descriuen dominis de dades sense cap conjunt de dades relacionat.</t>
  </si>
  <si>
    <t>Càlcul automàtic de quants conjunts de dades hi ha relacionats amb el sistema d'informació, es calcula a partir de les dades de la pestanya "Rel.Conjunts-Sistemes". Les caselles en vermell corresponen als registres que descriuen sistemes d'informació sense cap conjunt de dades relacionat.</t>
  </si>
  <si>
    <t>Núm. Sistemes d'indormació</t>
  </si>
  <si>
    <t>Núm. Dominis de dades</t>
  </si>
  <si>
    <t>Càlcul automàtic de si el dominis de dades relacionat al camp domini de dades és coherent amb els dominis de dades descrita  a la pestanya "Dominis de dades". Les caselles en vermell corresponen als registres que descriuen conjunts de dades sense un domini de dades coherent.</t>
  </si>
  <si>
    <t>Càlcul automàtic de quants sistemes d'informació hi ha relacionats amb el conjun de dades, es calcula a partir de les dades de la pestanya "Rel.Conjunts-Sistemes". Les caselles en vermell corresponen als registres que descriuen conjunts de dades sense cap sistema d'informació relacionat.</t>
  </si>
  <si>
    <t>Incoherència de dades</t>
  </si>
  <si>
    <t>Publicació d'informació incorrecta</t>
  </si>
  <si>
    <t>Registres duplicats</t>
  </si>
  <si>
    <t>Riscos associats</t>
  </si>
  <si>
    <t>Exposició de dades (menors, personals, sensibles o socials)</t>
  </si>
  <si>
    <t>Filtració o fuita de dades</t>
  </si>
  <si>
    <t>Pèrdua de dades</t>
  </si>
  <si>
    <t>Ús previst de les dades</t>
  </si>
  <si>
    <t>Nom del responsable del Conjunt de dades (Propietari de dades)</t>
  </si>
  <si>
    <t>Detall de la persistència de les dades. Temps que les dades es queden en entorns productius</t>
  </si>
  <si>
    <t>Accés o ús indegut</t>
  </si>
  <si>
    <t>Falta de traçabilitat i evidències sobre la gestió de les dades</t>
  </si>
  <si>
    <t>Falta de seguiment o auditories sobre accessos i usos</t>
  </si>
  <si>
    <t>Falta de pla de resposta a incidents</t>
  </si>
  <si>
    <t>Intern departamental</t>
  </si>
  <si>
    <t>Intern transversal</t>
  </si>
  <si>
    <t>Intern multiorganisme</t>
  </si>
  <si>
    <t>Extern obert</t>
  </si>
  <si>
    <t>Conté dades de gènere u orientació sexual?</t>
  </si>
  <si>
    <t>Conté dades personals?</t>
  </si>
  <si>
    <t>Conté dades de salut?</t>
  </si>
  <si>
    <t>Conté dades confidencials de l'ens local?</t>
  </si>
  <si>
    <t>Nom del gestor del Conjunt de dades</t>
  </si>
  <si>
    <t>Nom del custodi del Conjunt de dades</t>
  </si>
  <si>
    <t>Persona encarregada de la gestió operativa de les dades. Té la capacitat de decidir que es guarda en aquest conjunt de dades.</t>
  </si>
  <si>
    <t>Persona responsable de la infraestructura tècnica de les dades. Te la capacitat de decidir com es guarda aquest conjunt de dades.</t>
  </si>
  <si>
    <t>Càrrec  del Gestor/a dins l'organització.</t>
  </si>
  <si>
    <t>Càrrec  del custodi dins l'organització.</t>
  </si>
  <si>
    <t>Conté dades biomètriques?</t>
  </si>
  <si>
    <t>Varis</t>
  </si>
  <si>
    <t>Arxiu en un sistema separat</t>
  </si>
  <si>
    <t>Retenció segons normativa legal</t>
  </si>
  <si>
    <t>Anàlisi Riscos</t>
  </si>
  <si>
    <t>Indica el tipus de conjunt de dades, existeixen les següents possibilitats:
 - Dades de referència: dades amb la finalitat de facilitar la classificació i la gestió de la informació. 
 - De negoci:  dades que descriuen conceptes clau de l’ens local de manera precisa, estandarditzada i consistent. Aquests ajuden a contextualitzar les dades i asseguren que tots els usuaris tenen una comprensió comuna d’aquests.
 - Mestra: dades comunes i compartides a tota l’organització que descriuen conceptes clau per a l’ens local i proporcionen context per a la seva activitat. Representen perímetres determinats de dades, acotats de forma consensuada, i que serveixen com a referència transversal per a tota l'organització o una part.
  - Dades de referència / mestres no homogeneïtzades: dades que s'identifiquen com a rellevants per a ser considerades dades de referència / mestres, però que tenen un origen diferent a l'oficial.
  - Candidat a dades de referència / dades mestres: dada identificada com a possible dada de referència o mestra, que encara està en procés d'avaluació per determinar si compleix els criteris per ser-ho.</t>
  </si>
  <si>
    <t>Conté dades d'ideologia o creences?</t>
  </si>
  <si>
    <t>Marqueu "Sí" quan  el conjunt de dades conté:
 - Dades específiques d'orientació sexual, identitat de gènere o nom sentit.
 - Dades recollides en serveis d'atenció LGTBI, protocols contra la LGTBI-fòbia o violència per raó d'orientació/identitat.
 - Informació sobre processos de transició de gènere.</t>
  </si>
  <si>
    <t>Marqueu "Sí" quan  el conjunt de dades conté:
 - Registres de composició de meses electorals o participació política identificable.
 - Dades sobre creences religioses (p.e. menús escolars per motiu religiós, cementiris confessionals, cessió d'espais de culte).
 - Dades d'afiliació sindical (p.e. descompte de quota sindical en nòmina, crèdit horari sindical).
 - Dades de participació identificable en consultes o processos amb component ideològic explícit.</t>
  </si>
  <si>
    <t>Marqueu "Sí" quan  el conjunt de dades conté:
 - Dades de control d'accés o de presència mitjançant empremta dactilar, reconeixement facial o de veu.
 - Signatura biomètrica dinàmica (captura de pressió, velocitat i traç, no una simple imatge escanejada).
 - Videovigilància únicament quan incorpora reconeixement facial automàtic actiu (identificació unívoca).</t>
  </si>
  <si>
    <t>Marqueu "Sí" quan  el conjunt de dades conté:
 - Certificats mèdics i informes de baixa laboral quan el motiu és identificable o se'n pot deduir el diagnòstic.
 - Graus de discapacitat o de dependència.
 - Dades de serveis socials relacionades amb addiccions, salut mental o atenció a la dependència.
 - Al·lèrgies o intoleràncies alimentàries en menjadors escolars o casals.
 - Dades de vacunació o d'aptitud física.</t>
  </si>
  <si>
    <t>Marqueu "Sí" quan  el conjunt de dades conté:
 - Informes jurídics o dictàmens interns previs a una decisió, mentre no siguin públics.
 - Ofertes econòmiques d'empreses en processos de contractació encara no resolts.
 - Informes d'auditoria interna, control financer o intervenció amb detecció d'irregularitats.
 - Esborranys de pressupostos o plans urbanístics en fase d'estudi, previs a la seva aprovació.
 - Informació operativa de seguretat ciutadana no divulgable.</t>
  </si>
  <si>
    <t>Marqueu "Sí" quan  el conjunt de dades conté:
 - Usuaris i contrasenyes, tokens, certificats digitals o claus d'API.
 - Registres (logs) d'accés a sistemes o edificis amb marca horària i identificació d'usuari.
 - Plans de seguretat, plans d'autoprotecció o protocols d'emergència amb informació sensible d'infraestructures crítiques.
 - Imatges de videovigilància amb finalitat de seguretat (a més de marcar-se com a dada personal, cal indicar també aquesta categoria).</t>
  </si>
  <si>
    <t>Existeix el risc de representar la mateixa dada de manera diferent en més d'un lloc?</t>
  </si>
  <si>
    <t>Existeix el risc de que hi hagi dades que no reflecteixin la realitat actual?</t>
  </si>
  <si>
    <t>Existeix el risc de que hi hagi dades que no hagin passat validacions de qualitat?</t>
  </si>
  <si>
    <t>Existeix el risc de dades repetides?</t>
  </si>
  <si>
    <t>Existeix el risc de que algú, que no hagi de tenir accés, pugui accedir a dades sensibles?</t>
  </si>
  <si>
    <t>Existeix el risc de algú pugui utilitzar les dades per a una finalitat diferent a l'autoritzada?</t>
  </si>
  <si>
    <t>Existeix el risc d'exposició indeguda de dades sensibles?</t>
  </si>
  <si>
    <t>Existeix el risc de que les dades surtin de l'àmbit de control de l'ens local per error o per un atac?</t>
  </si>
  <si>
    <t>Existeix el risc de pèrdua de disponibilitat de les dades i dels sistemes?</t>
  </si>
  <si>
    <t>Existeix el risc de pèrdua definitiva de dades?</t>
  </si>
  <si>
    <t>Existeix el risc de no saber qui, quan i com s'ha fet un canvi a les dades?</t>
  </si>
  <si>
    <t>Existeix el risc de no hi hagi procediments documentats de com actuar davant un incident amb les dades?</t>
  </si>
  <si>
    <t>L'espai de treball on les dades són necessàries o es poden utilitzar, ja sigui dins un únic servei, compartides entre diverses àrees o en col·laboració amb entitats externes, indicant el nivell de coordinació que això comporta.
L’abast organitzatiu pot ser:
 - Intern departamental
 - Intern transversal
 - Intern multiorganisme
 - Extern obert</t>
  </si>
  <si>
    <t>Conté dades de seguretat i accés?</t>
  </si>
  <si>
    <t>Rols i responsabilitats</t>
  </si>
  <si>
    <t>Càrrec del responsable del conjunt de dades</t>
  </si>
  <si>
    <t>Càrrec del gestor del conjunt de dades</t>
  </si>
  <si>
    <t>Càrrec del custodi del conjunt de dades</t>
  </si>
  <si>
    <t>Existeix el risc de que les dades i els accessos no siguin revisats o auditats de forma periòdica?</t>
  </si>
  <si>
    <t>Marqueu "Sí" quan  el conjunt de dades conté:
 - Noms, cognoms, DNI/NIF, adreça, telèfon, correu electrònic, matrícula, IP o qualsevol identificador d'expedient vinculat a una persona física concreta.
 - Dades pseudonimitzades o xifrades que l'ens pugui re-identificar amb informació addicional que ja posseeix.
 - Dades de contacte d'una persona física que actua en representació d'una persona jurídica (nom i cognoms del representant).</t>
  </si>
  <si>
    <t>Inventari de finques agrícoles i forestals</t>
  </si>
  <si>
    <t>Inventari de l'Arbrat Urbà i Zones Verdes</t>
  </si>
  <si>
    <t>Registre d'Animals Potencialment Perillosos (GPP)</t>
  </si>
  <si>
    <t>Registre Municipal de Parelles de Fet</t>
  </si>
  <si>
    <t>Cens d'Activitats de Risc i Plans d'Autoprotecció (PAU)</t>
  </si>
  <si>
    <t>Registre anonimitzat del perfil sociodemogràfic dels demandants d'ocupació (edat, gènere, nivell d'estudis, sector professional, temps en atur).</t>
  </si>
  <si>
    <t>Detall de les ofertes gestionades (sector, tipus de contracte, requisits) i indicadors d'eficiència (temps mitjà per cobrir la vacant).</t>
  </si>
  <si>
    <t>Indicador econòmic i cens geolocalitzat dels establiments comercials sense activitat a peu de carrer, orientat a plans de dinamització comercial.</t>
  </si>
  <si>
    <t>Delimitació geogràfica, parcel·lari, serveis disponibles i directori d'empreses ubicades a les zones industrials de la localitat.</t>
  </si>
  <si>
    <t>Flux de documents de la corporació (presencial i online) amb indicació del canal d'entrada/sortida, tipus de document i classificació.</t>
  </si>
  <si>
    <t>Registre oficial de subvencions concedides a entitats i ciutadans, estructurat segons els camps de la Base de Dades Nacional de Subvencions (BDNS).</t>
  </si>
  <si>
    <t>Matriu de contribuents i objectes tributaris subjectes a impostos i taxes municipals (IBI, IVTM, Taxa de Residus) garantint l'anonimització.</t>
  </si>
  <si>
    <t>Informació sobre el valor cadastral, superfícies de parcel·les, anys de construcció i referències cadastrals del terme.</t>
  </si>
  <si>
    <t>Cens geolocalitzat de centres educatius, instal·lacions esportives, casals, teatres, biblioteques i espais administratius de titularitat pública.</t>
  </si>
  <si>
    <t>Registre dels treballs de reparació, pintura, fusteria o paleta realitzats de forma directa o subcontractada als edificis municipals i carrers.</t>
  </si>
  <si>
    <t>Inventari de terrenys, parcel·les i sostres de propietat pública destinats per llei a la construcció d'habitatges protegits.</t>
  </si>
  <si>
    <t>Parc d'habitatges públics de lloguer, immobles assignats a programes de mediació o a la bossa de lloguer municipal.</t>
  </si>
  <si>
    <t>Llistat exhaustiu de persones i unitats familiars inscrites al registre de demandants d'habitatge protegit amb dades de renda.</t>
  </si>
  <si>
    <t>Intermediació en Deutes de l'Habitatge</t>
  </si>
  <si>
    <t>Registre agregat i anònim de casos atesos per risc d'exclusió residencial, execucions hipotecàries o mediacions de lloguer (SIDH).</t>
  </si>
  <si>
    <t>Inspecció Tècnica d'Edificis (ITE)</t>
  </si>
  <si>
    <t>Estat de conservació del parc immobiliari privat: relació de finques que han passat la ITE, resultats i requeriments de rehabilitació.</t>
  </si>
  <si>
    <t>Padró Municipal d'Habitants i Demografia</t>
  </si>
  <si>
    <t>Històric i xifres oficials de la població resident agrupada per seccions censals, edats, gèneres, altes i baixes.</t>
  </si>
  <si>
    <t>Nomenclàtor de Vies Públiques i Numeració Postal</t>
  </si>
  <si>
    <t>Registre oficial i unificat de noms de carrers, places, avingudes i codis de numeració postal associats del municipi.</t>
  </si>
  <si>
    <t>Cartografia de la Xarxa Viària i Carrers</t>
  </si>
  <si>
    <t>Eixos viaris, traçats de carrers, sentits de la marxa, amplades de via i dades espacials del callejero municipal.</t>
  </si>
  <si>
    <t>Elements Tècnics del Pla de Protecció Civil (DUPROCIM)</t>
  </si>
  <si>
    <t>Inventari de recursos, zones de risc, hidrants i elements crítics definits en el pla d'emergència municipal (SITMUN/PCOM).</t>
  </si>
  <si>
    <t>Llistat d'establiments obligats a tenir un pla d'autoprotecció homologat (discoteques, recintes de gran aforament, indústries).</t>
  </si>
  <si>
    <t>Inscripcions i Formació de Treballadors Públics</t>
  </si>
  <si>
    <t>Registre del personal de l'ens local inscrit a les accions de capacitació i cursos de formació contínua (DIBA o propis).</t>
  </si>
  <si>
    <t>Gestió de Nòmines i Costos de Personal</t>
  </si>
  <si>
    <t>Estructura agregada de despeses de personal, retencions d'IRPF, cotitzacions a la Seguretat Social, tipus de contractes i altes/baixes.</t>
  </si>
  <si>
    <t>Gestió de Personal: Plantilla i Relació de Llocs de Treball (RLT)</t>
  </si>
  <si>
    <t>Taula unificada que detalla l'organigrama municipal: llocs físics de treball, funcions, categories professionals i dades del personal.</t>
  </si>
  <si>
    <t>Sinistralitat i Accidents Laborals de la Plantilla</t>
  </si>
  <si>
    <t>Històric d'accidents laborals ocorreguts als treballadors públics, tipologia del succés, data, hora, àrea afectada i dies de baixa.</t>
  </si>
  <si>
    <t>Directori de Contacte del Personal de l'Ens Local</t>
  </si>
  <si>
    <t>Indicadors de Sostenibilitat: Consums i Canvi Climàtic</t>
  </si>
  <si>
    <t>Sèries temporals de consum d'energia, aigua i residus dels equipaments públics per a l'inventari d'emissions (PAESC) i vulnerabilitat.</t>
  </si>
  <si>
    <t>Recollida i Gestió de Residus Municipals</t>
  </si>
  <si>
    <t>Dades de tones de residus recollides fraccionades (rebuig, orgànica, paper, vidre, envasos) i estadístiques de la deixalleria.</t>
  </si>
  <si>
    <t>Cens geomàtic de tots els arbres plantats a la via pública, espècies vegetals de parcs i paratges urbans de manteniment municipal.</t>
  </si>
  <si>
    <t>Fons Documental de l'Arxiu Municipal</t>
  </si>
  <si>
    <t>Catàleg, índex i quadre de classificació dels fons documentals històrics i administratius conservats a l'arxiu de la vila.</t>
  </si>
  <si>
    <t>Fons Fotogràfic i Audiovisual de l'Arxiu</t>
  </si>
  <si>
    <t>Catàleg d'imatges històriques i modernes registrades o cedides a l'ajuntament, amb metadades de data, autor i temàtica.</t>
  </si>
  <si>
    <t>Inventari de Béns Culturals d'Interès Local (BCIL)</t>
  </si>
  <si>
    <t>Catàleg de monuments, obres i elements d'alt valor històric definits sota la protecció de la figura jurídica de BCIL.</t>
  </si>
  <si>
    <t>Catàleg de Protecció del Patrimoni Arquitectònic i Paisatgístic</t>
  </si>
  <si>
    <t>Llistat detallat d'edificis protegits, façanes, conjunts històrics i jaciments arqueològics (inclou el nivell BCIL i BCIN).</t>
  </si>
  <si>
    <t>Usuaris i Préstecs de la Xarxa de Biblioteques</t>
  </si>
  <si>
    <t>Activitat del servei bibliotecari local gestionat de forma centralitzada: altes d'usuaris, catàleg de volums disponibles i préstecs (DIBA).</t>
  </si>
  <si>
    <t>Venda d'Entrades per a Activitats Culturals (Ticketing)</t>
  </si>
  <si>
    <t>Dades de consum cultural: volum d'entrades venudes, aforaments de teatres/concerts municipals i tipologia de tarifes.</t>
  </si>
  <si>
    <t>Agenda d'Activitats i Esdeveniments Municipals</t>
  </si>
  <si>
    <t>Programació pública d'actes institucionals, culturals, esportius i de lleure que es fan al municipi.</t>
  </si>
  <si>
    <t>Xarxes d'Infraestructures de Serveis i Subministraments</t>
  </si>
  <si>
    <t>Cartografia de les xarxes subterrànies i aèries: clavegueram, aigua potable, pluvials, hidrants, enllumenat i fibra òptica.</t>
  </si>
  <si>
    <t>Cens geolocalitzat de punts de llum, fanals, tipus de lluminàries (LED/vapor de sodi), quadres elèctrics i consum.</t>
  </si>
  <si>
    <t>Inventari de Béns Mobles, Immobles i Vehicles</t>
  </si>
  <si>
    <t>Registre legal i obligatori de tots els actius patrimonials, finques, edificis, parcs de vehicles i drets de propietat de l'Ajuntament.</t>
  </si>
  <si>
    <t>Atenció i Intervenció en Serveis Socials</t>
  </si>
  <si>
    <t>Matriu de dades d'indicadors de vulnerabilitat social i atencions bàsiques realitzades pels equips de serveis socials de l'ens local.</t>
  </si>
  <si>
    <t>Prestacions de Protecció Social per Unitat Familiar</t>
  </si>
  <si>
    <t>Dades agregades de l'ajuda econòmica o de serveis atorgats a nuclis familiars (menjadors escolars, ajuts d'urgència, targetes).</t>
  </si>
  <si>
    <t>Dades del Servei d'Atenció Domiciliària (SAD)</t>
  </si>
  <si>
    <t>Indicadors del servei assistencial a les llars: nombre de beneficiaris, hores de servei prestades, perfil d'usuaris i assistència.</t>
  </si>
  <si>
    <t>Dades del Servei de Teleassistència Municipal</t>
  </si>
  <si>
    <t>Registre d'usuaris del servei de polsador d'emergències (perfil d'edat, ràtio d'alertes resoltes, dispositius actius).</t>
  </si>
  <si>
    <t>Atenció Integral a les Dones (Servei SIAD)</t>
  </si>
  <si>
    <t>Estadístiques anònimes dels expedients assistencials en l'àmbit de la igualtat i atenció a dones en situació de violència (Hèstia).</t>
  </si>
  <si>
    <t>Atenció al Col·lectiu LGTBI (Servei SAI)</t>
  </si>
  <si>
    <t>Indicadors de les consultes i expedients atesos pel Servei d'Atenció Integral LGTBI per discriminació o assessorament (Hèstia).</t>
  </si>
  <si>
    <t>Registre d'Habitatges d'Ús Turístic (HUT)</t>
  </si>
  <si>
    <t>Llistat de llicències concedides per a apartaments i habitatges vacacionals reglats, amb capacitat de places i ubicació.</t>
  </si>
  <si>
    <t>Ocupacions del Sòl i Terrasses a la Via Pública</t>
  </si>
  <si>
    <t>Llicències vigents per a la instal·lació de terrasses de bars (taules, cadires, tendals) subjectes a taxa de via pública.</t>
  </si>
  <si>
    <t>Oferta Formativa i Educació al Municipi</t>
  </si>
  <si>
    <t>Catàleg de cursos, tallers i programes educatius adreçats a la ciutadania (escoles d'adults, tallers de cultura, formació).</t>
  </si>
  <si>
    <t>Dades d'Alumnes d'Escoles Municipals</t>
  </si>
  <si>
    <t>Registre d'Entitats, Associacions i Clubs Locals</t>
  </si>
  <si>
    <t>Cens públic i actualitzat d'entitats veïnals, culturals, esportives, juvenils i de comerciants inscrites al registre municipal.</t>
  </si>
  <si>
    <t>Gestió de la Cita Prèvia Municipal</t>
  </si>
  <si>
    <t>Indicadors del servei de reserves d'atenció: volum de cites sol·licitades per departament, temps d'espera i absentisme.</t>
  </si>
  <si>
    <t>Bústia de Queixes, Suggeriments i Propostes</t>
  </si>
  <si>
    <t>Registre de les comunicacions ciutadanes de millora, classificades per temàtica, estat del tràmit i temps de resposta.</t>
  </si>
  <si>
    <t>Indicadors de l'Atenció Ciutadana Presencial (OAC)</t>
  </si>
  <si>
    <t>Estadístiques d'atenció als taulells de l'Oficina d'Atenció Ciutadana: tràmits demanats, temps d'atenció i franges horàries.</t>
  </si>
  <si>
    <t>Interaccions i Consultes del Conversador Virtual (Chatbot)</t>
  </si>
  <si>
    <t>Registre de converses anònimes processades pel servei de chatbot: preguntes freqüents, respostes i ràtio de resolució.</t>
  </si>
  <si>
    <t>Registre de llicències ambientals, comunicacions prèvies i autoritzacions d'activitats permeses en locals del municipi.</t>
  </si>
  <si>
    <t>Avaluació i Qualitat dels Serveis Públics</t>
  </si>
  <si>
    <t>Control Analític de l'Aigua de Consum Humà</t>
  </si>
  <si>
    <t>Resultats dels controls de potabilitat, presència de clor, bacteris i paràmetres químics de l'aigua de boca de la xarxa.</t>
  </si>
  <si>
    <t>Dades Analítiques de Fonts Públiques i Piscines</t>
  </si>
  <si>
    <t>Paràmetres periòdics de qualitat de l'aigua, nivells de clor, pH, controls bacteriològics i estat sanitari de les piscines i fonts.</t>
  </si>
  <si>
    <t>Inventari i Cartografia de Camins Públics i Forestals</t>
  </si>
  <si>
    <t>Catàleg complet amb validesa jurídica i de traçat de la xarxa de camins rurals, pistes forestals i senders de titularitat pública.</t>
  </si>
  <si>
    <t>Registre de les publicacions obligatòries, ordenances aprovades, anuncis de licitació i notificacions exposades al tauler digital.</t>
  </si>
  <si>
    <t>Inventari de Finques Agrícoles i Forestals</t>
  </si>
  <si>
    <t>Mapificació, delimitació de parcel·les i règim de propietat del sòl d'explotació agrícola i àrees boscoses del municipi.</t>
  </si>
  <si>
    <t>Reclamacions i Denúncies de Consum (OMIC)</t>
  </si>
  <si>
    <t>Gestió de l'Oficina Municipal d'Atenció al Consumidor: expedients oberts, sectors amb més reclamacions, temps de mediació i imports.</t>
  </si>
  <si>
    <t>Registre d'Actuacions i Incidències de la Policia Local</t>
  </si>
  <si>
    <t>Diari d'intervencions de seguretat: fets delictius, avisos per soroll, vandalisme, vehicles al dipòsit i vehicles abandonats.</t>
  </si>
  <si>
    <t>Registre de Sancions i Infraccions de la Policia Local</t>
  </si>
  <si>
    <t>Base de dades de multes de trànsit, infraccions de les ordenances de civisme i actes aixecades pels agents de l'autoritat.</t>
  </si>
  <si>
    <t>Accidents de Trànsit Urbà (Integració SIDAT)</t>
  </si>
  <si>
    <t>Dades d'accidents al nucli urbà amb víctimes o danys materials: perfil dels conductors, proves d'alcoholèmia, causes (SCT).</t>
  </si>
  <si>
    <t>Registre de Trucades i Atenció Telefònica</t>
  </si>
  <si>
    <t>Registre de la centraleta de l'ajuntament i del telèfon d'atenció ciutadana (volum de trucades, durada mitjana, derivacions).</t>
  </si>
  <si>
    <t>Llicències de Guals i Reserves d'Espai per a Càrrega</t>
  </si>
  <si>
    <t>Registre de concessions de guals (vados) operatius, reserves de càrrega i descàrrega i zones d'estacionament reservat.</t>
  </si>
  <si>
    <t>Targetes d'Estacionament Regulat i Autoritzacions</t>
  </si>
  <si>
    <t>Punts de Càrrega de Vehicles Elèctrics</t>
  </si>
  <si>
    <t>Geolocalització de les electrolineres públiques, estadístiques de consum (kW/h), ús i registre d'usuaris amb targeta municipal.</t>
  </si>
  <si>
    <t>Aforament i Intensitat de Trànsit al Municipi</t>
  </si>
  <si>
    <t>Volum de vehicles que circulen pels accessos obtingut mitjançant càmeres de lectura de matrícules (OCR) o espires magnètiques.</t>
  </si>
  <si>
    <t>Estadístiques de Visites de la Web Municipal</t>
  </si>
  <si>
    <t>Mètriques de trànsit digital, pàgines més visitades, procedència dels usuaris i temps de permanència (Google Analytics).</t>
  </si>
  <si>
    <t>Resultats històrics d'eleccions (municipals, autonòmiques, generals) desglossats per partits, vots en blanc, nuls i abstenció per mesa.</t>
  </si>
  <si>
    <t>Abonaments de les Instal·lacions Esportives i Piscines</t>
  </si>
  <si>
    <t>Registre de socis, modalitats de quotes d'abonament i accessos diaris registrats a la piscina municipal i complexos esportius.</t>
  </si>
  <si>
    <t>Cens d'Instal·lacions Esportives (Públiques i Privades)</t>
  </si>
  <si>
    <t>Inventari homologat de tots els espais, camps, pavellons i pistes on es practica esport al municipi, utilitzat per a la planificació.</t>
  </si>
  <si>
    <t>Suport Informàtic Intern i Gestió d'Incidències (HelpDesk)</t>
  </si>
  <si>
    <t>Volum de peticions dels treballadors de l'ajuntament, resolució de tiquets informàtics de maquinari, programari i temps mitjà.</t>
  </si>
  <si>
    <t>Catàleg d'Aplicacions i Llicències Corporatives</t>
  </si>
  <si>
    <t>Mapa de programari del consistori amb el llistat d'aplicacions en ús, llicències adquirides, proveïdors i dates de renovació.</t>
  </si>
  <si>
    <t>Registres d'Activitat i Seguretat Informàtica (Logs)</t>
  </si>
  <si>
    <t>Registre de tot el maquinari (servidors, ordinadors, pantalles, mòbils corporatius) de l'Ajuntament.</t>
  </si>
  <si>
    <t>Xarxa de Sensòrica Urbana (Internet de les Cotes - IoT)</t>
  </si>
  <si>
    <t>Fonts Locals, Pous i Punts d'Aigua</t>
  </si>
  <si>
    <t>Inventari de fonts d'aigua potable urbanes, fonts naturals de muntanya, pous municipals i basses forestals contra incendis.</t>
  </si>
  <si>
    <t>Registre d'Animals de Companyia</t>
  </si>
  <si>
    <t>Cens de mascotes (gossos, gats, ferrets) identificades amb microxip registrades al municipi per a la gestió de la convivència.</t>
  </si>
  <si>
    <t>Cens específic de gossos de races potencialment perilloses que compten amb la llicència administrativa obligatòria.</t>
  </si>
  <si>
    <t>Torres de Refrigeració i Control de la Legionel·losi</t>
  </si>
  <si>
    <t>Cens d'instal·lacions industrials, hotels o superfícies comercials amb torres de refrigeració per a la prevenció de brots de legionel·la.</t>
  </si>
  <si>
    <t>Llistat històric i vigent de les inscripcions d'unions civils no matrimonials formalitzades a l'ajuntament.</t>
  </si>
  <si>
    <t>Targetes d'Aparcament per a Persones amb Mobilitat Reduïda (PMR)</t>
  </si>
  <si>
    <t>Control i registre de targetes de transport lliurades a persones amb discapacitat per a l'ús de places de pàrquing reservades.</t>
  </si>
  <si>
    <t>Llistat i detall de convenis signats per l'Ajuntament amb altres administracions, entitats del tercer sector o empreses.</t>
  </si>
  <si>
    <t>Agenda de reunions, trobades institucionals i relació d'actors privats o sectorials rebuts pels càrrecs electors de l'ajuntament.</t>
  </si>
  <si>
    <t>Estructura de càrrecs polítics i de confiança, les seves retribucions oficials i el registre públic de la seva declaració de béns i activitats.</t>
  </si>
  <si>
    <t>Cens d'Activitas de Risc i Plans d'Autoprotecció (PAU)</t>
  </si>
  <si>
    <t>Guia telefònica i de correu electrònic invisible dels treballadors públics agrupada per departaments.</t>
  </si>
  <si>
    <t>Inventari de l'Enllumenat Públic</t>
  </si>
  <si>
    <t>Registre de matriculacions a coles bressol municipals, escoles de música o centres de formació propis (edats, ràtios, beques).</t>
  </si>
  <si>
    <t>Subvencions Sol·licitades per Entitats i Associacions</t>
  </si>
  <si>
    <t>Resultats d'enquestes de satisfacció, indicadors de rendiment dels services obligatoris i auditories externes de qualitat.</t>
  </si>
  <si>
    <t>Infraestructura de Vies Ciclables i Vehicles de Mobilitat Personal (VMP)</t>
  </si>
  <si>
    <t>Inventari d'Actius Tecnològics (Actius TIC)</t>
  </si>
  <si>
    <t>Captació de dades en tempo real de sensors desplegats a la ciutat (qualitat de l'aire, nivell de soroll, ocupació de zones).</t>
  </si>
  <si>
    <t>Calendari d'Esdeveniments i Curses Esportives Urbanes</t>
  </si>
  <si>
    <t>Cronograma anual d'actes atlètics, tornejos o maratons que requereixen l'ús o tall programat de la via pública municipal.</t>
  </si>
  <si>
    <t>Actuacions de Desinfestació i Control de Plagues Urbanes</t>
  </si>
  <si>
    <t>Registre de tractaments i avisos resolts per al control de rosegadors, insectes, coloms o altres vectors a l'espai públic.</t>
  </si>
  <si>
    <t>Inspeccions Sanitàries d'Establiment Alimentaris i Consum</t>
  </si>
  <si>
    <t>Auditories, controls de cadenes de fred i registres d'inspecció de mercats municipals, comerços d'alimentació o menjadors públics.</t>
  </si>
  <si>
    <t>Registre d'activitats econòmiques de la ciutat actives a peu de carrer o en oficines, classificades per sector econòmic.</t>
  </si>
  <si>
    <t>Traçabilitat de la gestió interna: expedients oberts, procediment, sèrie documental, àrea responsable, terminis de resolució i estat actual.</t>
  </si>
  <si>
    <t>Estructura jeràrquica de referència utilitzada per a l'organització, codificació i emmagatzematgede la informació dins de l'organització.</t>
  </si>
  <si>
    <t>Sol·licitants d'ocupació del servei local d'ocupació</t>
  </si>
  <si>
    <t>Ofertes de treball del servei local d'ocupació</t>
  </si>
  <si>
    <t>Cens de locals comercials buits</t>
  </si>
  <si>
    <t>Cens d'empreses, comerços i establiments</t>
  </si>
  <si>
    <t>Polígons de l'activitat econòmica i industrial</t>
  </si>
  <si>
    <t>Tramitació i expedients administratius</t>
  </si>
  <si>
    <t>Registre general d'entrada i sortida de documents</t>
  </si>
  <si>
    <t>Registre municipal de convenis i acords institucionals</t>
  </si>
  <si>
    <t>Taulell d'anuncis i edictes oficials</t>
  </si>
  <si>
    <t>Resultats electorals per mesa i secció censal</t>
  </si>
  <si>
    <t>Subvencions i ajuts Atorgats</t>
  </si>
  <si>
    <t>Tresoreria: pagaments, ingressos i indicador de morositat</t>
  </si>
  <si>
    <t>Dades financeres de pagaments, amb informació de temps mig de pagament a proveïdors i ingressos.</t>
  </si>
  <si>
    <t>Pressupost municipal i previsions financeres</t>
  </si>
  <si>
    <t>Detall de la planificació anual de despeses i ingressos de la corporació local i de les seves entitats adscrites.</t>
  </si>
  <si>
    <t>Execució del presupost municipal</t>
  </si>
  <si>
    <t>Seguiment en temps real o trimestral del grau de cumplimient del pressupost (despesa compromesa, pagaments realitzats i ingressos liquidats).</t>
  </si>
  <si>
    <t>Padrons fiscals i tributs Locall</t>
  </si>
  <si>
    <t>Relació de contractes menors</t>
  </si>
  <si>
    <t>Detall de les contractacions i compres menors de la corporació amb detall d'import, proveïdor i objecte.</t>
  </si>
  <si>
    <t>Licitacions de l'ens local</t>
  </si>
  <si>
    <t>Detall dels concursos i licitacions de contractes de serveis, obres o subministraments incloent plecs i empreses adjudicatàries.</t>
  </si>
  <si>
    <t>Processos participatius i pressupostos participatius</t>
  </si>
  <si>
    <t>Detall dels processos, nombre de participants, propostes de la ciutadania, resultats de votacions populars i estat de l'execució de projectes derivats dels canals de participació municipal.</t>
  </si>
  <si>
    <t>Registre de l'agenda d'alts càrrecs amb grups d'Interès</t>
  </si>
  <si>
    <t>Organigrama polític i declaració de béns</t>
  </si>
  <si>
    <t>Actes del ple i decrets d'Alcaldia</t>
  </si>
  <si>
    <t>Dades d'acords aprovats en les sessions del Ple, de la Junta de Govern Local, així com les resolucions dictades per l'alcalde.</t>
  </si>
  <si>
    <t>Dades de cadastre municipal</t>
  </si>
  <si>
    <t>Planejament urbanístic i ordenació del territori</t>
  </si>
  <si>
    <t>Detall de les parcel·les, qualificacions del sòl, usos permesos i plans que li afecten.</t>
  </si>
  <si>
    <t>Inventari d'equipaments i edificis municipals</t>
  </si>
  <si>
    <t>Actuacions de manteniment en equipaments i via Pública</t>
  </si>
  <si>
    <t>Relació de projectes d'obres noves o de reurbanització amb pressupost, empresa adjudicatària, responsable tècnic i terminis.</t>
  </si>
  <si>
    <t>Actuacions de millora i obres a la via pública</t>
  </si>
  <si>
    <t>Inventari d'activitats del municipi</t>
  </si>
  <si>
    <t>Patrimoni municipal del sòl i de l'habitatge (PMSH)</t>
  </si>
  <si>
    <t>Registre municipal d'habitatges de lloguer públic i social</t>
  </si>
  <si>
    <t>Sol·licitants d'habitatge de protecció oficial (HPO)</t>
  </si>
  <si>
    <t>Enllaç al conjunt de dades</t>
  </si>
  <si>
    <t>Drets socials</t>
  </si>
  <si>
    <t>Seguretat, civisme i policia local</t>
  </si>
  <si>
    <t>Registre de concessions funeràries</t>
  </si>
  <si>
    <t>Relació de les concessions administratives atorgades per a l'ús privatiu de sepultures, amb informació sobre titularitat, termini de vigència, renovacions i situació administrativa.</t>
  </si>
  <si>
    <t>Titulars de drets funeraris</t>
  </si>
  <si>
    <t>Registre de persones físiques o jurídiques titulars de concessions funeràries i dels drets associats a les unitats d'enterrament.</t>
  </si>
  <si>
    <t>Persones difuntes inhumades</t>
  </si>
  <si>
    <t>Registre de les persones enterrades al cementiri municipal, amb informació sobre la sepultura ocupada, dates d'inhumació i, si escau, exhumació o trasllat.</t>
  </si>
  <si>
    <t>Dades de consum energètic dels equipaments municipals</t>
  </si>
  <si>
    <t>Dades de consum d'aigua dels equipaments municipals</t>
  </si>
  <si>
    <t>Padrons fiscals i tributs locals</t>
  </si>
  <si>
    <t>Informació dels consums energètics dels edificis, equipaments i instal·lacions municipals, incloent electricitat, gas i altres fonts d'energia. Permet fer el seguiment dels consums, controlar la despesa energètica, identificar oportunitats d'estalvi i avaluar les polítiques d'eficiència energètica municipal.</t>
  </si>
  <si>
    <t>Conjunt de dades que recull la informació dels consums d'aigua dels edificis, equipaments i instal·lacions municipals. Permet monitorar l'ús dels recursos hídrics, detectar consums anòmals o fuites, optimitzar la despesa associada al servei i impulsar mesures d'estalvi i sostenibilitat.</t>
  </si>
  <si>
    <t>Inventari de projectes d'obres municipals, plans de manteniment i afectacions a la via. Serveix per controlar terminis, pressupostos i coordinació amb serveis afectats, incloent empreses contractistes i permisos.</t>
  </si>
  <si>
    <t>Rutes de neteja viària</t>
  </si>
  <si>
    <t>Conjunt de dades que recull la planificació i els itineraris dels serveis de neteja viària en els diferents carrers, places i espais públics del municipi. Permet organitzar els recursos del servei, garantir la cobertura territorial i optimitzar la prestació de les tasques de neteja.</t>
  </si>
  <si>
    <t>Conjunt de dades que recull la informació dels projectes d'obra promoguts per l'ajuntament, incloent objecte de l'actuació, ubicació, pressupost, termini d'execució i estat de tramitació. Permet fer el seguiment de les inversions municipals i de l'execució de les obres.</t>
  </si>
  <si>
    <t>Projectes d'obres municipals i projectes de manteniment</t>
  </si>
  <si>
    <t>Inscripcions i formació de treballadors públics</t>
  </si>
  <si>
    <t>Inventari de béns culturals d'interès local (BCIL)</t>
  </si>
  <si>
    <t>Inventari de béns mobles, immobles i vehicles</t>
  </si>
  <si>
    <t>Xarxes d'infraestructures de serveis i subministraments</t>
  </si>
  <si>
    <t>Atenció i intervenció en serveis socials</t>
  </si>
  <si>
    <t>Avaluació i qualitat dels serveis públics</t>
  </si>
  <si>
    <t>Fons documental de l'arxiu municipal</t>
  </si>
  <si>
    <t>Fons fotogràfic i audiovisual de l'arxiu</t>
  </si>
  <si>
    <t>Registre municipal de parelles de fet</t>
  </si>
  <si>
    <t>Subvencions i ajuts atorgats</t>
  </si>
  <si>
    <t>Intermediació en deutes de l'hhabitatge</t>
  </si>
  <si>
    <t>Inspecció tècnica d'edificis (ITE)</t>
  </si>
  <si>
    <t>Padró municipal d'habitants i demografia</t>
  </si>
  <si>
    <t>Nomenclàtor de vies públiques i numeració Postal</t>
  </si>
  <si>
    <t>Cartografia de la xarxa viària i carrers</t>
  </si>
  <si>
    <t>Elements tècnics del pla de protecció civil (DUPROCIM)</t>
  </si>
  <si>
    <t>Cens d'activitas de risc i plans d'autoprotecció (PAU)</t>
  </si>
  <si>
    <t>Gestió de nòmines i costos de personal</t>
  </si>
  <si>
    <t>Gestió de personal: plantilla i relació de llocs de treball (RLT)</t>
  </si>
  <si>
    <t>Sinistralitat i accidents laborals dels treballadors</t>
  </si>
  <si>
    <t>Directori de contacte del personal de l'ens Local</t>
  </si>
  <si>
    <t>Indicadors de sostenibilitat: consums i canvi climàtic</t>
  </si>
  <si>
    <t>Recollida i gestió de residus municipals</t>
  </si>
  <si>
    <t>Inventari de l'arbrat urbà i zones verdes</t>
  </si>
  <si>
    <t>Inventari i cartografia de camins públics i forestals</t>
  </si>
  <si>
    <t>Registre d'animals de companyia</t>
  </si>
  <si>
    <t xml:space="preserve">Registre d'animals potencialment perillosos </t>
  </si>
  <si>
    <t>Catàleg de protecció del patrimoni arquitectònic i paisatgístic</t>
  </si>
  <si>
    <t>Usuaris i préstecs de les biblioteques</t>
  </si>
  <si>
    <t>Venda d'entrades per a activitats culturals (Ticketing)</t>
  </si>
  <si>
    <t>Agenda d'activitats i esdeveniments municipals</t>
  </si>
  <si>
    <t>Inventari de l'enllumenat públic</t>
  </si>
  <si>
    <t>Prestacions de protecció social per unitat familiar</t>
  </si>
  <si>
    <t>Dades del servei d'atenció domiciliària (SAD)</t>
  </si>
  <si>
    <t>Dades del servei de teleassistència municipal</t>
  </si>
  <si>
    <t>Atenció Integral a les dones (Servei SIAD)</t>
  </si>
  <si>
    <t xml:space="preserve">Atenció al col·lectiu LGTBI </t>
  </si>
  <si>
    <t>Reclamacions i denúncies de consum (OMIC)</t>
  </si>
  <si>
    <t>Registre d'habitatges d'ús turístic (HUT)</t>
  </si>
  <si>
    <t>Ocupacions del sòl i terrasses a la via pública</t>
  </si>
  <si>
    <t>Oferta formativa i educativa del Municipi</t>
  </si>
  <si>
    <t>Dades d'alumnes d'escoles municipals</t>
  </si>
  <si>
    <t>Registre d'entitats, Associacions i Clubs Locals</t>
  </si>
  <si>
    <t>Gestió de la cita prèvia municipal</t>
  </si>
  <si>
    <t>Bústia de queixes, suggeriments i propostes</t>
  </si>
  <si>
    <t>Indicadors de l'atenció ciutadana presencial (OAC)</t>
  </si>
  <si>
    <t>Interaccions i consultes del conversador virtual (Chatbot)</t>
  </si>
  <si>
    <t>Registre de trucades i atenció telefònica</t>
  </si>
  <si>
    <t>Control analític de l'aigua de consum humà</t>
  </si>
  <si>
    <t>Control analític de fonts públiques i piscines</t>
  </si>
  <si>
    <t>Fonts locals, pous i punts d'Aigua</t>
  </si>
  <si>
    <t>Registre d'actuacions i incidències de la policia local</t>
  </si>
  <si>
    <t>Registre de sancions i infraccions de la policia local</t>
  </si>
  <si>
    <t>Accidents de trànsit urbà</t>
  </si>
  <si>
    <t>Llicències de guals i reserves d'espai per a càrrega</t>
  </si>
  <si>
    <t>Targetes d'estacionament regulat i autoritzacions</t>
  </si>
  <si>
    <t>Punts de càrrega de vehicles elèctrics</t>
  </si>
  <si>
    <t>Aforament i intensitat de trànsit al municipi</t>
  </si>
  <si>
    <t>Targetes d'aparcament per a persones amb mobilitat reduïda (PMR)</t>
  </si>
  <si>
    <t>Registre de vehicles autoritzats per aparcar en zones reservades de residents (zona verda/blava) o condicions especials (exclós mobilitat reduïda).</t>
  </si>
  <si>
    <t>Infraestructura de vies ciclables i vehicles de mobilitat personal (VMP)</t>
  </si>
  <si>
    <t>Inventari georeferenciat de carrils bici, zones 30, aparcaments tancats i punts de lloguer de bicicletes i patinetsde la ciutat.</t>
  </si>
  <si>
    <t>Estadístiques de visites de la web municipal</t>
  </si>
  <si>
    <t>Suport informàtic intern i gestió d'incidències (HelpDesk)</t>
  </si>
  <si>
    <t>Catàleg d'aplicacions i llicències corporatives</t>
  </si>
  <si>
    <t>Registres d'activitat i seguretat informàtica (Logs)</t>
  </si>
  <si>
    <t>Traça d'auditoria tècnica dels accessos a servidors, entrades a aplicacions web municipals i rendiment</t>
  </si>
  <si>
    <t>Inventari d'actius tecnològics (Actius TIC)</t>
  </si>
  <si>
    <t>Inspeccions sanitàries d'establiments alimentaris i de consum</t>
  </si>
  <si>
    <t>Actuacions de desinfestació i control de plagues urbanes</t>
  </si>
  <si>
    <t>Torres de refrigeració i control de la legionel·losi</t>
  </si>
  <si>
    <t>Calendari d'esdeveniments i curses esportives en el municipi</t>
  </si>
  <si>
    <t>Cens d'instal·lacions esportives (públiques i privades)</t>
  </si>
  <si>
    <t>Abonaments de les instal·lacions esportives i piscines</t>
  </si>
  <si>
    <t>Xarxa de sensòrica urbana (IoT)</t>
  </si>
  <si>
    <t xml:space="preserve">Sistema de gestió </t>
  </si>
  <si>
    <t>Núm. Sistemes d'informació</t>
  </si>
  <si>
    <t>Plataforma de gestió d'cnformació de sensors</t>
  </si>
  <si>
    <t>Gestió de l'espai públic i serveis al territori</t>
  </si>
  <si>
    <t>Inclou programació cultural, reserves d'espais, activitats, subvencions culturals. Permet planificar esdeveniments, gestionar aforaments, i conservar informació sobre col·leccions i edificis d'interès.</t>
  </si>
  <si>
    <t>Model de provisió i responsabilitat amb què es presta o s’utilitza el sistema, indicant el nivell de gestió que recau internament i quin sobre proveïdors externs.
El tipus de servei pot ser:
 - On-premise, si es basa en infraestructura pròpia i l’ens local assumeix la gestió completa de maquinari, programari i dades.
 - IaaS, si un proveïdor extern facilita la infraestructura bàsica  (servidors virtuals, emmagatzematge i xarxa), i l’ens local gestiona el sistema operatiu,  el programari i les dades.
 - PaaS, si un proveïdor extern facilita la infraestructura i l’entorn de la plataforma (bàsica  (sistema operatiu, bases de dades, entorns d'execució), i l’ens local gestiona el programari i les dades.
 - SaaS, si un proveïdor extern gestiona la totalitat de la solució, incloent-hi el programari.</t>
  </si>
  <si>
    <t xml:space="preserve">Indica on s’allotja el sistema: en servidors municipals (local), en plataformes de núvol (cloud) o en un model mixt (híbrid).
L’arquitectura pot ser:
 - On-premise (local), si el sistema s’allotja en servidors propis de l’ens local gestionats per ells mateixos i les dades no surten en cap moment de la infraestructura pròpia.
 - Pública (núvol públic), si el sistema s’allotja a la infraestructura d’un proveïdor de serveis al núvol de manera compartida amb altres clients amb un aïllament lògic.
 - Privada (núvol privat), si el sistema s’allotja a la infraestructura d’un proveïdor de serveis al núvol de dedicada en exclusiva a l’ens local.
 - Híbrida, si el sistema combina components allotjats de manera local amb components al núvol (públic o privat). </t>
  </si>
  <si>
    <t>Probabilitat: Baixa 
Impacte: Baix (1)</t>
  </si>
  <si>
    <t>Probabilitat: Baixa 
Impacte: Moderat (1)</t>
  </si>
  <si>
    <t>Probabilitat: Baixa 
Impacte: Alt (2)</t>
  </si>
  <si>
    <t>Probabilitat: Mitja 
Impacte: Baix (1)</t>
  </si>
  <si>
    <t>Probabilitat: Mitja 
Impacte: Moderat (3)</t>
  </si>
  <si>
    <t>Probabilitat: Mitja 
Impacte: Alt (4)</t>
  </si>
  <si>
    <t>Probabilitat: Alta 
Impacte: Baix (3)</t>
  </si>
  <si>
    <t>Probabilitat: Alta 
Impacte: Moderat (4)</t>
  </si>
  <si>
    <t>Probabilitat: Alta 
Impacte: Alt (4)</t>
  </si>
  <si>
    <t>Nivell de risc general</t>
  </si>
  <si>
    <t>Els riscos es defineixen segons la probabilitat i l’impacte que poden tenir:
Probabilitat:
 - Baixa quan és improbable o no ha ocorregut en els darrers dos anys
 - Mitja quan és possible que el risc es materialitzi o ha ocorregut al menys un cop l'any.
 - Alta quan és altament probable o ha ocorregut diversos cops l'any.
Impacte:
 - Baix quan l'impacte és assumible i no afecta dades sensibles.
 - Mig quan l'impacte és significatiu.
 - Alt quan l'impacte és greu i implica aturades de servei, costos econòmics o sancions, o afectació a dades sensibles.</t>
  </si>
  <si>
    <t>Indica el nivell de risc general calculat automàticament fent el promig dels valors associats als riscos anteriors.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</si>
</sst>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5" x14ac:knownFonts="1">
    <font>
      <sz val="11"/>
      <color theme="1"/>
      <name val="Aptos Narrow"/>
      <family val="2"/>
      <scheme val="minor"/>
    </font>
    <font>
      <sz val="11"/>
      <color theme="1"/>
      <name val="Aptos Narrow"/>
      <family val="2"/>
      <scheme val="minor"/>
    </font>
    <font>
      <sz val="11"/>
      <color rgb="FF000000"/>
      <name val="Calibri"/>
      <family val="2"/>
    </font>
    <font>
      <sz val="11"/>
      <color theme="1"/>
      <name val="Arial"/>
      <family val="2"/>
    </font>
    <font>
      <sz val="12"/>
      <color theme="1"/>
      <name val="Aptos Narrow"/>
      <family val="2"/>
      <scheme val="minor"/>
    </font>
    <font>
      <sz val="11"/>
      <color rgb="FF000000"/>
      <name val="Arial"/>
      <family val="2"/>
    </font>
    <font>
      <b/>
      <sz val="11"/>
      <color rgb="FF000000"/>
      <name val="Arial"/>
      <family val="2"/>
    </font>
    <font>
      <b/>
      <sz val="20"/>
      <color rgb="FF000000"/>
      <name val="Calibri"/>
      <family val="2"/>
    </font>
    <font>
      <b/>
      <sz val="11"/>
      <color rgb="FFC00000"/>
      <name val="Aptos Narrow"/>
      <family val="2"/>
      <scheme val="minor"/>
    </font>
    <font>
      <b/>
      <sz val="18"/>
      <color theme="1"/>
      <name val="Arial"/>
      <family val="2"/>
    </font>
    <font>
      <b/>
      <sz val="11"/>
      <color theme="1"/>
      <name val="Calibri"/>
      <family val="2"/>
    </font>
    <font>
      <sz val="11"/>
      <name val="Calibri"/>
      <family val="2"/>
    </font>
    <font>
      <b/>
      <sz val="16"/>
      <color rgb="FFFFFFFF"/>
      <name val="Calibri"/>
      <family val="2"/>
    </font>
    <font>
      <sz val="11"/>
      <color rgb="FF000000"/>
      <name val="Calibri"/>
      <family val="2"/>
    </font>
    <font>
      <sz val="8"/>
      <name val="Aptos Narrow"/>
      <family val="2"/>
      <scheme val="minor"/>
    </font>
    <font>
      <sz val="10"/>
      <color theme="1"/>
      <name val="Arial"/>
      <family val="2"/>
    </font>
    <font>
      <sz val="10"/>
      <color theme="1"/>
      <name val="Aptos Narrow"/>
      <family val="2"/>
      <scheme val="minor"/>
    </font>
    <font>
      <strike/>
      <sz val="10"/>
      <color theme="1"/>
      <name val="Aptos Narrow"/>
      <family val="2"/>
      <scheme val="minor"/>
    </font>
    <font>
      <b/>
      <sz val="10"/>
      <color rgb="FF000000"/>
      <name val="Calibri"/>
      <family val="2"/>
    </font>
    <font>
      <sz val="10"/>
      <color rgb="FF000000"/>
      <name val="Calibri"/>
      <family val="2"/>
    </font>
    <font>
      <b/>
      <sz val="10"/>
      <color rgb="FFFFFFFF"/>
      <name val="Calibri"/>
      <family val="2"/>
    </font>
    <font>
      <sz val="18"/>
      <color theme="1"/>
      <name val="Aptos Narrow"/>
      <family val="2"/>
      <scheme val="minor"/>
    </font>
    <font>
      <b/>
      <sz val="18"/>
      <color rgb="FF000000"/>
      <name val="Calibri"/>
      <family val="2"/>
    </font>
    <font>
      <b/>
      <strike/>
      <sz val="18"/>
      <color rgb="FF000000"/>
      <name val="Calibri"/>
      <family val="2"/>
    </font>
    <font>
      <b/>
      <sz val="10"/>
      <color theme="1"/>
      <name val="Arial"/>
      <family val="2"/>
    </font>
    <font>
      <b/>
      <sz val="10"/>
      <color theme="1"/>
      <name val="Aptos Narrow"/>
      <family val="2"/>
      <scheme val="minor"/>
    </font>
    <font>
      <b/>
      <sz val="10"/>
      <color theme="0"/>
      <name val="Aptos Narrow"/>
      <family val="2"/>
      <scheme val="minor"/>
    </font>
    <font>
      <sz val="10"/>
      <color rgb="FFC00000"/>
      <name val="Calibri"/>
      <family val="2"/>
    </font>
    <font>
      <sz val="10"/>
      <name val="Calibri"/>
      <family val="2"/>
    </font>
    <font>
      <sz val="10"/>
      <color theme="1"/>
      <name val="Calibri"/>
      <family val="2"/>
    </font>
    <font>
      <b/>
      <sz val="8"/>
      <color theme="0"/>
      <name val="Aptos Narrow"/>
      <family val="2"/>
      <scheme val="minor"/>
    </font>
    <font>
      <sz val="8"/>
      <color theme="1"/>
      <name val="Aptos Narrow"/>
      <family val="2"/>
      <scheme val="minor"/>
    </font>
    <font>
      <i/>
      <sz val="8"/>
      <name val="Aptos Narrow"/>
      <family val="2"/>
      <scheme val="minor"/>
    </font>
    <font>
      <b/>
      <sz val="11"/>
      <color theme="0"/>
      <name val="Aptos Narrow"/>
      <family val="2"/>
      <scheme val="minor"/>
    </font>
    <font>
      <b/>
      <sz val="11"/>
      <color theme="1"/>
      <name val="Aptos Narrow"/>
      <family val="2"/>
      <scheme val="minor"/>
    </font>
    <font>
      <sz val="9"/>
      <color theme="1"/>
      <name val="Aptos Narrow"/>
      <family val="2"/>
      <scheme val="minor"/>
    </font>
    <font>
      <sz val="8"/>
      <color theme="1"/>
      <name val="Arial"/>
      <family val="2"/>
    </font>
    <font>
      <i/>
      <sz val="8"/>
      <color theme="1" tint="0.499984740745262"/>
      <name val="Arial"/>
      <family val="2"/>
    </font>
    <font>
      <b/>
      <sz val="11"/>
      <color theme="1"/>
      <name val="Arial"/>
      <family val="2"/>
    </font>
    <font>
      <sz val="9"/>
      <color rgb="FFFF0000"/>
      <name val="Aptos Narrow"/>
      <family val="2"/>
      <scheme val="minor"/>
    </font>
    <font>
      <b/>
      <sz val="9"/>
      <color rgb="FFFF0000"/>
      <name val="Calibri"/>
      <family val="2"/>
    </font>
    <font>
      <i/>
      <sz val="9"/>
      <color rgb="FFFF0000"/>
      <name val="Aptos Narrow"/>
      <family val="2"/>
      <scheme val="minor"/>
    </font>
    <font>
      <sz val="9"/>
      <color indexed="81"/>
      <name val="Tahoma"/>
      <family val="2"/>
    </font>
    <font>
      <b/>
      <sz val="11"/>
      <name val="Calibri"/>
      <family val="2"/>
    </font>
    <font>
      <i/>
      <sz val="9"/>
      <color theme="2" tint="-9.9978637043366805E-2"/>
      <name val="Aptos Narrow"/>
      <family val="2"/>
      <scheme val="minor"/>
    </font>
    <font>
      <i/>
      <sz val="11"/>
      <color theme="2" tint="-9.9978637043366805E-2"/>
      <name val="Aptos Narrow"/>
      <family val="2"/>
      <scheme val="minor"/>
    </font>
    <font>
      <b/>
      <i/>
      <sz val="11"/>
      <color theme="2" tint="-9.9978637043366805E-2"/>
      <name val="Aptos Narrow"/>
      <family val="2"/>
      <scheme val="minor"/>
    </font>
    <font>
      <b/>
      <i/>
      <sz val="11"/>
      <color theme="1" tint="0.499984740745262"/>
      <name val="Arial"/>
      <family val="2"/>
    </font>
    <font>
      <i/>
      <sz val="11"/>
      <color theme="1" tint="0.499984740745262"/>
      <name val="Arial"/>
      <family val="2"/>
    </font>
    <font>
      <b/>
      <sz val="10"/>
      <color theme="0"/>
      <name val="Calibri"/>
      <family val="2"/>
    </font>
    <font>
      <b/>
      <sz val="10"/>
      <color rgb="FFFFFFFF"/>
      <name val="Calibri"/>
    </font>
    <font>
      <i/>
      <sz val="8"/>
      <color theme="1" tint="0.499984740745262"/>
      <name val="Arial"/>
    </font>
    <font>
      <sz val="10"/>
      <color rgb="FF000000"/>
      <name val="Calibri"/>
    </font>
    <font>
      <b/>
      <sz val="10"/>
      <color theme="0"/>
      <name val="Calibri"/>
    </font>
    <font>
      <b/>
      <sz val="18"/>
      <color rgb="FF000000"/>
      <name val="Calibri"/>
    </font>
    <font>
      <sz val="10"/>
      <color theme="1"/>
      <name val="Calibri"/>
    </font>
    <font>
      <sz val="11"/>
      <name val="Calibri"/>
    </font>
    <font>
      <b/>
      <sz val="11"/>
      <color theme="1"/>
      <name val="Calibri"/>
    </font>
    <font>
      <b/>
      <sz val="16"/>
      <color rgb="FFFFFFFF"/>
      <name val="Calibri"/>
    </font>
    <font>
      <b/>
      <sz val="11"/>
      <color rgb="FF000000"/>
      <name val="Calibri"/>
    </font>
    <font>
      <b/>
      <sz val="11"/>
      <color theme="1"/>
      <name val="Arial"/>
    </font>
    <font>
      <b/>
      <sz val="20"/>
      <color rgb="FF000000"/>
      <name val="Calibri"/>
    </font>
    <font>
      <b/>
      <sz val="12"/>
      <color theme="0"/>
      <name val="Aptos Narrow"/>
      <family val="2"/>
      <scheme val="minor"/>
    </font>
    <font>
      <sz val="8"/>
      <color theme="0"/>
      <name val="Aptos Narrow"/>
      <family val="2"/>
      <scheme val="minor"/>
    </font>
    <font>
      <sz val="10"/>
      <color theme="0"/>
      <name val="Calibri"/>
      <family val="2"/>
    </font>
    <font>
      <b/>
      <sz val="8"/>
      <color theme="1"/>
      <name val="Aptos Narrow"/>
      <family val="2"/>
      <scheme val="minor"/>
    </font>
    <font>
      <sz val="8"/>
      <color rgb="FF000000"/>
      <name val="Calibri"/>
      <family val="2"/>
    </font>
    <font>
      <sz val="10"/>
      <color theme="1"/>
      <name val="Arial"/>
    </font>
    <font>
      <sz val="11"/>
      <color theme="1"/>
      <name val="Segoe UI"/>
      <family val="2"/>
    </font>
    <font>
      <b/>
      <i/>
      <sz val="8"/>
      <color theme="1" tint="0.499984740745262"/>
      <name val="Arial"/>
      <family val="2"/>
    </font>
    <font>
      <b/>
      <sz val="11"/>
      <color theme="1"/>
      <name val="Segoe UI"/>
      <family val="2"/>
    </font>
    <font>
      <sz val="12"/>
      <color rgb="FF000000"/>
      <name val="Calibri"/>
      <family val="2"/>
    </font>
    <font>
      <b/>
      <i/>
      <sz val="12"/>
      <color theme="1" tint="0.499984740745262"/>
      <name val="Arial"/>
      <family val="2"/>
    </font>
    <font>
      <i/>
      <sz val="12"/>
      <color theme="1" tint="0.499984740745262"/>
      <name val="Arial"/>
      <family val="2"/>
    </font>
    <font>
      <i/>
      <sz val="11"/>
      <color theme="1"/>
      <name val="Calibri"/>
    </font>
  </fonts>
  <fills count="25">
    <fill>
      <patternFill patternType="none"/>
    </fill>
    <fill>
      <patternFill patternType="gray125"/>
    </fill>
    <fill>
      <patternFill patternType="solid">
        <fgColor theme="0"/>
        <bgColor indexed="64"/>
      </patternFill>
    </fill>
    <fill>
      <patternFill patternType="solid">
        <fgColor rgb="FF9E1732"/>
        <bgColor rgb="FF000000"/>
      </patternFill>
    </fill>
    <fill>
      <patternFill patternType="solid">
        <fgColor theme="0" tint="-0.14999847407452621"/>
        <bgColor indexed="64"/>
      </patternFill>
    </fill>
    <fill>
      <patternFill patternType="solid">
        <fgColor theme="2"/>
        <bgColor indexed="64"/>
      </patternFill>
    </fill>
    <fill>
      <patternFill patternType="solid">
        <fgColor theme="0" tint="-4.9989318521683403E-2"/>
        <bgColor indexed="64"/>
      </patternFill>
    </fill>
    <fill>
      <patternFill patternType="solid">
        <fgColor rgb="FF9E1732"/>
        <bgColor indexed="64"/>
      </patternFill>
    </fill>
    <fill>
      <patternFill patternType="solid">
        <fgColor theme="5"/>
        <bgColor indexed="64"/>
      </patternFill>
    </fill>
    <fill>
      <patternFill patternType="solid">
        <fgColor theme="0" tint="-0.249977111117893"/>
        <bgColor indexed="64"/>
      </patternFill>
    </fill>
    <fill>
      <patternFill patternType="solid">
        <fgColor theme="9"/>
        <bgColor indexed="64"/>
      </patternFill>
    </fill>
    <fill>
      <patternFill patternType="solid">
        <fgColor theme="9" tint="0.79998168889431442"/>
        <bgColor indexed="64"/>
      </patternFill>
    </fill>
    <fill>
      <patternFill patternType="solid">
        <fgColor theme="4"/>
        <bgColor indexed="64"/>
      </patternFill>
    </fill>
    <fill>
      <patternFill patternType="solid">
        <fgColor theme="3" tint="0.499984740745262"/>
        <bgColor indexed="64"/>
      </patternFill>
    </fill>
    <fill>
      <patternFill patternType="solid">
        <fgColor theme="8"/>
        <bgColor indexed="64"/>
      </patternFill>
    </fill>
    <fill>
      <patternFill patternType="solid">
        <fgColor rgb="FFD9D9D9"/>
        <bgColor rgb="FF000000"/>
      </patternFill>
    </fill>
    <fill>
      <patternFill patternType="solid">
        <fgColor rgb="FFFFFFFF"/>
        <bgColor rgb="FF000000"/>
      </patternFill>
    </fill>
    <fill>
      <patternFill patternType="solid">
        <fgColor rgb="FFFFFF00"/>
        <bgColor indexed="64"/>
      </patternFill>
    </fill>
    <fill>
      <patternFill patternType="solid">
        <fgColor theme="7"/>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5" tint="0.39997558519241921"/>
        <bgColor indexed="64"/>
      </patternFill>
    </fill>
    <fill>
      <patternFill patternType="solid">
        <fgColor rgb="FFFF0000"/>
        <bgColor indexed="64"/>
      </patternFill>
    </fill>
    <fill>
      <patternFill patternType="solid">
        <fgColor rgb="FFFFC000"/>
        <bgColor indexed="64"/>
      </patternFill>
    </fill>
    <fill>
      <patternFill patternType="solid">
        <fgColor rgb="FFCC660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top/>
      <bottom style="thick">
        <color rgb="FF9E1732"/>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bottom style="thin">
        <color theme="1" tint="0.499984740745262"/>
      </bottom>
      <diagonal/>
    </border>
    <border>
      <left/>
      <right/>
      <top style="thin">
        <color theme="1" tint="0.499984740745262"/>
      </top>
      <bottom style="thin">
        <color theme="1" tint="0.499984740745262"/>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style="thin">
        <color rgb="FF000000"/>
      </left>
      <right style="thin">
        <color rgb="FF000000"/>
      </right>
      <top style="thin">
        <color rgb="FF000000"/>
      </top>
      <bottom style="thin">
        <color rgb="FF000000"/>
      </bottom>
      <diagonal/>
    </border>
    <border>
      <left style="medium">
        <color rgb="FFE6E6E6"/>
      </left>
      <right style="medium">
        <color rgb="FFE6E6E6"/>
      </right>
      <top style="medium">
        <color rgb="FFE6E6E6"/>
      </top>
      <bottom style="medium">
        <color rgb="FFE6E6E6"/>
      </bottom>
      <diagonal/>
    </border>
  </borders>
  <cellStyleXfs count="4">
    <xf numFmtId="0" fontId="0" fillId="0" borderId="0"/>
    <xf numFmtId="9" fontId="1" fillId="0" borderId="0" applyFont="0" applyFill="0" applyBorder="0" applyAlignment="0" applyProtection="0"/>
    <xf numFmtId="0" fontId="2" fillId="0" borderId="0"/>
    <xf numFmtId="0" fontId="13" fillId="0" borderId="0"/>
  </cellStyleXfs>
  <cellXfs count="210">
    <xf numFmtId="0" fontId="0" fillId="0" borderId="0" xfId="0"/>
    <xf numFmtId="0" fontId="3" fillId="2" borderId="0" xfId="2" applyFont="1" applyFill="1" applyAlignment="1">
      <alignment horizontal="left" vertical="center"/>
    </xf>
    <xf numFmtId="49" fontId="0" fillId="2" borderId="0" xfId="0" applyNumberFormat="1" applyFill="1"/>
    <xf numFmtId="49" fontId="0" fillId="2" borderId="0" xfId="0" applyNumberFormat="1" applyFill="1" applyAlignment="1">
      <alignment vertical="center"/>
    </xf>
    <xf numFmtId="0" fontId="0" fillId="2" borderId="0" xfId="0" applyFill="1"/>
    <xf numFmtId="0" fontId="0" fillId="2" borderId="0" xfId="0" applyFill="1" applyAlignment="1">
      <alignment vertical="top" wrapText="1"/>
    </xf>
    <xf numFmtId="0" fontId="7" fillId="2" borderId="2" xfId="0" applyFont="1" applyFill="1" applyBorder="1" applyAlignment="1">
      <alignment horizontal="left" vertical="center" readingOrder="1"/>
    </xf>
    <xf numFmtId="0" fontId="0" fillId="2" borderId="2" xfId="0" applyFill="1" applyBorder="1"/>
    <xf numFmtId="9" fontId="8" fillId="2" borderId="2" xfId="1" applyFont="1" applyFill="1" applyBorder="1"/>
    <xf numFmtId="0" fontId="3" fillId="2" borderId="0" xfId="2" applyFont="1" applyFill="1" applyAlignment="1">
      <alignment horizontal="left" vertical="center" wrapText="1"/>
    </xf>
    <xf numFmtId="0" fontId="7" fillId="2" borderId="2" xfId="0" applyFont="1" applyFill="1" applyBorder="1" applyAlignment="1">
      <alignment horizontal="left" vertical="center" wrapText="1" readingOrder="1"/>
    </xf>
    <xf numFmtId="49" fontId="0" fillId="2" borderId="0" xfId="0" applyNumberFormat="1" applyFill="1" applyAlignment="1">
      <alignment vertical="center" wrapText="1"/>
    </xf>
    <xf numFmtId="0" fontId="15" fillId="2" borderId="0" xfId="2" applyFont="1" applyFill="1" applyAlignment="1">
      <alignment horizontal="left" vertical="center"/>
    </xf>
    <xf numFmtId="49" fontId="16" fillId="2" borderId="0" xfId="0" applyNumberFormat="1" applyFont="1" applyFill="1" applyAlignment="1">
      <alignment vertical="center"/>
    </xf>
    <xf numFmtId="49" fontId="16" fillId="2" borderId="0" xfId="0" applyNumberFormat="1" applyFont="1" applyFill="1" applyAlignment="1">
      <alignment vertical="center" wrapText="1"/>
    </xf>
    <xf numFmtId="49" fontId="17" fillId="2" borderId="0" xfId="0" applyNumberFormat="1" applyFont="1" applyFill="1" applyAlignment="1">
      <alignment vertical="center" wrapText="1"/>
    </xf>
    <xf numFmtId="49" fontId="17" fillId="2" borderId="0" xfId="0" applyNumberFormat="1" applyFont="1" applyFill="1" applyAlignment="1">
      <alignment vertical="center"/>
    </xf>
    <xf numFmtId="49" fontId="19" fillId="2" borderId="0" xfId="2" applyNumberFormat="1" applyFont="1" applyFill="1"/>
    <xf numFmtId="49" fontId="19" fillId="2" borderId="0" xfId="2" applyNumberFormat="1" applyFont="1" applyFill="1" applyAlignment="1">
      <alignment wrapText="1"/>
    </xf>
    <xf numFmtId="49" fontId="19" fillId="2" borderId="0" xfId="2" applyNumberFormat="1" applyFont="1" applyFill="1" applyAlignment="1">
      <alignment vertical="center" wrapText="1"/>
    </xf>
    <xf numFmtId="0" fontId="21" fillId="2" borderId="0" xfId="0" applyFont="1" applyFill="1"/>
    <xf numFmtId="0" fontId="22" fillId="2" borderId="2" xfId="0" applyFont="1" applyFill="1" applyBorder="1" applyAlignment="1">
      <alignment horizontal="left" vertical="center" readingOrder="1"/>
    </xf>
    <xf numFmtId="0" fontId="23" fillId="2" borderId="2" xfId="0" applyFont="1" applyFill="1" applyBorder="1" applyAlignment="1">
      <alignment horizontal="left" vertical="center" readingOrder="1"/>
    </xf>
    <xf numFmtId="0" fontId="20" fillId="3" borderId="8" xfId="3" applyFont="1" applyFill="1" applyBorder="1" applyAlignment="1">
      <alignment horizontal="center" vertical="center" wrapText="1"/>
    </xf>
    <xf numFmtId="49" fontId="19" fillId="2" borderId="8" xfId="2" applyNumberFormat="1" applyFont="1" applyFill="1" applyBorder="1" applyAlignment="1">
      <alignment vertical="center" wrapText="1"/>
    </xf>
    <xf numFmtId="0" fontId="24" fillId="2" borderId="0" xfId="2" applyFont="1" applyFill="1" applyAlignment="1">
      <alignment horizontal="left" vertical="center"/>
    </xf>
    <xf numFmtId="0" fontId="25" fillId="2" borderId="0" xfId="0" applyFont="1" applyFill="1" applyAlignment="1">
      <alignment vertical="center" wrapText="1"/>
    </xf>
    <xf numFmtId="0" fontId="26" fillId="7" borderId="8" xfId="0" applyFont="1" applyFill="1" applyBorder="1" applyAlignment="1">
      <alignment horizontal="center" vertical="center" wrapText="1"/>
    </xf>
    <xf numFmtId="0" fontId="16" fillId="2" borderId="0" xfId="0" applyFont="1" applyFill="1" applyAlignment="1">
      <alignment vertical="center"/>
    </xf>
    <xf numFmtId="14" fontId="16" fillId="2" borderId="8" xfId="0" applyNumberFormat="1" applyFont="1" applyFill="1" applyBorder="1" applyAlignment="1">
      <alignment vertical="center" wrapText="1"/>
    </xf>
    <xf numFmtId="0" fontId="16" fillId="2" borderId="8" xfId="0" applyFont="1" applyFill="1" applyBorder="1" applyAlignment="1">
      <alignment vertical="center" wrapText="1"/>
    </xf>
    <xf numFmtId="0" fontId="16" fillId="2" borderId="8" xfId="0" applyFont="1" applyFill="1" applyBorder="1" applyAlignment="1">
      <alignment horizontal="center" vertical="center" wrapText="1"/>
    </xf>
    <xf numFmtId="0" fontId="16" fillId="0" borderId="0" xfId="0" applyFont="1" applyAlignment="1">
      <alignment vertical="center"/>
    </xf>
    <xf numFmtId="0" fontId="16" fillId="0" borderId="0" xfId="0" applyFont="1" applyAlignment="1">
      <alignment vertical="center" wrapText="1"/>
    </xf>
    <xf numFmtId="49" fontId="27" fillId="2" borderId="0" xfId="3" applyNumberFormat="1" applyFont="1" applyFill="1" applyAlignment="1">
      <alignment vertical="center"/>
    </xf>
    <xf numFmtId="49" fontId="28" fillId="2" borderId="0" xfId="3" applyNumberFormat="1" applyFont="1" applyFill="1" applyAlignment="1">
      <alignment vertical="center"/>
    </xf>
    <xf numFmtId="49" fontId="19" fillId="2" borderId="0" xfId="3" applyNumberFormat="1" applyFont="1" applyFill="1" applyAlignment="1">
      <alignment vertical="center" wrapText="1"/>
    </xf>
    <xf numFmtId="49" fontId="19" fillId="2" borderId="0" xfId="3" applyNumberFormat="1" applyFont="1" applyFill="1" applyAlignment="1">
      <alignment vertical="center"/>
    </xf>
    <xf numFmtId="0" fontId="22" fillId="2" borderId="0" xfId="0" applyFont="1" applyFill="1" applyAlignment="1">
      <alignment horizontal="left" vertical="center" readingOrder="1"/>
    </xf>
    <xf numFmtId="0" fontId="23" fillId="2" borderId="0" xfId="0" applyFont="1" applyFill="1" applyAlignment="1">
      <alignment horizontal="left" vertical="center" readingOrder="1"/>
    </xf>
    <xf numFmtId="0" fontId="19" fillId="2" borderId="0" xfId="0" applyFont="1" applyFill="1" applyAlignment="1">
      <alignment horizontal="left" vertical="center" readingOrder="1"/>
    </xf>
    <xf numFmtId="0" fontId="29" fillId="4" borderId="8" xfId="0" applyFont="1" applyFill="1" applyBorder="1" applyAlignment="1">
      <alignment horizontal="left" vertical="center" wrapText="1"/>
    </xf>
    <xf numFmtId="0" fontId="16" fillId="2" borderId="10" xfId="0" applyFont="1" applyFill="1" applyBorder="1" applyAlignment="1">
      <alignment vertical="center"/>
    </xf>
    <xf numFmtId="0" fontId="30" fillId="7" borderId="0" xfId="0" applyFont="1" applyFill="1"/>
    <xf numFmtId="0" fontId="31" fillId="0" borderId="0" xfId="0" applyFont="1"/>
    <xf numFmtId="0" fontId="32" fillId="6" borderId="0" xfId="0" applyFont="1" applyFill="1" applyAlignment="1">
      <alignment vertical="center"/>
    </xf>
    <xf numFmtId="0" fontId="31" fillId="6" borderId="0" xfId="0" applyFont="1" applyFill="1"/>
    <xf numFmtId="20" fontId="31" fillId="6" borderId="0" xfId="0" quotePrefix="1" applyNumberFormat="1" applyFont="1" applyFill="1" applyAlignment="1">
      <alignment horizontal="center" vertical="center"/>
    </xf>
    <xf numFmtId="0" fontId="31" fillId="6" borderId="0" xfId="0" applyFont="1" applyFill="1" applyAlignment="1">
      <alignment horizontal="center" vertical="center"/>
    </xf>
    <xf numFmtId="0" fontId="34" fillId="0" borderId="0" xfId="0" applyFont="1"/>
    <xf numFmtId="0" fontId="34" fillId="2" borderId="0" xfId="0" applyFont="1" applyFill="1"/>
    <xf numFmtId="0" fontId="0" fillId="2" borderId="11" xfId="0" applyFill="1" applyBorder="1"/>
    <xf numFmtId="49" fontId="35" fillId="2" borderId="0" xfId="0" applyNumberFormat="1" applyFont="1" applyFill="1" applyAlignment="1">
      <alignment vertical="center" wrapText="1"/>
    </xf>
    <xf numFmtId="0" fontId="36" fillId="2" borderId="0" xfId="2" applyFont="1" applyFill="1" applyAlignment="1">
      <alignment horizontal="left" vertical="center"/>
    </xf>
    <xf numFmtId="3" fontId="37" fillId="2" borderId="0" xfId="1" applyNumberFormat="1" applyFont="1" applyFill="1" applyAlignment="1">
      <alignment horizontal="center" vertical="center"/>
    </xf>
    <xf numFmtId="9" fontId="37" fillId="2" borderId="0" xfId="1" applyFont="1" applyFill="1" applyAlignment="1">
      <alignment horizontal="center" vertical="center"/>
    </xf>
    <xf numFmtId="49" fontId="31" fillId="2" borderId="0" xfId="0" applyNumberFormat="1" applyFont="1" applyFill="1" applyAlignment="1">
      <alignment vertical="center"/>
    </xf>
    <xf numFmtId="0" fontId="16" fillId="2" borderId="8" xfId="0" applyFont="1" applyFill="1" applyBorder="1" applyAlignment="1">
      <alignment horizontal="left" vertical="center" wrapText="1"/>
    </xf>
    <xf numFmtId="0" fontId="38" fillId="2" borderId="0" xfId="2" applyFont="1" applyFill="1" applyAlignment="1">
      <alignment horizontal="left" vertical="center"/>
    </xf>
    <xf numFmtId="49" fontId="34" fillId="2" borderId="0" xfId="0" applyNumberFormat="1" applyFont="1" applyFill="1" applyAlignment="1">
      <alignment vertical="center" wrapText="1"/>
    </xf>
    <xf numFmtId="49" fontId="34" fillId="2" borderId="0" xfId="0" applyNumberFormat="1" applyFont="1" applyFill="1" applyAlignment="1">
      <alignment vertical="center"/>
    </xf>
    <xf numFmtId="0" fontId="34" fillId="2" borderId="0" xfId="0" applyFont="1" applyFill="1" applyAlignment="1">
      <alignment vertical="center" wrapText="1"/>
    </xf>
    <xf numFmtId="0" fontId="33" fillId="7" borderId="8" xfId="0" applyFont="1" applyFill="1" applyBorder="1" applyAlignment="1">
      <alignment horizontal="center" vertical="center" wrapText="1"/>
    </xf>
    <xf numFmtId="49" fontId="39" fillId="2" borderId="0" xfId="0" applyNumberFormat="1" applyFont="1" applyFill="1" applyAlignment="1">
      <alignment vertical="center" wrapText="1"/>
    </xf>
    <xf numFmtId="0" fontId="40" fillId="2" borderId="2" xfId="0" applyFont="1" applyFill="1" applyBorder="1" applyAlignment="1">
      <alignment horizontal="left" vertical="center" readingOrder="1"/>
    </xf>
    <xf numFmtId="0" fontId="40" fillId="2" borderId="0" xfId="0" applyFont="1" applyFill="1" applyAlignment="1">
      <alignment horizontal="left" vertical="center" readingOrder="1"/>
    </xf>
    <xf numFmtId="0" fontId="39" fillId="2" borderId="0" xfId="0" applyFont="1" applyFill="1"/>
    <xf numFmtId="0" fontId="41" fillId="2" borderId="0" xfId="0" applyFont="1" applyFill="1"/>
    <xf numFmtId="0" fontId="39" fillId="0" borderId="0" xfId="0" applyFont="1"/>
    <xf numFmtId="49" fontId="19" fillId="2" borderId="10" xfId="3" applyNumberFormat="1" applyFont="1" applyFill="1" applyBorder="1" applyAlignment="1">
      <alignment vertical="center" wrapText="1"/>
    </xf>
    <xf numFmtId="0" fontId="38" fillId="2" borderId="0" xfId="2" applyFont="1" applyFill="1" applyAlignment="1">
      <alignment horizontal="left" vertical="center" wrapText="1"/>
    </xf>
    <xf numFmtId="9" fontId="0" fillId="2" borderId="11" xfId="0" applyNumberFormat="1" applyFill="1" applyBorder="1"/>
    <xf numFmtId="0" fontId="31" fillId="8" borderId="0" xfId="0" applyFont="1" applyFill="1"/>
    <xf numFmtId="0" fontId="16" fillId="2" borderId="8" xfId="0" applyFont="1" applyFill="1" applyBorder="1" applyAlignment="1">
      <alignment vertical="center"/>
    </xf>
    <xf numFmtId="0" fontId="16" fillId="2" borderId="8" xfId="0" applyFont="1" applyFill="1" applyBorder="1" applyAlignment="1">
      <alignment horizontal="left" vertical="center"/>
    </xf>
    <xf numFmtId="9" fontId="0" fillId="2" borderId="0" xfId="0" applyNumberFormat="1" applyFill="1"/>
    <xf numFmtId="0" fontId="31" fillId="9" borderId="0" xfId="0" applyFont="1" applyFill="1"/>
    <xf numFmtId="0" fontId="0" fillId="6" borderId="0" xfId="0" applyFill="1"/>
    <xf numFmtId="0" fontId="30" fillId="10" borderId="0" xfId="0" applyFont="1" applyFill="1"/>
    <xf numFmtId="0" fontId="31" fillId="11" borderId="0" xfId="0" applyFont="1" applyFill="1"/>
    <xf numFmtId="0" fontId="30" fillId="12" borderId="0" xfId="0" applyFont="1" applyFill="1"/>
    <xf numFmtId="0" fontId="30" fillId="14" borderId="0" xfId="0" applyFont="1" applyFill="1"/>
    <xf numFmtId="0" fontId="30" fillId="8" borderId="0" xfId="0" applyFont="1" applyFill="1"/>
    <xf numFmtId="0" fontId="31" fillId="0" borderId="0" xfId="0" applyFont="1" applyAlignment="1">
      <alignment vertical="top" wrapText="1"/>
    </xf>
    <xf numFmtId="49" fontId="11" fillId="0" borderId="1" xfId="0" applyNumberFormat="1" applyFont="1" applyBorder="1" applyAlignment="1">
      <alignment vertical="top" wrapText="1"/>
    </xf>
    <xf numFmtId="0" fontId="12" fillId="3" borderId="3" xfId="0" applyFont="1" applyFill="1" applyBorder="1" applyAlignment="1">
      <alignment horizontal="center" vertical="top" wrapText="1"/>
    </xf>
    <xf numFmtId="0" fontId="9" fillId="5" borderId="7" xfId="2" applyFont="1" applyFill="1" applyBorder="1" applyAlignment="1">
      <alignment vertical="top" wrapText="1"/>
    </xf>
    <xf numFmtId="0" fontId="0" fillId="0" borderId="0" xfId="0" applyAlignment="1">
      <alignment vertical="top" wrapText="1"/>
    </xf>
    <xf numFmtId="49" fontId="10" fillId="4" borderId="1" xfId="0" applyNumberFormat="1" applyFont="1" applyFill="1" applyBorder="1" applyAlignment="1">
      <alignment horizontal="left" vertical="center" wrapText="1"/>
    </xf>
    <xf numFmtId="0" fontId="12" fillId="3" borderId="5" xfId="0" applyFont="1" applyFill="1" applyBorder="1" applyAlignment="1">
      <alignment horizontal="center" vertical="top" wrapText="1"/>
    </xf>
    <xf numFmtId="0" fontId="0" fillId="2" borderId="0" xfId="0" applyFill="1" applyAlignment="1">
      <alignment horizontal="left" wrapText="1"/>
    </xf>
    <xf numFmtId="49" fontId="0" fillId="2" borderId="0" xfId="0" applyNumberFormat="1" applyFill="1" applyAlignment="1">
      <alignment horizontal="left" wrapText="1"/>
    </xf>
    <xf numFmtId="0" fontId="12" fillId="3" borderId="4" xfId="0" applyFont="1" applyFill="1" applyBorder="1" applyAlignment="1">
      <alignment horizontal="left" vertical="top" wrapText="1"/>
    </xf>
    <xf numFmtId="49" fontId="0" fillId="2" borderId="0" xfId="0" applyNumberFormat="1" applyFill="1" applyAlignment="1">
      <alignment wrapText="1"/>
    </xf>
    <xf numFmtId="0" fontId="0" fillId="0" borderId="0" xfId="0" applyAlignment="1">
      <alignment horizontal="left" wrapText="1"/>
    </xf>
    <xf numFmtId="0" fontId="0" fillId="2" borderId="0" xfId="0" applyFill="1" applyAlignment="1">
      <alignment wrapText="1"/>
    </xf>
    <xf numFmtId="0" fontId="0" fillId="2" borderId="2" xfId="0" applyFill="1" applyBorder="1" applyAlignment="1">
      <alignment wrapText="1"/>
    </xf>
    <xf numFmtId="49" fontId="11" fillId="2" borderId="1" xfId="0" applyNumberFormat="1" applyFont="1" applyFill="1" applyBorder="1" applyAlignment="1">
      <alignment vertical="top" wrapText="1"/>
    </xf>
    <xf numFmtId="0" fontId="7" fillId="2" borderId="0" xfId="0" applyFont="1" applyFill="1" applyAlignment="1">
      <alignment horizontal="left" vertical="top" wrapText="1" readingOrder="1"/>
    </xf>
    <xf numFmtId="49" fontId="11" fillId="2" borderId="1" xfId="0" applyNumberFormat="1" applyFont="1" applyFill="1" applyBorder="1" applyAlignment="1">
      <alignment vertical="center" wrapText="1"/>
    </xf>
    <xf numFmtId="49" fontId="10" fillId="4" borderId="3" xfId="0" applyNumberFormat="1" applyFont="1" applyFill="1" applyBorder="1" applyAlignment="1">
      <alignment horizontal="left" vertical="center" wrapText="1"/>
    </xf>
    <xf numFmtId="0" fontId="7" fillId="2" borderId="2" xfId="0" applyFont="1" applyFill="1" applyBorder="1" applyAlignment="1">
      <alignment horizontal="left" vertical="top" wrapText="1" readingOrder="1"/>
    </xf>
    <xf numFmtId="0" fontId="3" fillId="2" borderId="0" xfId="2" applyFont="1" applyFill="1" applyAlignment="1">
      <alignment horizontal="left" vertical="top" wrapText="1"/>
    </xf>
    <xf numFmtId="0" fontId="7" fillId="17" borderId="2" xfId="0" applyFont="1" applyFill="1" applyBorder="1" applyAlignment="1">
      <alignment horizontal="left" vertical="top" wrapText="1" readingOrder="1"/>
    </xf>
    <xf numFmtId="0" fontId="44" fillId="2" borderId="0" xfId="0" applyFont="1" applyFill="1"/>
    <xf numFmtId="0" fontId="45" fillId="0" borderId="0" xfId="0" applyFont="1"/>
    <xf numFmtId="0" fontId="45" fillId="2" borderId="0" xfId="0" applyFont="1" applyFill="1"/>
    <xf numFmtId="0" fontId="46" fillId="2" borderId="0" xfId="0" applyFont="1" applyFill="1"/>
    <xf numFmtId="0" fontId="45" fillId="2" borderId="11" xfId="0" applyFont="1" applyFill="1" applyBorder="1"/>
    <xf numFmtId="9" fontId="45" fillId="2" borderId="11" xfId="0" applyNumberFormat="1" applyFont="1" applyFill="1" applyBorder="1"/>
    <xf numFmtId="0" fontId="15" fillId="2" borderId="0" xfId="2" applyFont="1" applyFill="1" applyAlignment="1">
      <alignment horizontal="left" vertical="top"/>
    </xf>
    <xf numFmtId="0" fontId="22" fillId="2" borderId="2" xfId="0" applyFont="1" applyFill="1" applyBorder="1" applyAlignment="1">
      <alignment horizontal="left" vertical="top" readingOrder="1"/>
    </xf>
    <xf numFmtId="0" fontId="12" fillId="3" borderId="4" xfId="0" applyFont="1" applyFill="1" applyBorder="1" applyAlignment="1">
      <alignment vertical="top" wrapText="1"/>
    </xf>
    <xf numFmtId="0" fontId="0" fillId="0" borderId="0" xfId="0" applyAlignment="1">
      <alignment horizontal="left" vertical="top" wrapText="1"/>
    </xf>
    <xf numFmtId="0" fontId="0" fillId="2" borderId="0" xfId="0" applyFill="1" applyAlignment="1">
      <alignment horizontal="left" vertical="top" wrapText="1"/>
    </xf>
    <xf numFmtId="49" fontId="10" fillId="4" borderId="1" xfId="0" applyNumberFormat="1" applyFont="1" applyFill="1" applyBorder="1" applyAlignment="1">
      <alignment horizontal="left" vertical="top" wrapText="1"/>
    </xf>
    <xf numFmtId="49" fontId="0" fillId="2" borderId="0" xfId="0" applyNumberFormat="1" applyFill="1" applyAlignment="1">
      <alignment vertical="top" wrapText="1"/>
    </xf>
    <xf numFmtId="0" fontId="9" fillId="5" borderId="6" xfId="2" applyFont="1" applyFill="1" applyBorder="1" applyAlignment="1">
      <alignment horizontal="left" vertical="top" wrapText="1"/>
    </xf>
    <xf numFmtId="0" fontId="12" fillId="3" borderId="3" xfId="0" applyFont="1" applyFill="1" applyBorder="1" applyAlignment="1">
      <alignment horizontal="left" vertical="top" wrapText="1"/>
    </xf>
    <xf numFmtId="0" fontId="24" fillId="2" borderId="0" xfId="2" applyFont="1" applyFill="1" applyAlignment="1">
      <alignment horizontal="left" vertical="top"/>
    </xf>
    <xf numFmtId="49" fontId="16" fillId="2" borderId="0" xfId="0" applyNumberFormat="1" applyFont="1" applyFill="1" applyAlignment="1">
      <alignment vertical="top"/>
    </xf>
    <xf numFmtId="0" fontId="12" fillId="3" borderId="5" xfId="0" applyFont="1" applyFill="1" applyBorder="1" applyAlignment="1">
      <alignment vertical="top" wrapText="1"/>
    </xf>
    <xf numFmtId="0" fontId="11" fillId="0" borderId="5" xfId="0" applyFont="1" applyBorder="1" applyAlignment="1">
      <alignment vertical="top" wrapText="1"/>
    </xf>
    <xf numFmtId="0" fontId="4" fillId="0" borderId="0" xfId="0" applyFont="1" applyAlignment="1">
      <alignment vertical="center"/>
    </xf>
    <xf numFmtId="0" fontId="5" fillId="2" borderId="0" xfId="0" applyFont="1" applyFill="1" applyAlignment="1">
      <alignment horizontal="left" vertical="center"/>
    </xf>
    <xf numFmtId="0" fontId="3" fillId="2" borderId="0" xfId="0" applyFont="1" applyFill="1" applyAlignment="1">
      <alignment vertical="center"/>
    </xf>
    <xf numFmtId="0" fontId="0" fillId="0" borderId="0" xfId="0" applyAlignment="1">
      <alignment vertical="center"/>
    </xf>
    <xf numFmtId="0" fontId="38" fillId="2" borderId="0" xfId="0" applyFont="1" applyFill="1" applyAlignment="1">
      <alignment vertical="center" wrapText="1"/>
    </xf>
    <xf numFmtId="0" fontId="47" fillId="6" borderId="0" xfId="0" applyFont="1" applyFill="1" applyAlignment="1">
      <alignment vertical="center" wrapText="1"/>
    </xf>
    <xf numFmtId="0" fontId="6" fillId="2" borderId="0" xfId="0" applyFont="1" applyFill="1" applyAlignment="1">
      <alignment horizontal="left" vertical="top" wrapText="1"/>
    </xf>
    <xf numFmtId="0" fontId="30" fillId="18" borderId="0" xfId="0" applyFont="1" applyFill="1"/>
    <xf numFmtId="0" fontId="31" fillId="19" borderId="0" xfId="0" applyFont="1" applyFill="1"/>
    <xf numFmtId="0" fontId="49" fillId="3" borderId="8" xfId="3" applyFont="1" applyFill="1" applyBorder="1" applyAlignment="1">
      <alignment horizontal="center" vertical="center" wrapText="1"/>
    </xf>
    <xf numFmtId="0" fontId="24" fillId="2" borderId="0" xfId="2" applyFont="1" applyFill="1" applyAlignment="1">
      <alignment horizontal="left" vertical="center" wrapText="1"/>
    </xf>
    <xf numFmtId="0" fontId="22" fillId="2" borderId="2" xfId="0" applyFont="1" applyFill="1" applyBorder="1" applyAlignment="1">
      <alignment horizontal="left" vertical="center" wrapText="1" readingOrder="1"/>
    </xf>
    <xf numFmtId="0" fontId="50" fillId="3" borderId="8" xfId="3" applyFont="1" applyFill="1" applyBorder="1" applyAlignment="1">
      <alignment horizontal="center" vertical="center" wrapText="1"/>
    </xf>
    <xf numFmtId="9" fontId="51" fillId="2" borderId="0" xfId="1" applyFont="1" applyFill="1" applyAlignment="1">
      <alignment horizontal="center" vertical="center"/>
    </xf>
    <xf numFmtId="49" fontId="52" fillId="2" borderId="8" xfId="2" applyNumberFormat="1" applyFont="1" applyFill="1" applyBorder="1" applyAlignment="1">
      <alignment vertical="center" wrapText="1"/>
    </xf>
    <xf numFmtId="0" fontId="54" fillId="2" borderId="2" xfId="0" applyFont="1" applyFill="1" applyBorder="1" applyAlignment="1">
      <alignment horizontal="left" vertical="center" readingOrder="1"/>
    </xf>
    <xf numFmtId="0" fontId="55" fillId="4" borderId="8" xfId="0" applyFont="1" applyFill="1" applyBorder="1" applyAlignment="1">
      <alignment horizontal="left" vertical="center" wrapText="1"/>
    </xf>
    <xf numFmtId="0" fontId="53" fillId="3" borderId="8" xfId="3" applyFont="1" applyFill="1" applyBorder="1" applyAlignment="1">
      <alignment horizontal="center" vertical="center" wrapText="1"/>
    </xf>
    <xf numFmtId="49" fontId="56" fillId="2" borderId="1" xfId="0" applyNumberFormat="1" applyFont="1" applyFill="1" applyBorder="1" applyAlignment="1">
      <alignment vertical="top" wrapText="1"/>
    </xf>
    <xf numFmtId="49" fontId="56" fillId="0" borderId="1" xfId="0" applyNumberFormat="1" applyFont="1" applyBorder="1" applyAlignment="1">
      <alignment vertical="top" wrapText="1"/>
    </xf>
    <xf numFmtId="49" fontId="57" fillId="4" borderId="1" xfId="0" applyNumberFormat="1" applyFont="1" applyFill="1" applyBorder="1" applyAlignment="1">
      <alignment horizontal="left" vertical="top" wrapText="1"/>
    </xf>
    <xf numFmtId="49" fontId="56" fillId="0" borderId="3" xfId="0" applyNumberFormat="1" applyFont="1" applyBorder="1" applyAlignment="1">
      <alignment vertical="top" wrapText="1"/>
    </xf>
    <xf numFmtId="49" fontId="57" fillId="4" borderId="3" xfId="0" applyNumberFormat="1" applyFont="1" applyFill="1" applyBorder="1" applyAlignment="1">
      <alignment horizontal="left" vertical="top" wrapText="1"/>
    </xf>
    <xf numFmtId="0" fontId="58" fillId="3" borderId="5" xfId="0" applyFont="1" applyFill="1" applyBorder="1" applyAlignment="1">
      <alignment horizontal="center" vertical="top" wrapText="1"/>
    </xf>
    <xf numFmtId="0" fontId="58" fillId="3" borderId="4" xfId="0" applyFont="1" applyFill="1" applyBorder="1" applyAlignment="1">
      <alignment horizontal="left" vertical="top" wrapText="1"/>
    </xf>
    <xf numFmtId="0" fontId="56" fillId="16" borderId="5" xfId="0" applyFont="1" applyFill="1" applyBorder="1" applyAlignment="1">
      <alignment vertical="top" wrapText="1"/>
    </xf>
    <xf numFmtId="0" fontId="59" fillId="15" borderId="3" xfId="0" applyFont="1" applyFill="1" applyBorder="1" applyAlignment="1">
      <alignment vertical="top" wrapText="1"/>
    </xf>
    <xf numFmtId="0" fontId="56" fillId="0" borderId="5" xfId="0" applyFont="1" applyBorder="1" applyAlignment="1">
      <alignment vertical="top" wrapText="1"/>
    </xf>
    <xf numFmtId="0" fontId="16" fillId="6" borderId="8" xfId="0" applyFont="1" applyFill="1" applyBorder="1" applyAlignment="1">
      <alignment horizontal="center" vertical="center"/>
    </xf>
    <xf numFmtId="0" fontId="60" fillId="2" borderId="0" xfId="2" applyFont="1" applyFill="1" applyAlignment="1">
      <alignment horizontal="left" vertical="center"/>
    </xf>
    <xf numFmtId="0" fontId="61" fillId="2" borderId="2" xfId="0" applyFont="1" applyFill="1" applyBorder="1" applyAlignment="1">
      <alignment horizontal="left" vertical="center" readingOrder="1"/>
    </xf>
    <xf numFmtId="49" fontId="19" fillId="2" borderId="8" xfId="3" applyNumberFormat="1" applyFont="1" applyFill="1" applyBorder="1" applyAlignment="1">
      <alignment vertical="center" wrapText="1"/>
    </xf>
    <xf numFmtId="0" fontId="16" fillId="2" borderId="8" xfId="0" applyFont="1" applyFill="1" applyBorder="1"/>
    <xf numFmtId="0" fontId="0" fillId="2" borderId="8" xfId="0" applyFill="1" applyBorder="1"/>
    <xf numFmtId="0" fontId="29" fillId="6" borderId="8" xfId="0" applyFont="1" applyFill="1" applyBorder="1" applyAlignment="1">
      <alignment horizontal="center" vertical="center" wrapText="1"/>
    </xf>
    <xf numFmtId="0" fontId="55" fillId="6" borderId="8" xfId="0" applyFont="1" applyFill="1" applyBorder="1" applyAlignment="1">
      <alignment horizontal="center" vertical="center" wrapText="1"/>
    </xf>
    <xf numFmtId="0" fontId="22" fillId="17" borderId="2" xfId="0" applyFont="1" applyFill="1" applyBorder="1" applyAlignment="1">
      <alignment horizontal="left" vertical="center" readingOrder="1"/>
    </xf>
    <xf numFmtId="0" fontId="16" fillId="2" borderId="8" xfId="0" applyFont="1" applyFill="1" applyBorder="1" applyAlignment="1">
      <alignment wrapText="1"/>
    </xf>
    <xf numFmtId="0" fontId="63" fillId="7" borderId="8" xfId="0" applyFont="1" applyFill="1" applyBorder="1" applyAlignment="1">
      <alignment horizontal="center" vertical="center" wrapText="1"/>
    </xf>
    <xf numFmtId="49" fontId="64" fillId="2" borderId="0" xfId="2" applyNumberFormat="1" applyFont="1" applyFill="1" applyAlignment="1">
      <alignment vertical="center" wrapText="1"/>
    </xf>
    <xf numFmtId="0" fontId="65" fillId="13" borderId="0" xfId="0" applyFont="1" applyFill="1"/>
    <xf numFmtId="0" fontId="65" fillId="14" borderId="0" xfId="0" applyFont="1" applyFill="1"/>
    <xf numFmtId="0" fontId="31" fillId="20" borderId="0" xfId="0" applyFont="1" applyFill="1" applyAlignment="1">
      <alignment wrapText="1"/>
    </xf>
    <xf numFmtId="49" fontId="66" fillId="2" borderId="8" xfId="2" applyNumberFormat="1" applyFont="1" applyFill="1" applyBorder="1" applyAlignment="1">
      <alignment horizontal="left" vertical="center" wrapText="1"/>
    </xf>
    <xf numFmtId="0" fontId="16" fillId="2" borderId="0" xfId="0" applyFont="1" applyFill="1" applyAlignment="1">
      <alignment vertical="center" wrapText="1"/>
    </xf>
    <xf numFmtId="0" fontId="30" fillId="21" borderId="0" xfId="0" applyFont="1" applyFill="1"/>
    <xf numFmtId="2" fontId="67" fillId="0" borderId="0" xfId="0" applyNumberFormat="1" applyFont="1" applyAlignment="1">
      <alignment vertical="top" wrapText="1"/>
    </xf>
    <xf numFmtId="2" fontId="67" fillId="0" borderId="0" xfId="0" applyNumberFormat="1" applyFont="1" applyAlignment="1">
      <alignment horizontal="left" vertical="top" wrapText="1"/>
    </xf>
    <xf numFmtId="2" fontId="0" fillId="0" borderId="0" xfId="0" applyNumberFormat="1" applyAlignment="1">
      <alignment horizontal="left" vertical="top"/>
    </xf>
    <xf numFmtId="49" fontId="19" fillId="2" borderId="14" xfId="3" applyNumberFormat="1" applyFont="1" applyFill="1" applyBorder="1" applyAlignment="1">
      <alignment vertical="center" wrapText="1"/>
    </xf>
    <xf numFmtId="0" fontId="55" fillId="6" borderId="14" xfId="0" applyFont="1" applyFill="1" applyBorder="1" applyAlignment="1">
      <alignment horizontal="center" vertical="center" wrapText="1"/>
    </xf>
    <xf numFmtId="49" fontId="19" fillId="2" borderId="14" xfId="3" applyNumberFormat="1" applyFont="1" applyFill="1" applyBorder="1" applyAlignment="1">
      <alignment vertical="center"/>
    </xf>
    <xf numFmtId="2" fontId="67" fillId="0" borderId="14" xfId="0" applyNumberFormat="1" applyFont="1" applyBorder="1" applyAlignment="1">
      <alignment vertical="top" wrapText="1"/>
    </xf>
    <xf numFmtId="2" fontId="67" fillId="0" borderId="14" xfId="0" applyNumberFormat="1" applyFont="1" applyBorder="1" applyAlignment="1">
      <alignment horizontal="left" vertical="top" wrapText="1"/>
    </xf>
    <xf numFmtId="2" fontId="0" fillId="0" borderId="14" xfId="0" applyNumberFormat="1" applyBorder="1" applyAlignment="1">
      <alignment horizontal="left" vertical="top"/>
    </xf>
    <xf numFmtId="0" fontId="0" fillId="0" borderId="14" xfId="0" applyBorder="1" applyAlignment="1">
      <alignment horizontal="left" vertical="top" wrapText="1"/>
    </xf>
    <xf numFmtId="0" fontId="68" fillId="0" borderId="15" xfId="0" applyFont="1" applyBorder="1" applyAlignment="1">
      <alignment vertical="center" wrapText="1"/>
    </xf>
    <xf numFmtId="9" fontId="69" fillId="2" borderId="0" xfId="1" applyFont="1" applyFill="1" applyAlignment="1">
      <alignment horizontal="center" vertical="center"/>
    </xf>
    <xf numFmtId="0" fontId="70" fillId="0" borderId="15" xfId="0" applyFont="1" applyBorder="1" applyAlignment="1">
      <alignment vertical="center" wrapText="1"/>
    </xf>
    <xf numFmtId="49" fontId="18" fillId="2" borderId="0" xfId="2" applyNumberFormat="1" applyFont="1" applyFill="1" applyAlignment="1">
      <alignment horizontal="center" wrapText="1"/>
    </xf>
    <xf numFmtId="0" fontId="16" fillId="2" borderId="8" xfId="0" quotePrefix="1" applyFont="1" applyFill="1" applyBorder="1" applyAlignment="1">
      <alignment vertical="center" wrapText="1"/>
    </xf>
    <xf numFmtId="49" fontId="71" fillId="2" borderId="0" xfId="2" applyNumberFormat="1" applyFont="1" applyFill="1"/>
    <xf numFmtId="3" fontId="72" fillId="2" borderId="0" xfId="1" applyNumberFormat="1" applyFont="1" applyFill="1" applyAlignment="1">
      <alignment horizontal="center" vertical="center" wrapText="1"/>
    </xf>
    <xf numFmtId="9" fontId="73" fillId="2" borderId="0" xfId="1" applyFont="1" applyFill="1" applyAlignment="1">
      <alignment horizontal="center" vertical="center" wrapText="1"/>
    </xf>
    <xf numFmtId="9" fontId="73" fillId="2" borderId="0" xfId="1" applyFont="1" applyFill="1" applyAlignment="1">
      <alignment horizontal="center" vertical="center"/>
    </xf>
    <xf numFmtId="0" fontId="0" fillId="17" borderId="11" xfId="0" applyFill="1" applyBorder="1"/>
    <xf numFmtId="0" fontId="29" fillId="0" borderId="0" xfId="0" applyFont="1" applyAlignment="1">
      <alignment vertical="center"/>
    </xf>
    <xf numFmtId="0" fontId="26" fillId="7" borderId="0" xfId="0" applyFont="1" applyFill="1" applyAlignment="1">
      <alignment horizontal="center" vertical="center" wrapText="1"/>
    </xf>
    <xf numFmtId="0" fontId="19" fillId="2" borderId="8" xfId="0" applyFont="1" applyFill="1" applyBorder="1" applyAlignment="1">
      <alignment horizontal="left" vertical="center" readingOrder="1"/>
    </xf>
    <xf numFmtId="0" fontId="22" fillId="2" borderId="8" xfId="0" applyFont="1" applyFill="1" applyBorder="1" applyAlignment="1">
      <alignment horizontal="left" vertical="center" readingOrder="1"/>
    </xf>
    <xf numFmtId="0" fontId="29" fillId="0" borderId="8" xfId="0" applyFont="1" applyBorder="1" applyAlignment="1">
      <alignment vertical="center"/>
    </xf>
    <xf numFmtId="0" fontId="21" fillId="2" borderId="8" xfId="0" applyFont="1" applyFill="1" applyBorder="1"/>
    <xf numFmtId="0" fontId="31" fillId="23" borderId="0" xfId="0" applyFont="1" applyFill="1" applyAlignment="1">
      <alignment wrapText="1"/>
    </xf>
    <xf numFmtId="0" fontId="31" fillId="22" borderId="0" xfId="0" applyFont="1" applyFill="1" applyAlignment="1">
      <alignment wrapText="1"/>
    </xf>
    <xf numFmtId="0" fontId="62" fillId="7" borderId="0" xfId="0" applyFont="1" applyFill="1" applyAlignment="1">
      <alignment horizontal="center" vertical="center"/>
    </xf>
    <xf numFmtId="2" fontId="55" fillId="4" borderId="8" xfId="0" applyNumberFormat="1" applyFont="1" applyFill="1" applyBorder="1" applyAlignment="1">
      <alignment horizontal="center" vertical="center" wrapText="1"/>
    </xf>
    <xf numFmtId="0" fontId="31" fillId="24" borderId="0" xfId="0" applyFont="1" applyFill="1" applyAlignment="1">
      <alignment wrapText="1"/>
    </xf>
    <xf numFmtId="49" fontId="74" fillId="4" borderId="1" xfId="0" applyNumberFormat="1" applyFont="1" applyFill="1" applyBorder="1" applyAlignment="1">
      <alignment horizontal="left" vertical="top" wrapText="1" indent="1"/>
    </xf>
    <xf numFmtId="0" fontId="6" fillId="2" borderId="0" xfId="0" applyFont="1" applyFill="1" applyAlignment="1">
      <alignment horizontal="left" vertical="center"/>
    </xf>
    <xf numFmtId="0" fontId="6" fillId="2" borderId="0" xfId="0" applyFont="1" applyFill="1" applyAlignment="1">
      <alignment horizontal="left" vertical="top" wrapText="1"/>
    </xf>
    <xf numFmtId="0" fontId="62" fillId="7" borderId="12" xfId="0" applyFont="1" applyFill="1" applyBorder="1" applyAlignment="1">
      <alignment horizontal="center" vertical="center"/>
    </xf>
    <xf numFmtId="0" fontId="62" fillId="7" borderId="10" xfId="0" applyFont="1" applyFill="1" applyBorder="1" applyAlignment="1">
      <alignment horizontal="center" vertical="center"/>
    </xf>
    <xf numFmtId="0" fontId="62" fillId="7" borderId="9" xfId="0" applyFont="1" applyFill="1" applyBorder="1" applyAlignment="1">
      <alignment horizontal="center" vertical="center"/>
    </xf>
    <xf numFmtId="0" fontId="62" fillId="7" borderId="11" xfId="0" applyFont="1" applyFill="1" applyBorder="1" applyAlignment="1">
      <alignment horizontal="center" vertical="center"/>
    </xf>
    <xf numFmtId="0" fontId="62" fillId="7" borderId="13" xfId="0" applyFont="1" applyFill="1" applyBorder="1" applyAlignment="1">
      <alignment horizontal="center" vertical="center"/>
    </xf>
    <xf numFmtId="0" fontId="0" fillId="2" borderId="0" xfId="0" applyFill="1" applyAlignment="1">
      <alignment horizontal="center"/>
    </xf>
    <xf numFmtId="0" fontId="0" fillId="2" borderId="2" xfId="0" applyFill="1" applyBorder="1" applyAlignment="1">
      <alignment horizontal="center"/>
    </xf>
  </cellXfs>
  <cellStyles count="4">
    <cellStyle name="Normal" xfId="0" builtinId="0"/>
    <cellStyle name="Normal 2" xfId="2" xr:uid="{70FBA092-23EF-4F18-9AF2-20A75D7C97F9}"/>
    <cellStyle name="Normal 3" xfId="3" xr:uid="{E61055BD-EA55-4FC6-B928-301845F41BAA}"/>
    <cellStyle name="Percentatge" xfId="1" builtinId="5"/>
  </cellStyles>
  <dxfs count="10">
    <dxf>
      <fill>
        <patternFill>
          <bgColor rgb="FFFF0000"/>
        </patternFill>
      </fill>
    </dxf>
    <dxf>
      <fill>
        <patternFill>
          <bgColor theme="9" tint="0.59996337778862885"/>
        </patternFill>
      </fill>
    </dxf>
    <dxf>
      <fill>
        <patternFill>
          <bgColor rgb="FFFF0000"/>
        </patternFill>
      </fill>
    </dxf>
    <dxf>
      <fill>
        <patternFill>
          <bgColor theme="5"/>
        </patternFill>
      </fill>
    </dxf>
    <dxf>
      <fill>
        <patternFill>
          <bgColor rgb="FFFFC000"/>
        </patternFill>
      </fill>
    </dxf>
    <dxf>
      <fill>
        <patternFill>
          <bgColor theme="9" tint="0.79998168889431442"/>
        </patternFill>
      </fill>
    </dxf>
    <dxf>
      <fill>
        <patternFill>
          <bgColor rgb="FFFF0000"/>
        </patternFill>
      </fill>
    </dxf>
    <dxf>
      <fill>
        <patternFill>
          <bgColor theme="9" tint="0.59996337778862885"/>
        </patternFill>
      </fill>
    </dxf>
    <dxf>
      <fill>
        <patternFill>
          <bgColor rgb="FFFF0000"/>
        </patternFill>
      </fill>
    </dxf>
    <dxf>
      <fill>
        <patternFill>
          <bgColor theme="9" tint="0.59996337778862885"/>
        </patternFill>
      </fill>
    </dxf>
  </dxfs>
  <tableStyles count="0" defaultTableStyle="TableStyleMedium2" defaultPivotStyle="PivotStyleLight16"/>
  <colors>
    <mruColors>
      <color rgb="FF9E173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a-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ca-ES"/>
              <a:t>Sistemes</a:t>
            </a:r>
            <a:r>
              <a:rPr lang="ca-ES" baseline="0"/>
              <a:t> amb Conjunts de dades</a:t>
            </a:r>
            <a:endParaRPr lang="ca-E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ca-E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explosion val="5"/>
          <c:dPt>
            <c:idx val="0"/>
            <c:bubble3D val="0"/>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3A5A-4BE9-BDF6-D2FC8680ED29}"/>
              </c:ext>
            </c:extLst>
          </c:dPt>
          <c:dPt>
            <c:idx val="1"/>
            <c:bubble3D val="0"/>
            <c:spPr>
              <a:solidFill>
                <a:srgbClr val="C00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3-3A5A-4BE9-BDF6-D2FC8680ED2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ca-ES"/>
              </a:p>
            </c:txPr>
            <c:dLblPos val="outEnd"/>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Qualitat!$D$29:$D$30</c:f>
              <c:strCache>
                <c:ptCount val="2"/>
                <c:pt idx="0">
                  <c:v>Sistemes amb Conjunts de dades</c:v>
                </c:pt>
                <c:pt idx="1">
                  <c:v>Sistemes sense cap Conjunt de dades</c:v>
                </c:pt>
              </c:strCache>
            </c:strRef>
          </c:cat>
          <c:val>
            <c:numRef>
              <c:f>Qualitat!$E$29:$E$30</c:f>
              <c:numCache>
                <c:formatCode>General</c:formatCode>
                <c:ptCount val="2"/>
                <c:pt idx="0">
                  <c:v>4</c:v>
                </c:pt>
                <c:pt idx="1">
                  <c:v>37</c:v>
                </c:pt>
              </c:numCache>
            </c:numRef>
          </c:val>
          <c:extLst>
            <c:ext xmlns:c16="http://schemas.microsoft.com/office/drawing/2014/chart" uri="{C3380CC4-5D6E-409C-BE32-E72D297353CC}">
              <c16:uniqueId val="{00000004-3A5A-4BE9-BDF6-D2FC8680ED29}"/>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ca-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ca-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a-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ca-ES"/>
              <a:t>Dominis</a:t>
            </a:r>
            <a:r>
              <a:rPr lang="ca-ES" baseline="0"/>
              <a:t> de dades  amb Conjunts de dades</a:t>
            </a:r>
            <a:endParaRPr lang="ca-E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ca-E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explosion val="5"/>
          <c:dPt>
            <c:idx val="0"/>
            <c:bubble3D val="0"/>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DAFA-4A76-8AA3-E13F92E543E4}"/>
              </c:ext>
            </c:extLst>
          </c:dPt>
          <c:dPt>
            <c:idx val="1"/>
            <c:bubble3D val="0"/>
            <c:spPr>
              <a:solidFill>
                <a:srgbClr val="C00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3-DAFA-4A76-8AA3-E13F92E543E4}"/>
              </c:ext>
            </c:extLst>
          </c:dPt>
          <c:dLbls>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ca-ES"/>
              </a:p>
            </c:txPr>
            <c:dLblPos val="outEnd"/>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Qualitat!$D$21:$D$22</c:f>
              <c:strCache>
                <c:ptCount val="2"/>
                <c:pt idx="0">
                  <c:v>Dominis amb conjunts de dades</c:v>
                </c:pt>
                <c:pt idx="1">
                  <c:v>Dominis sense cap Conjunt de dades</c:v>
                </c:pt>
              </c:strCache>
            </c:strRef>
          </c:cat>
          <c:val>
            <c:numRef>
              <c:f>Qualitat!$E$21:$E$22</c:f>
              <c:numCache>
                <c:formatCode>General</c:formatCode>
                <c:ptCount val="2"/>
                <c:pt idx="0">
                  <c:v>29</c:v>
                </c:pt>
                <c:pt idx="1">
                  <c:v>6</c:v>
                </c:pt>
              </c:numCache>
            </c:numRef>
          </c:val>
          <c:extLst>
            <c:ext xmlns:c16="http://schemas.microsoft.com/office/drawing/2014/chart" uri="{C3380CC4-5D6E-409C-BE32-E72D297353CC}">
              <c16:uniqueId val="{00000004-DAFA-4A76-8AA3-E13F92E543E4}"/>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ca-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ca-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571500</xdr:colOff>
      <xdr:row>3</xdr:row>
      <xdr:rowOff>93980</xdr:rowOff>
    </xdr:to>
    <xdr:pic>
      <xdr:nvPicPr>
        <xdr:cNvPr id="2" name="Gráfico 413">
          <a:extLst>
            <a:ext uri="{FF2B5EF4-FFF2-40B4-BE49-F238E27FC236}">
              <a16:creationId xmlns:a16="http://schemas.microsoft.com/office/drawing/2014/main" id="{DF0C99D8-C51D-4F2D-A87B-E0A887F1432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5260" y="182880"/>
          <a:ext cx="1386840" cy="4597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1386840</xdr:colOff>
      <xdr:row>3</xdr:row>
      <xdr:rowOff>93980</xdr:rowOff>
    </xdr:to>
    <xdr:pic>
      <xdr:nvPicPr>
        <xdr:cNvPr id="2" name="Gráfico 413">
          <a:extLst>
            <a:ext uri="{FF2B5EF4-FFF2-40B4-BE49-F238E27FC236}">
              <a16:creationId xmlns:a16="http://schemas.microsoft.com/office/drawing/2014/main" id="{C3F77379-1163-4D24-A77A-C0F7DB708C0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1450" y="180975"/>
          <a:ext cx="1381125" cy="45974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7</xdr:col>
      <xdr:colOff>0</xdr:colOff>
      <xdr:row>27</xdr:row>
      <xdr:rowOff>0</xdr:rowOff>
    </xdr:from>
    <xdr:to>
      <xdr:col>12</xdr:col>
      <xdr:colOff>633951</xdr:colOff>
      <xdr:row>42</xdr:row>
      <xdr:rowOff>11844</xdr:rowOff>
    </xdr:to>
    <xdr:graphicFrame macro="">
      <xdr:nvGraphicFramePr>
        <xdr:cNvPr id="5" name="Gráfico 4">
          <a:extLst>
            <a:ext uri="{FF2B5EF4-FFF2-40B4-BE49-F238E27FC236}">
              <a16:creationId xmlns:a16="http://schemas.microsoft.com/office/drawing/2014/main" id="{1A2AD0F8-A3D9-4757-9D29-F96F7844B2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11</xdr:row>
      <xdr:rowOff>0</xdr:rowOff>
    </xdr:from>
    <xdr:to>
      <xdr:col>12</xdr:col>
      <xdr:colOff>633951</xdr:colOff>
      <xdr:row>26</xdr:row>
      <xdr:rowOff>11844</xdr:rowOff>
    </xdr:to>
    <xdr:graphicFrame macro="">
      <xdr:nvGraphicFramePr>
        <xdr:cNvPr id="6" name="Gráfico 5">
          <a:extLst>
            <a:ext uri="{FF2B5EF4-FFF2-40B4-BE49-F238E27FC236}">
              <a16:creationId xmlns:a16="http://schemas.microsoft.com/office/drawing/2014/main" id="{8B475080-361E-4260-BF29-4ED1E6149E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0</xdr:row>
      <xdr:rowOff>176892</xdr:rowOff>
    </xdr:from>
    <xdr:to>
      <xdr:col>1</xdr:col>
      <xdr:colOff>1391975</xdr:colOff>
      <xdr:row>2</xdr:row>
      <xdr:rowOff>289559</xdr:rowOff>
    </xdr:to>
    <xdr:pic>
      <xdr:nvPicPr>
        <xdr:cNvPr id="2" name="Gráfico 413">
          <a:extLst>
            <a:ext uri="{FF2B5EF4-FFF2-40B4-BE49-F238E27FC236}">
              <a16:creationId xmlns:a16="http://schemas.microsoft.com/office/drawing/2014/main" id="{7F2AF1B6-734A-4518-A370-32A3FF7F131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6893" y="176892"/>
          <a:ext cx="1369115" cy="46264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568325</xdr:colOff>
      <xdr:row>0</xdr:row>
      <xdr:rowOff>111125</xdr:rowOff>
    </xdr:from>
    <xdr:to>
      <xdr:col>7</xdr:col>
      <xdr:colOff>533400</xdr:colOff>
      <xdr:row>1</xdr:row>
      <xdr:rowOff>408124</xdr:rowOff>
    </xdr:to>
    <xdr:pic>
      <xdr:nvPicPr>
        <xdr:cNvPr id="2" name="Gráfico 413">
          <a:extLst>
            <a:ext uri="{FF2B5EF4-FFF2-40B4-BE49-F238E27FC236}">
              <a16:creationId xmlns:a16="http://schemas.microsoft.com/office/drawing/2014/main" id="{93EBCDA0-D76E-4E08-AA8D-FD2DD002BA7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713075" y="111125"/>
          <a:ext cx="1489075" cy="49657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oneCellAnchor>
    <xdr:from>
      <xdr:col>56</xdr:col>
      <xdr:colOff>504595</xdr:colOff>
      <xdr:row>12</xdr:row>
      <xdr:rowOff>177165</xdr:rowOff>
    </xdr:from>
    <xdr:ext cx="11300113" cy="4356188"/>
    <xdr:pic>
      <xdr:nvPicPr>
        <xdr:cNvPr id="2" name="Imatge 2">
          <a:extLst>
            <a:ext uri="{FF2B5EF4-FFF2-40B4-BE49-F238E27FC236}">
              <a16:creationId xmlns:a16="http://schemas.microsoft.com/office/drawing/2014/main" id="{B56E2335-1F69-4584-A340-5731BDDC1B76}"/>
            </a:ext>
          </a:extLst>
        </xdr:cNvPr>
        <xdr:cNvPicPr>
          <a:picLocks noChangeAspect="1"/>
        </xdr:cNvPicPr>
      </xdr:nvPicPr>
      <xdr:blipFill>
        <a:blip xmlns:r="http://schemas.openxmlformats.org/officeDocument/2006/relationships" r:embed="rId1"/>
        <a:stretch>
          <a:fillRect/>
        </a:stretch>
      </xdr:blipFill>
      <xdr:spPr>
        <a:xfrm>
          <a:off x="42986095" y="3491865"/>
          <a:ext cx="11300113" cy="4356188"/>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steria.sharepoint.com/sites/DIBA-GovernDada/Shared%20Documents/Exp.2024-31815%20DIBA%20Govern%20Dada/Fase%202/1.%20Inventario/1b.%20Q&#252;estionari%20d'avaluaci&#243;%20de%20la%20situaci&#243;%20actual%20v20260218.xlsx" TargetMode="External"/><Relationship Id="rId1" Type="http://schemas.openxmlformats.org/officeDocument/2006/relationships/externalLinkPath" Target="https://steria.sharepoint.com/sites/DIBA-GovernDada/Shared%20Documents/Exp.2024-31815%20DIBA%20Govern%20Dada/Fase%202/1.%20Inventario/1b.%20Q&#252;estionari%20d'avaluaci&#243;%20de%20la%20situaci&#243;%20actual%20v20260218.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almendez\Documents\DIBA\Fase%202\Inventari\1b.%20Q&#252;estionari%20d'avaluaci&#243;%20de%20la%20situaci&#243;%20actual%20v20251107%20(EXEMPLE).xlsx" TargetMode="External"/><Relationship Id="rId1" Type="http://schemas.openxmlformats.org/officeDocument/2006/relationships/externalLinkPath" Target="https://steria.sharepoint.com/sites/DIBA-GovernDada/Shared%20Documents/Exp.2024-31815%20DIBA%20Govern%20Dada/Fase%202/1.%20Inventario/1b.%20Q&#252;estionari%20d'avaluaci&#243;%20de%20la%20situaci&#243;%20actual%20v20251107%20(EXEMPLE).xlsx" TargetMode="External"/></Relationships>
</file>

<file path=xl/externalLinks/_rels/externalLink3.xml.rels><?xml version="1.0" encoding="UTF-8" standalone="yes"?>
<Relationships xmlns="http://schemas.openxmlformats.org/package/2006/relationships"><Relationship Id="rId2" Type="http://schemas.microsoft.com/office/2019/04/relationships/externalLinkLongPath" Target="https://dibacat.sharepoint.com/sites/GID_EXTERN-SopraSteria.Sistemadeinformaci-automatitzaci/Documentos%20compartidos/SopraSteria.%20Govern%20de%20la%20dada%20fase%202/Inventari%20d'actius%20de%20dades/Documents%20de%20treball/_Antic/3b.%20Plantilla%20d'inventari%20d'actius%20de%20dades%20v20260713%20%20(amb%20EXEMPLE).xlsx?91C7D460" TargetMode="External"/><Relationship Id="rId1" Type="http://schemas.openxmlformats.org/officeDocument/2006/relationships/externalLinkPath" Target="file:///\\91C7D460\3b.%20Plantilla%20d'inventari%20d'actius%20de%20dades%20v20260713%20%20(amb%20EXEMPL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struccions"/>
      <sheetName val="MapaResponsables"/>
      <sheetName val="Sistemes"/>
      <sheetName val="Qüestionari"/>
      <sheetName val="Gestió de la dada"/>
      <sheetName val="Qualitat de la dada"/>
      <sheetName val="Pla d'accions (anàlisi)"/>
      <sheetName val="Pla d'accions"/>
      <sheetName val="Resultat"/>
      <sheetName val="Llegenda"/>
      <sheetName val="Llistes"/>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ow r="3">
          <cell r="G3" t="str">
            <v>&lt;Totes&gt;</v>
          </cell>
          <cell r="K3" t="str">
            <v>1 - Alt</v>
          </cell>
        </row>
        <row r="4">
          <cell r="G4" t="str">
            <v>Presidència</v>
          </cell>
          <cell r="K4" t="str">
            <v>2 - Mig</v>
          </cell>
        </row>
        <row r="5">
          <cell r="G5" t="str">
            <v>Desenvolupament Econòmic i Turisme</v>
          </cell>
          <cell r="K5" t="str">
            <v>3 - Baix</v>
          </cell>
        </row>
        <row r="6">
          <cell r="G6" t="str">
            <v>Infraestructures i Territori</v>
          </cell>
        </row>
        <row r="7">
          <cell r="G7" t="str">
            <v>Bon Govern, Assistència Local i Cohesió Territorial</v>
          </cell>
        </row>
        <row r="8">
          <cell r="G8" t="str">
            <v>Acció Climàtica i Transició Energètica</v>
          </cell>
        </row>
        <row r="9">
          <cell r="G9" t="str">
            <v>Feminismes i Igualtat</v>
          </cell>
        </row>
        <row r="10">
          <cell r="G10" t="str">
            <v>Espais Naturals i Infraestructura Verda</v>
          </cell>
        </row>
        <row r="11">
          <cell r="G11" t="str">
            <v>Serveis Generals i Transició Digital</v>
          </cell>
        </row>
        <row r="12">
          <cell r="G12" t="str">
            <v>Cultura</v>
          </cell>
        </row>
        <row r="13">
          <cell r="G13" t="str">
            <v>Sostenibilitat Social, Cicle de Vida i Comunitat</v>
          </cell>
        </row>
        <row r="14">
          <cell r="G14" t="str">
            <v>Educació</v>
          </cell>
        </row>
        <row r="15">
          <cell r="G15" t="str">
            <v>Urbanisme, Habitatge i Regeneració</v>
          </cell>
        </row>
        <row r="16">
          <cell r="G16" t="str">
            <v>Esports i Activitat Física</v>
          </cell>
        </row>
        <row r="17">
          <cell r="G17" t="str">
            <v>Comerç, Consum i Salut Pública</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struccions"/>
      <sheetName val="MapaResponsables"/>
      <sheetName val="Sistemes"/>
      <sheetName val="Qüestionari"/>
      <sheetName val="Gestió de la dada"/>
      <sheetName val="Qualitat de la dada"/>
      <sheetName val="Pla d'accions (anàlisi)"/>
      <sheetName val="Pla d'accions"/>
      <sheetName val="Resultat"/>
      <sheetName val="Llegenda"/>
      <sheetName val="Llistes"/>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cions"/>
      <sheetName val="Sistemes"/>
      <sheetName val="Dominis de dades"/>
      <sheetName val="Conjunts de dades"/>
      <sheetName val="Rel.Conjunts-Sistemes"/>
      <sheetName val="Qualitat"/>
      <sheetName val="Llegenda"/>
      <sheetName val="Relació inventaris"/>
      <sheetName val="Llistes"/>
      <sheetName val="Entitats"/>
      <sheetName val="Rel.Conjunts-Entitats"/>
      <sheetName val="Atributs"/>
      <sheetName val="Full1"/>
      <sheetName val="Rel.Entitats"/>
    </sheetNames>
    <sheetDataSet>
      <sheetData sheetId="0"/>
      <sheetData sheetId="1"/>
      <sheetData sheetId="2"/>
      <sheetData sheetId="3"/>
      <sheetData sheetId="4"/>
      <sheetData sheetId="5"/>
      <sheetData sheetId="6"/>
      <sheetData sheetId="7"/>
      <sheetData sheetId="8">
        <row r="2">
          <cell r="BT2">
            <v>1</v>
          </cell>
        </row>
        <row r="3">
          <cell r="BT3">
            <v>1</v>
          </cell>
        </row>
        <row r="4">
          <cell r="BT4">
            <v>2</v>
          </cell>
        </row>
        <row r="5">
          <cell r="BT5">
            <v>1</v>
          </cell>
        </row>
        <row r="6">
          <cell r="BT6">
            <v>3</v>
          </cell>
        </row>
        <row r="7">
          <cell r="BT7">
            <v>4</v>
          </cell>
        </row>
        <row r="8">
          <cell r="BT8">
            <v>3</v>
          </cell>
        </row>
        <row r="9">
          <cell r="BT9">
            <v>4</v>
          </cell>
        </row>
        <row r="10">
          <cell r="BT10">
            <v>4</v>
          </cell>
        </row>
      </sheetData>
      <sheetData sheetId="9"/>
      <sheetData sheetId="10"/>
      <sheetData sheetId="11"/>
      <sheetData sheetId="12"/>
      <sheetData sheetId="13"/>
    </sheetDataSet>
  </externalBook>
</externalLink>
</file>

<file path=xl/persons/person.xml><?xml version="1.0" encoding="utf-8"?>
<personList xmlns="http://schemas.microsoft.com/office/spreadsheetml/2018/threadedcomments" xmlns:x="http://schemas.openxmlformats.org/spreadsheetml/2006/main">
  <person displayName="lorentemm_x000a_" id="{CD70C519-750C-4A2C-A171-474EC1CE5D5A}" userId="lorentemm_x000a_" providerId="Non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8" dT="2026-05-17T18:44:09.62" personId="{CD70C519-750C-4A2C-A171-474EC1CE5D5A}" id="{EE77B44E-C4A0-415D-B945-60E29AA0F72F}">
    <text xml:space="preserve">D'on surten aquests conjunts? Dels catàleg s de Tarragona? Mataro? 
</text>
  </threadedComment>
  <threadedComment ref="B8" dT="2026-05-17T18:45:10.87" personId="{CD70C519-750C-4A2C-A171-474EC1CE5D5A}" id="{2E55C67F-23BF-4AE8-B595-A3B5774F1438}" parentId="{EE77B44E-C4A0-415D-B945-60E29AA0F72F}">
    <text>Crec que el conjunt de dades ha d'incorporar el contingut del conjunt de forma concreta</text>
  </threadedComment>
  <threadedComment ref="B8" dT="2026-05-17T18:46:22.66" personId="{CD70C519-750C-4A2C-A171-474EC1CE5D5A}" id="{18767B45-DD98-4EA8-B137-FF91A806B8FA}" parentId="{EE77B44E-C4A0-415D-B945-60E29AA0F72F}">
    <text>Crec que és important saber perquè l'incorporem. En quin inventari dels que hem analitzat s'ha proposat. En el de Tarragona? En el de Mataro?</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C86CA-2BF3-499E-B9C2-0C7EDBCDAE9B}">
  <dimension ref="A1:N35"/>
  <sheetViews>
    <sheetView workbookViewId="0">
      <pane ySplit="5" topLeftCell="A6" activePane="bottomLeft" state="frozen"/>
      <selection pane="bottomLeft" activeCell="E15" sqref="E15"/>
    </sheetView>
  </sheetViews>
  <sheetFormatPr defaultColWidth="11.42578125" defaultRowHeight="15" x14ac:dyDescent="0.25"/>
  <cols>
    <col min="1" max="1" width="2.5703125" style="4" customWidth="1"/>
    <col min="2" max="2" width="3.42578125" customWidth="1"/>
    <col min="3" max="3" width="8.42578125" style="126" customWidth="1"/>
    <col min="4" max="4" width="115.140625" customWidth="1"/>
    <col min="5" max="5" width="26.140625" style="4" customWidth="1"/>
    <col min="6" max="6" width="29.5703125" style="4" customWidth="1"/>
    <col min="7" max="7" width="24.85546875" style="4" bestFit="1" customWidth="1"/>
    <col min="8" max="8" width="24.140625" style="4" bestFit="1" customWidth="1"/>
    <col min="9" max="9" width="27.140625" style="4" customWidth="1"/>
    <col min="10" max="11" width="26.42578125" style="4" customWidth="1"/>
    <col min="12" max="12" width="23.5703125" style="4" customWidth="1"/>
    <col min="13" max="13" width="22.5703125" style="4" customWidth="1"/>
    <col min="14" max="14" width="38.5703125" style="4" bestFit="1" customWidth="1"/>
    <col min="15" max="15" width="27.140625" bestFit="1" customWidth="1"/>
    <col min="16" max="16" width="33.42578125" customWidth="1"/>
    <col min="17" max="17" width="47.140625" bestFit="1" customWidth="1"/>
    <col min="18" max="18" width="41.5703125" bestFit="1" customWidth="1"/>
    <col min="19" max="19" width="34.42578125" bestFit="1" customWidth="1"/>
    <col min="20" max="20" width="41.5703125" bestFit="1" customWidth="1"/>
    <col min="21" max="21" width="49.85546875" bestFit="1" customWidth="1"/>
  </cols>
  <sheetData>
    <row r="1" spans="1:10" s="3" customFormat="1" x14ac:dyDescent="0.25">
      <c r="A1" s="1"/>
      <c r="B1" s="9"/>
      <c r="D1" s="11"/>
      <c r="E1" s="11"/>
      <c r="F1" s="11"/>
      <c r="G1" s="11"/>
      <c r="H1" s="11"/>
      <c r="I1" s="11"/>
      <c r="J1" s="11"/>
    </row>
    <row r="2" spans="1:10" s="3" customFormat="1" x14ac:dyDescent="0.25">
      <c r="A2" s="1"/>
      <c r="B2" s="9"/>
      <c r="D2" s="11"/>
      <c r="E2" s="11"/>
      <c r="F2" s="11"/>
      <c r="G2" s="11"/>
      <c r="H2" s="11"/>
      <c r="I2" s="11"/>
      <c r="J2" s="11"/>
    </row>
    <row r="3" spans="1:10" s="3" customFormat="1" x14ac:dyDescent="0.25">
      <c r="A3" s="1"/>
      <c r="B3" s="9"/>
      <c r="D3" s="11"/>
      <c r="E3" s="11"/>
      <c r="F3" s="11"/>
      <c r="G3" s="11"/>
      <c r="H3" s="11"/>
      <c r="I3" s="11"/>
      <c r="J3" s="11"/>
    </row>
    <row r="4" spans="1:10" s="3" customFormat="1" x14ac:dyDescent="0.25">
      <c r="A4" s="1"/>
      <c r="B4" s="9"/>
      <c r="D4" s="11"/>
      <c r="E4" s="11"/>
      <c r="F4" s="11"/>
      <c r="G4" s="11"/>
      <c r="H4" s="11"/>
      <c r="I4" s="11"/>
      <c r="J4" s="11"/>
    </row>
    <row r="5" spans="1:10" s="4" customFormat="1" ht="27" thickBot="1" x14ac:dyDescent="0.3">
      <c r="B5" s="6" t="s">
        <v>0</v>
      </c>
      <c r="C5" s="6"/>
      <c r="D5" s="6"/>
    </row>
    <row r="6" spans="1:10" s="2" customFormat="1" ht="15.75" thickTop="1" x14ac:dyDescent="0.25">
      <c r="A6" s="1"/>
      <c r="B6" s="1"/>
      <c r="C6" s="1"/>
    </row>
    <row r="7" spans="1:10" s="2" customFormat="1" ht="14.45" customHeight="1" x14ac:dyDescent="0.25">
      <c r="C7" s="3"/>
      <c r="I7" s="3"/>
    </row>
    <row r="8" spans="1:10" s="4" customFormat="1" x14ac:dyDescent="0.25">
      <c r="C8" s="201" t="s">
        <v>444</v>
      </c>
      <c r="D8" s="201"/>
    </row>
    <row r="9" spans="1:10" s="4" customFormat="1" ht="15.75" x14ac:dyDescent="0.25">
      <c r="C9" s="123"/>
    </row>
    <row r="10" spans="1:10" s="4" customFormat="1" x14ac:dyDescent="0.25">
      <c r="C10" s="124"/>
      <c r="D10" s="127" t="s">
        <v>445</v>
      </c>
    </row>
    <row r="11" spans="1:10" s="4" customFormat="1" ht="29.25" x14ac:dyDescent="0.25">
      <c r="C11" s="124"/>
      <c r="D11" s="127" t="s">
        <v>446</v>
      </c>
    </row>
    <row r="12" spans="1:10" s="4" customFormat="1" x14ac:dyDescent="0.25">
      <c r="C12" s="124"/>
      <c r="D12" s="127" t="s">
        <v>447</v>
      </c>
    </row>
    <row r="13" spans="1:10" s="4" customFormat="1" x14ac:dyDescent="0.25">
      <c r="C13" s="124"/>
      <c r="D13" s="128" t="s">
        <v>452</v>
      </c>
    </row>
    <row r="14" spans="1:10" s="4" customFormat="1" x14ac:dyDescent="0.25">
      <c r="C14" s="124"/>
      <c r="D14" s="128" t="s">
        <v>453</v>
      </c>
    </row>
    <row r="15" spans="1:10" s="4" customFormat="1" x14ac:dyDescent="0.25">
      <c r="C15" s="124"/>
      <c r="D15" s="128" t="s">
        <v>454</v>
      </c>
    </row>
    <row r="16" spans="1:10" s="4" customFormat="1" x14ac:dyDescent="0.25">
      <c r="C16" s="124"/>
      <c r="D16" s="128" t="s">
        <v>455</v>
      </c>
    </row>
    <row r="17" spans="3:4" s="4" customFormat="1" x14ac:dyDescent="0.25">
      <c r="C17" s="124"/>
      <c r="D17" s="127" t="s">
        <v>448</v>
      </c>
    </row>
    <row r="18" spans="3:4" s="4" customFormat="1" x14ac:dyDescent="0.25">
      <c r="C18" s="124"/>
      <c r="D18" s="127" t="s">
        <v>449</v>
      </c>
    </row>
    <row r="19" spans="3:4" s="4" customFormat="1" x14ac:dyDescent="0.25">
      <c r="C19" s="124"/>
      <c r="D19" s="127" t="s">
        <v>450</v>
      </c>
    </row>
    <row r="20" spans="3:4" s="4" customFormat="1" x14ac:dyDescent="0.25">
      <c r="C20" s="124"/>
      <c r="D20" s="127" t="s">
        <v>451</v>
      </c>
    </row>
    <row r="21" spans="3:4" s="4" customFormat="1" x14ac:dyDescent="0.25">
      <c r="C21" s="125"/>
    </row>
    <row r="22" spans="3:4" s="4" customFormat="1" ht="46.35" customHeight="1" x14ac:dyDescent="0.25">
      <c r="C22" s="202" t="s">
        <v>456</v>
      </c>
      <c r="D22" s="202"/>
    </row>
    <row r="23" spans="3:4" s="4" customFormat="1" x14ac:dyDescent="0.25">
      <c r="C23" s="202" t="s">
        <v>457</v>
      </c>
      <c r="D23" s="202"/>
    </row>
    <row r="24" spans="3:4" s="4" customFormat="1" x14ac:dyDescent="0.25">
      <c r="C24" s="129"/>
      <c r="D24" s="129"/>
    </row>
    <row r="25" spans="3:4" s="4" customFormat="1" x14ac:dyDescent="0.25">
      <c r="C25" s="124"/>
      <c r="D25" s="127" t="s">
        <v>459</v>
      </c>
    </row>
    <row r="26" spans="3:4" s="4" customFormat="1" ht="29.25" x14ac:dyDescent="0.25">
      <c r="C26" s="124"/>
      <c r="D26" s="127" t="s">
        <v>458</v>
      </c>
    </row>
    <row r="27" spans="3:4" s="4" customFormat="1" x14ac:dyDescent="0.25">
      <c r="C27" s="124"/>
      <c r="D27" s="127" t="s">
        <v>460</v>
      </c>
    </row>
    <row r="28" spans="3:4" s="4" customFormat="1" x14ac:dyDescent="0.25">
      <c r="C28" s="124"/>
      <c r="D28" s="127" t="s">
        <v>461</v>
      </c>
    </row>
    <row r="29" spans="3:4" s="4" customFormat="1" x14ac:dyDescent="0.25">
      <c r="C29" s="124"/>
      <c r="D29" s="127"/>
    </row>
    <row r="30" spans="3:4" s="4" customFormat="1" x14ac:dyDescent="0.25">
      <c r="C30" s="124"/>
      <c r="D30" s="127"/>
    </row>
    <row r="31" spans="3:4" s="4" customFormat="1" x14ac:dyDescent="0.25">
      <c r="C31" s="124"/>
      <c r="D31" s="127"/>
    </row>
    <row r="32" spans="3:4" s="4" customFormat="1" x14ac:dyDescent="0.25">
      <c r="C32" s="124"/>
      <c r="D32" s="127"/>
    </row>
    <row r="33" spans="3:4" s="4" customFormat="1" x14ac:dyDescent="0.25">
      <c r="C33" s="124"/>
      <c r="D33" s="127"/>
    </row>
    <row r="34" spans="3:4" s="4" customFormat="1" x14ac:dyDescent="0.25">
      <c r="C34" s="124"/>
      <c r="D34" s="127"/>
    </row>
    <row r="35" spans="3:4" s="4" customFormat="1" x14ac:dyDescent="0.25">
      <c r="C35" s="124"/>
      <c r="D35" s="127"/>
    </row>
  </sheetData>
  <mergeCells count="3">
    <mergeCell ref="C8:D8"/>
    <mergeCell ref="C22:D22"/>
    <mergeCell ref="C23:D23"/>
  </mergeCells>
  <dataValidations disablePrompts="1" count="1">
    <dataValidation operator="greaterThan" allowBlank="1" showInputMessage="1" showErrorMessage="1" sqref="E1:E4" xr:uid="{9BE86090-E516-4B8D-BAC4-D035C81B51A6}"/>
  </dataValidations>
  <pageMargins left="0.7" right="0.7" top="0.75" bottom="0.75" header="0.3" footer="0.3"/>
  <headerFooter>
    <oddFooter>&amp;L_x000D_&amp;1#&amp;"Tahoma"&amp;9&amp;KCF022B C2 – Uso Restringida</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FE2D6-1912-4EA3-96C8-8EDAB064171F}">
  <sheetPr>
    <tabColor rgb="FFFFC000"/>
  </sheetPr>
  <dimension ref="A1:O69"/>
  <sheetViews>
    <sheetView tabSelected="1" zoomScaleNormal="100" workbookViewId="0">
      <pane xSplit="2" ySplit="8" topLeftCell="C56" activePane="bottomRight" state="frozen"/>
      <selection pane="topRight" activeCell="L20" sqref="L20:L21"/>
      <selection pane="bottomLeft" activeCell="L20" sqref="L20:L21"/>
      <selection pane="bottomRight" activeCell="J1" sqref="J1:J1048576"/>
    </sheetView>
  </sheetViews>
  <sheetFormatPr defaultColWidth="11.42578125" defaultRowHeight="13.5" x14ac:dyDescent="0.25"/>
  <cols>
    <col min="1" max="1" width="2.5703125" style="28" customWidth="1"/>
    <col min="2" max="2" width="40.140625" style="33" customWidth="1"/>
    <col min="3" max="3" width="31.5703125" style="32" customWidth="1"/>
    <col min="4" max="4" width="25.42578125" style="33" customWidth="1"/>
    <col min="5" max="5" width="18.5703125" style="33" customWidth="1"/>
    <col min="6" max="9" width="12" style="33" customWidth="1"/>
    <col min="10" max="14" width="19" style="32" customWidth="1"/>
    <col min="15" max="16384" width="11.42578125" style="32"/>
  </cols>
  <sheetData>
    <row r="1" spans="1:15" s="3" customFormat="1" ht="15" x14ac:dyDescent="0.25">
      <c r="A1" s="1"/>
      <c r="B1" s="9"/>
      <c r="D1" s="11"/>
      <c r="E1" s="11"/>
      <c r="F1" s="11"/>
      <c r="G1" s="11"/>
      <c r="H1" s="11"/>
      <c r="I1" s="11"/>
    </row>
    <row r="2" spans="1:15" s="3" customFormat="1" ht="15" x14ac:dyDescent="0.25">
      <c r="A2" s="1"/>
      <c r="B2" s="9"/>
      <c r="D2" s="11"/>
      <c r="E2" s="11"/>
      <c r="F2" s="11"/>
      <c r="G2" s="11"/>
      <c r="H2" s="11"/>
      <c r="I2" s="11"/>
    </row>
    <row r="3" spans="1:15" s="3" customFormat="1" ht="15" x14ac:dyDescent="0.25">
      <c r="A3" s="1"/>
      <c r="B3" s="9"/>
      <c r="D3" s="11"/>
      <c r="E3" s="11"/>
      <c r="F3" s="11"/>
      <c r="G3" s="11"/>
      <c r="H3" s="11"/>
      <c r="I3" s="11"/>
    </row>
    <row r="4" spans="1:15" s="3" customFormat="1" ht="15" x14ac:dyDescent="0.25">
      <c r="A4" s="1"/>
      <c r="B4" s="9"/>
      <c r="D4" s="11"/>
      <c r="E4" s="11"/>
      <c r="F4" s="11"/>
      <c r="G4" s="11"/>
      <c r="H4" s="11"/>
      <c r="I4" s="11"/>
    </row>
    <row r="5" spans="1:15" s="4" customFormat="1" ht="27" thickBot="1" x14ac:dyDescent="0.3">
      <c r="B5" s="6" t="s">
        <v>1</v>
      </c>
      <c r="C5" s="6"/>
      <c r="D5" s="6"/>
      <c r="E5" s="6"/>
      <c r="F5" s="6"/>
      <c r="G5" s="6"/>
      <c r="H5" s="6"/>
      <c r="I5" s="6"/>
      <c r="J5" s="6"/>
      <c r="K5" s="6"/>
      <c r="L5" s="6"/>
      <c r="M5" s="6"/>
      <c r="N5" s="6"/>
      <c r="O5" s="153"/>
    </row>
    <row r="6" spans="1:15" s="60" customFormat="1" ht="15.75" thickTop="1" x14ac:dyDescent="0.25">
      <c r="A6" s="58"/>
      <c r="B6" s="70"/>
      <c r="D6" s="59"/>
      <c r="E6" s="59"/>
      <c r="F6" s="59"/>
      <c r="G6" s="59"/>
      <c r="H6" s="59"/>
      <c r="I6" s="59"/>
    </row>
    <row r="7" spans="1:15" s="60" customFormat="1" ht="15" x14ac:dyDescent="0.25">
      <c r="A7" s="58"/>
      <c r="B7" s="54">
        <f>COUNTA(B$9:B$67)</f>
        <v>41</v>
      </c>
      <c r="C7" s="55">
        <f t="shared" ref="C7:N7" si="0">COUNTA(C$9:C$67)/$B$7</f>
        <v>0.48780487804878048</v>
      </c>
      <c r="D7" s="55">
        <f t="shared" si="0"/>
        <v>0.6097560975609756</v>
      </c>
      <c r="E7" s="55">
        <f t="shared" si="0"/>
        <v>0.95121951219512191</v>
      </c>
      <c r="F7" s="55">
        <f t="shared" si="0"/>
        <v>0</v>
      </c>
      <c r="G7" s="55">
        <f t="shared" si="0"/>
        <v>0</v>
      </c>
      <c r="H7" s="55">
        <f t="shared" si="0"/>
        <v>0</v>
      </c>
      <c r="I7" s="55">
        <f t="shared" si="0"/>
        <v>0</v>
      </c>
      <c r="J7" s="55">
        <f t="shared" si="0"/>
        <v>0</v>
      </c>
      <c r="K7" s="55">
        <f t="shared" si="0"/>
        <v>0</v>
      </c>
      <c r="L7" s="55">
        <f t="shared" si="0"/>
        <v>0</v>
      </c>
      <c r="M7" s="55">
        <f t="shared" si="0"/>
        <v>0</v>
      </c>
      <c r="N7" s="55">
        <f t="shared" si="0"/>
        <v>0</v>
      </c>
    </row>
    <row r="8" spans="1:15" s="61" customFormat="1" ht="40.5" x14ac:dyDescent="0.25">
      <c r="A8" s="152"/>
      <c r="B8" s="62" t="s">
        <v>2</v>
      </c>
      <c r="C8" s="62" t="s">
        <v>3</v>
      </c>
      <c r="D8" s="27" t="s">
        <v>4</v>
      </c>
      <c r="E8" s="27" t="s">
        <v>184</v>
      </c>
      <c r="F8" s="27" t="s">
        <v>5</v>
      </c>
      <c r="G8" s="27" t="s">
        <v>6</v>
      </c>
      <c r="H8" s="27" t="s">
        <v>8</v>
      </c>
      <c r="I8" s="27" t="s">
        <v>9</v>
      </c>
      <c r="J8" s="62" t="s">
        <v>11</v>
      </c>
      <c r="K8" s="62" t="s">
        <v>12</v>
      </c>
      <c r="L8" s="62" t="s">
        <v>14</v>
      </c>
      <c r="M8" s="62" t="s">
        <v>16</v>
      </c>
      <c r="N8" s="62" t="s">
        <v>17</v>
      </c>
      <c r="O8" s="27" t="s">
        <v>585</v>
      </c>
    </row>
    <row r="9" spans="1:15" s="28" customFormat="1" ht="15" x14ac:dyDescent="0.25">
      <c r="A9" s="152"/>
      <c r="B9" s="30" t="s">
        <v>33</v>
      </c>
      <c r="C9" s="155" t="s">
        <v>33</v>
      </c>
      <c r="D9" s="74" t="s">
        <v>502</v>
      </c>
      <c r="E9" s="73" t="s">
        <v>421</v>
      </c>
      <c r="F9" s="30"/>
      <c r="G9" s="30"/>
      <c r="H9" s="30"/>
      <c r="I9" s="30"/>
      <c r="J9" s="31"/>
      <c r="K9" s="31"/>
      <c r="L9" s="31"/>
      <c r="M9" s="31"/>
      <c r="N9" s="31"/>
      <c r="O9" s="151">
        <f>IF(B9="","",COUNTIF('Rel.Conjunts-Sistemes'!$D:$D,$B9))</f>
        <v>0</v>
      </c>
    </row>
    <row r="10" spans="1:15" s="28" customFormat="1" ht="15" x14ac:dyDescent="0.25">
      <c r="A10" s="152"/>
      <c r="B10" s="30" t="s">
        <v>464</v>
      </c>
      <c r="C10" s="155" t="s">
        <v>34</v>
      </c>
      <c r="D10" s="74" t="s">
        <v>507</v>
      </c>
      <c r="E10" s="73" t="s">
        <v>421</v>
      </c>
      <c r="F10" s="30"/>
      <c r="G10" s="30"/>
      <c r="H10" s="30"/>
      <c r="I10" s="30"/>
      <c r="J10" s="31"/>
      <c r="K10" s="31"/>
      <c r="L10" s="31"/>
      <c r="M10" s="31"/>
      <c r="N10" s="31"/>
      <c r="O10" s="151">
        <f>IF(B10="","",COUNTIF('Rel.Conjunts-Sistemes'!$D:$D,$B10))</f>
        <v>0</v>
      </c>
    </row>
    <row r="11" spans="1:15" s="28" customFormat="1" ht="15" x14ac:dyDescent="0.25">
      <c r="A11" s="152"/>
      <c r="B11" s="30" t="s">
        <v>465</v>
      </c>
      <c r="C11" s="155" t="s">
        <v>36</v>
      </c>
      <c r="D11" s="74" t="s">
        <v>503</v>
      </c>
      <c r="E11" s="73" t="s">
        <v>421</v>
      </c>
      <c r="F11" s="30"/>
      <c r="G11" s="30"/>
      <c r="H11" s="30"/>
      <c r="I11" s="30"/>
      <c r="J11" s="31"/>
      <c r="K11" s="31"/>
      <c r="L11" s="31"/>
      <c r="M11" s="31"/>
      <c r="N11" s="31"/>
      <c r="O11" s="151">
        <f>IF(B11="","",COUNTIF('Rel.Conjunts-Sistemes'!$D:$D,$B11))</f>
        <v>0</v>
      </c>
    </row>
    <row r="12" spans="1:15" s="28" customFormat="1" ht="15" x14ac:dyDescent="0.25">
      <c r="A12" s="152"/>
      <c r="B12" s="30" t="s">
        <v>466</v>
      </c>
      <c r="C12" s="155" t="s">
        <v>37</v>
      </c>
      <c r="D12" s="74" t="s">
        <v>503</v>
      </c>
      <c r="E12" s="73" t="s">
        <v>421</v>
      </c>
      <c r="F12" s="30"/>
      <c r="G12" s="30"/>
      <c r="H12" s="30"/>
      <c r="I12" s="30"/>
      <c r="J12" s="31"/>
      <c r="K12" s="31"/>
      <c r="L12" s="31"/>
      <c r="M12" s="31"/>
      <c r="N12" s="31"/>
      <c r="O12" s="151">
        <f>IF(B12="","",COUNTIF('Rel.Conjunts-Sistemes'!$D:$D,$B12))</f>
        <v>0</v>
      </c>
    </row>
    <row r="13" spans="1:15" s="28" customFormat="1" ht="15" x14ac:dyDescent="0.25">
      <c r="A13" s="152"/>
      <c r="B13" s="30" t="s">
        <v>467</v>
      </c>
      <c r="C13" s="155" t="s">
        <v>414</v>
      </c>
      <c r="D13" s="74" t="s">
        <v>504</v>
      </c>
      <c r="E13" s="73" t="s">
        <v>421</v>
      </c>
      <c r="F13" s="30"/>
      <c r="G13" s="30"/>
      <c r="H13" s="30"/>
      <c r="I13" s="30"/>
      <c r="J13" s="31"/>
      <c r="K13" s="31"/>
      <c r="L13" s="31"/>
      <c r="M13" s="31"/>
      <c r="N13" s="31"/>
      <c r="O13" s="151">
        <f>IF(B13="","",COUNTIF('Rel.Conjunts-Sistemes'!$D:$D,$B13))</f>
        <v>1</v>
      </c>
    </row>
    <row r="14" spans="1:15" s="28" customFormat="1" ht="15" x14ac:dyDescent="0.25">
      <c r="A14" s="152"/>
      <c r="B14" s="30" t="s">
        <v>468</v>
      </c>
      <c r="C14" s="155" t="s">
        <v>38</v>
      </c>
      <c r="D14" s="74" t="s">
        <v>505</v>
      </c>
      <c r="E14" s="73" t="s">
        <v>421</v>
      </c>
      <c r="F14" s="30"/>
      <c r="G14" s="30"/>
      <c r="H14" s="30"/>
      <c r="I14" s="30"/>
      <c r="J14" s="31"/>
      <c r="K14" s="31"/>
      <c r="L14" s="31"/>
      <c r="M14" s="31"/>
      <c r="N14" s="31"/>
      <c r="O14" s="151">
        <f>IF(B14="","",COUNTIF('Rel.Conjunts-Sistemes'!$D:$D,$B14))</f>
        <v>0</v>
      </c>
    </row>
    <row r="15" spans="1:15" s="28" customFormat="1" ht="15" x14ac:dyDescent="0.25">
      <c r="A15" s="152"/>
      <c r="B15" s="30" t="s">
        <v>469</v>
      </c>
      <c r="C15" s="155" t="s">
        <v>39</v>
      </c>
      <c r="D15" s="74" t="s">
        <v>506</v>
      </c>
      <c r="E15" s="73" t="s">
        <v>421</v>
      </c>
      <c r="F15" s="30"/>
      <c r="G15" s="30"/>
      <c r="H15" s="30"/>
      <c r="I15" s="30"/>
      <c r="J15" s="31"/>
      <c r="K15" s="31"/>
      <c r="L15" s="31"/>
      <c r="M15" s="31"/>
      <c r="N15" s="31"/>
      <c r="O15" s="151">
        <f>IF(B15="","",COUNTIF('Rel.Conjunts-Sistemes'!$D:$D,$B15))</f>
        <v>1</v>
      </c>
    </row>
    <row r="16" spans="1:15" s="28" customFormat="1" ht="15" x14ac:dyDescent="0.25">
      <c r="A16" s="152"/>
      <c r="B16" s="30" t="s">
        <v>470</v>
      </c>
      <c r="C16" s="155" t="s">
        <v>40</v>
      </c>
      <c r="D16" s="74" t="s">
        <v>508</v>
      </c>
      <c r="E16" s="73" t="s">
        <v>421</v>
      </c>
      <c r="F16" s="30"/>
      <c r="G16" s="30"/>
      <c r="H16" s="30"/>
      <c r="I16" s="30"/>
      <c r="J16" s="31"/>
      <c r="K16" s="31"/>
      <c r="L16" s="31"/>
      <c r="M16" s="31"/>
      <c r="N16" s="31"/>
      <c r="O16" s="151">
        <f>IF(B16="","",COUNTIF('Rel.Conjunts-Sistemes'!$D:$D,$B16))</f>
        <v>0</v>
      </c>
    </row>
    <row r="17" spans="1:15" s="28" customFormat="1" ht="15" x14ac:dyDescent="0.25">
      <c r="A17" s="152"/>
      <c r="B17" s="30" t="s">
        <v>471</v>
      </c>
      <c r="C17" s="155" t="s">
        <v>41</v>
      </c>
      <c r="D17" s="74" t="s">
        <v>509</v>
      </c>
      <c r="E17" s="73" t="s">
        <v>421</v>
      </c>
      <c r="F17" s="30"/>
      <c r="G17" s="30"/>
      <c r="H17" s="30"/>
      <c r="I17" s="30"/>
      <c r="J17" s="31"/>
      <c r="K17" s="31"/>
      <c r="L17" s="31"/>
      <c r="M17" s="31"/>
      <c r="N17" s="31"/>
      <c r="O17" s="151">
        <f>IF(B17="","",COUNTIF('Rel.Conjunts-Sistemes'!$D:$D,$B17))</f>
        <v>0</v>
      </c>
    </row>
    <row r="18" spans="1:15" s="28" customFormat="1" ht="27" x14ac:dyDescent="0.25">
      <c r="A18" s="152"/>
      <c r="B18" s="30" t="s">
        <v>472</v>
      </c>
      <c r="C18" s="30" t="s">
        <v>42</v>
      </c>
      <c r="D18" s="74" t="s">
        <v>510</v>
      </c>
      <c r="E18" s="73" t="s">
        <v>421</v>
      </c>
      <c r="F18" s="30"/>
      <c r="G18" s="30"/>
      <c r="H18" s="30"/>
      <c r="I18" s="30"/>
      <c r="J18" s="31"/>
      <c r="K18" s="31"/>
      <c r="L18" s="31"/>
      <c r="M18" s="31"/>
      <c r="N18" s="31"/>
      <c r="O18" s="151">
        <f>IF(B18="","",COUNTIF('Rel.Conjunts-Sistemes'!$D:$D,$B18))</f>
        <v>3</v>
      </c>
    </row>
    <row r="19" spans="1:15" s="28" customFormat="1" ht="27" x14ac:dyDescent="0.25">
      <c r="A19" s="152"/>
      <c r="B19" s="30" t="s">
        <v>473</v>
      </c>
      <c r="C19" s="30" t="s">
        <v>43</v>
      </c>
      <c r="D19" s="74" t="s">
        <v>517</v>
      </c>
      <c r="E19" s="73" t="s">
        <v>421</v>
      </c>
      <c r="F19" s="30"/>
      <c r="G19" s="30"/>
      <c r="H19" s="30"/>
      <c r="I19" s="30"/>
      <c r="J19" s="31"/>
      <c r="K19" s="31"/>
      <c r="L19" s="31"/>
      <c r="M19" s="31"/>
      <c r="N19" s="31"/>
      <c r="O19" s="151">
        <f>IF(B19="","",COUNTIF('Rel.Conjunts-Sistemes'!$D:$D,$B19))</f>
        <v>0</v>
      </c>
    </row>
    <row r="20" spans="1:15" s="28" customFormat="1" ht="15" x14ac:dyDescent="0.25">
      <c r="A20" s="152"/>
      <c r="B20" s="30" t="s">
        <v>474</v>
      </c>
      <c r="C20" s="30" t="s">
        <v>44</v>
      </c>
      <c r="D20" s="74" t="s">
        <v>518</v>
      </c>
      <c r="E20" s="73" t="s">
        <v>421</v>
      </c>
      <c r="F20" s="30"/>
      <c r="G20" s="30"/>
      <c r="H20" s="30"/>
      <c r="I20" s="30"/>
      <c r="J20" s="31"/>
      <c r="K20" s="31"/>
      <c r="L20" s="31"/>
      <c r="M20" s="31"/>
      <c r="N20" s="31"/>
      <c r="O20" s="151">
        <f>IF(B20="","",COUNTIF('Rel.Conjunts-Sistemes'!$D:$D,$B20))</f>
        <v>0</v>
      </c>
    </row>
    <row r="21" spans="1:15" s="28" customFormat="1" ht="15" x14ac:dyDescent="0.25">
      <c r="A21" s="152"/>
      <c r="B21" s="30" t="s">
        <v>475</v>
      </c>
      <c r="C21" s="30" t="s">
        <v>45</v>
      </c>
      <c r="D21" s="74" t="s">
        <v>519</v>
      </c>
      <c r="E21" s="73" t="s">
        <v>421</v>
      </c>
      <c r="F21" s="30"/>
      <c r="G21" s="30"/>
      <c r="H21" s="30"/>
      <c r="I21" s="30"/>
      <c r="J21" s="31"/>
      <c r="K21" s="31"/>
      <c r="L21" s="31"/>
      <c r="M21" s="31"/>
      <c r="N21" s="31"/>
      <c r="O21" s="151">
        <f>IF(B21="","",COUNTIF('Rel.Conjunts-Sistemes'!$D:$D,$B21))</f>
        <v>0</v>
      </c>
    </row>
    <row r="22" spans="1:15" s="28" customFormat="1" ht="27" x14ac:dyDescent="0.25">
      <c r="A22" s="152"/>
      <c r="B22" s="30" t="s">
        <v>477</v>
      </c>
      <c r="C22" s="30" t="s">
        <v>476</v>
      </c>
      <c r="D22" s="74" t="s">
        <v>511</v>
      </c>
      <c r="E22" s="73" t="s">
        <v>421</v>
      </c>
      <c r="F22" s="30"/>
      <c r="G22" s="30"/>
      <c r="H22" s="30"/>
      <c r="I22" s="30"/>
      <c r="J22" s="31"/>
      <c r="K22" s="31"/>
      <c r="L22" s="31"/>
      <c r="M22" s="31"/>
      <c r="N22" s="31"/>
      <c r="O22" s="151">
        <f>IF(B22="","",COUNTIF('Rel.Conjunts-Sistemes'!$D:$D,$B22))</f>
        <v>0</v>
      </c>
    </row>
    <row r="23" spans="1:15" s="28" customFormat="1" ht="15" x14ac:dyDescent="0.25">
      <c r="A23" s="152"/>
      <c r="B23" s="30" t="s">
        <v>478</v>
      </c>
      <c r="C23" s="30" t="s">
        <v>46</v>
      </c>
      <c r="D23" s="74" t="s">
        <v>512</v>
      </c>
      <c r="E23" s="73" t="s">
        <v>421</v>
      </c>
      <c r="F23" s="30"/>
      <c r="G23" s="30"/>
      <c r="H23" s="30"/>
      <c r="I23" s="30"/>
      <c r="J23" s="31"/>
      <c r="K23" s="31"/>
      <c r="L23" s="31"/>
      <c r="M23" s="31"/>
      <c r="N23" s="31"/>
      <c r="O23" s="151">
        <f>IF(B23="","",COUNTIF('Rel.Conjunts-Sistemes'!$D:$D,$B23))</f>
        <v>0</v>
      </c>
    </row>
    <row r="24" spans="1:15" s="28" customFormat="1" ht="27" x14ac:dyDescent="0.25">
      <c r="A24" s="152"/>
      <c r="B24" s="30" t="s">
        <v>479</v>
      </c>
      <c r="C24" s="30" t="s">
        <v>47</v>
      </c>
      <c r="D24" s="74" t="s">
        <v>513</v>
      </c>
      <c r="E24" s="73" t="s">
        <v>421</v>
      </c>
      <c r="F24" s="30"/>
      <c r="G24" s="30"/>
      <c r="H24" s="30"/>
      <c r="I24" s="30"/>
      <c r="J24" s="31"/>
      <c r="K24" s="31"/>
      <c r="L24" s="31"/>
      <c r="M24" s="31"/>
      <c r="N24" s="31"/>
      <c r="O24" s="151">
        <f>IF(B24="","",COUNTIF('Rel.Conjunts-Sistemes'!$D:$D,$B24))</f>
        <v>2</v>
      </c>
    </row>
    <row r="25" spans="1:15" s="28" customFormat="1" ht="27" x14ac:dyDescent="0.25">
      <c r="A25" s="152"/>
      <c r="B25" s="30" t="s">
        <v>480</v>
      </c>
      <c r="C25" s="30" t="s">
        <v>48</v>
      </c>
      <c r="D25" s="74" t="s">
        <v>514</v>
      </c>
      <c r="E25" s="73" t="s">
        <v>421</v>
      </c>
      <c r="F25" s="30"/>
      <c r="G25" s="30"/>
      <c r="H25" s="30"/>
      <c r="I25" s="30"/>
      <c r="J25" s="31"/>
      <c r="K25" s="31"/>
      <c r="L25" s="31"/>
      <c r="M25" s="31"/>
      <c r="N25" s="31"/>
      <c r="O25" s="151">
        <f>IF(B25="","",COUNTIF('Rel.Conjunts-Sistemes'!$D:$D,$B25))</f>
        <v>0</v>
      </c>
    </row>
    <row r="26" spans="1:15" s="28" customFormat="1" ht="27" x14ac:dyDescent="0.25">
      <c r="A26" s="152"/>
      <c r="B26" s="30" t="s">
        <v>481</v>
      </c>
      <c r="C26" s="30" t="s">
        <v>49</v>
      </c>
      <c r="D26" s="74" t="s">
        <v>515</v>
      </c>
      <c r="E26" s="73" t="s">
        <v>421</v>
      </c>
      <c r="F26" s="30"/>
      <c r="G26" s="30"/>
      <c r="H26" s="30"/>
      <c r="I26" s="30"/>
      <c r="J26" s="31"/>
      <c r="K26" s="31"/>
      <c r="L26" s="31"/>
      <c r="M26" s="31"/>
      <c r="N26" s="31"/>
      <c r="O26" s="151">
        <f>IF(B26="","",COUNTIF('Rel.Conjunts-Sistemes'!$D:$D,$B26))</f>
        <v>0</v>
      </c>
    </row>
    <row r="27" spans="1:15" s="28" customFormat="1" ht="15" x14ac:dyDescent="0.25">
      <c r="A27" s="152"/>
      <c r="B27" s="30" t="s">
        <v>482</v>
      </c>
      <c r="C27" s="155"/>
      <c r="D27" s="74"/>
      <c r="E27" s="73" t="s">
        <v>487</v>
      </c>
      <c r="F27" s="30"/>
      <c r="G27" s="30"/>
      <c r="H27" s="30"/>
      <c r="I27" s="30"/>
      <c r="J27" s="31"/>
      <c r="K27" s="31"/>
      <c r="L27" s="31"/>
      <c r="M27" s="31"/>
      <c r="N27" s="31"/>
      <c r="O27" s="151">
        <f>IF(B27="","",COUNTIF('Rel.Conjunts-Sistemes'!$D:$D,$B27))</f>
        <v>0</v>
      </c>
    </row>
    <row r="28" spans="1:15" s="28" customFormat="1" ht="15" x14ac:dyDescent="0.25">
      <c r="A28" s="152"/>
      <c r="B28" s="30" t="s">
        <v>415</v>
      </c>
      <c r="C28" s="155"/>
      <c r="D28" s="74" t="s">
        <v>520</v>
      </c>
      <c r="E28" s="73" t="s">
        <v>487</v>
      </c>
      <c r="F28" s="30"/>
      <c r="G28" s="30"/>
      <c r="H28" s="30"/>
      <c r="I28" s="30"/>
      <c r="J28" s="31"/>
      <c r="K28" s="31"/>
      <c r="L28" s="31"/>
      <c r="M28" s="31"/>
      <c r="N28" s="31"/>
      <c r="O28" s="151">
        <f>IF(B28="","",COUNTIF('Rel.Conjunts-Sistemes'!$D:$D,$B28))</f>
        <v>0</v>
      </c>
    </row>
    <row r="29" spans="1:15" s="28" customFormat="1" ht="15" x14ac:dyDescent="0.25">
      <c r="A29" s="152"/>
      <c r="B29" s="30" t="s">
        <v>483</v>
      </c>
      <c r="C29" s="155"/>
      <c r="D29" s="74" t="s">
        <v>503</v>
      </c>
      <c r="E29" s="73" t="s">
        <v>421</v>
      </c>
      <c r="F29" s="30"/>
      <c r="G29" s="30"/>
      <c r="H29" s="30"/>
      <c r="I29" s="30"/>
      <c r="J29" s="31"/>
      <c r="K29" s="31"/>
      <c r="L29" s="31"/>
      <c r="M29" s="31"/>
      <c r="N29" s="31"/>
      <c r="O29" s="151">
        <f>IF(B29="","",COUNTIF('Rel.Conjunts-Sistemes'!$D:$D,$B29))</f>
        <v>0</v>
      </c>
    </row>
    <row r="30" spans="1:15" s="28" customFormat="1" ht="15" x14ac:dyDescent="0.25">
      <c r="A30" s="152"/>
      <c r="B30" s="30" t="s">
        <v>484</v>
      </c>
      <c r="C30" s="155"/>
      <c r="D30" s="74"/>
      <c r="E30" s="73" t="s">
        <v>487</v>
      </c>
      <c r="F30" s="30"/>
      <c r="G30" s="30"/>
      <c r="H30" s="30"/>
      <c r="I30" s="30"/>
      <c r="J30" s="31"/>
      <c r="K30" s="31"/>
      <c r="L30" s="31"/>
      <c r="M30" s="31"/>
      <c r="N30" s="31"/>
      <c r="O30" s="151">
        <f>IF(B30="","",COUNTIF('Rel.Conjunts-Sistemes'!$D:$D,$B30))</f>
        <v>0</v>
      </c>
    </row>
    <row r="31" spans="1:15" s="28" customFormat="1" ht="15" x14ac:dyDescent="0.25">
      <c r="A31" s="152"/>
      <c r="B31" s="30" t="s">
        <v>485</v>
      </c>
      <c r="C31" s="155" t="s">
        <v>486</v>
      </c>
      <c r="D31" s="74" t="s">
        <v>516</v>
      </c>
      <c r="E31" s="73" t="s">
        <v>421</v>
      </c>
      <c r="F31" s="30"/>
      <c r="G31" s="30"/>
      <c r="H31" s="30"/>
      <c r="I31" s="30"/>
      <c r="J31" s="31"/>
      <c r="K31" s="31"/>
      <c r="L31" s="31"/>
      <c r="M31" s="31"/>
      <c r="N31" s="31"/>
      <c r="O31" s="151">
        <f>IF(B31="","",COUNTIF('Rel.Conjunts-Sistemes'!$D:$D,$B31))</f>
        <v>0</v>
      </c>
    </row>
    <row r="32" spans="1:15" s="28" customFormat="1" ht="15" x14ac:dyDescent="0.25">
      <c r="A32" s="152"/>
      <c r="B32" s="160" t="s">
        <v>417</v>
      </c>
      <c r="C32" s="155" t="s">
        <v>418</v>
      </c>
      <c r="D32" s="74" t="s">
        <v>521</v>
      </c>
      <c r="E32" s="73" t="s">
        <v>421</v>
      </c>
      <c r="F32" s="30"/>
      <c r="G32" s="30"/>
      <c r="H32" s="30"/>
      <c r="I32" s="30"/>
      <c r="J32" s="31"/>
      <c r="K32" s="31"/>
      <c r="L32" s="31"/>
      <c r="M32" s="31"/>
      <c r="N32" s="31"/>
      <c r="O32" s="151">
        <f>IF(B32="","",COUNTIF('Rel.Conjunts-Sistemes'!$D:$D,$B32))</f>
        <v>0</v>
      </c>
    </row>
    <row r="33" spans="1:15" s="28" customFormat="1" ht="15" x14ac:dyDescent="0.25">
      <c r="A33" s="152"/>
      <c r="B33" s="30" t="s">
        <v>419</v>
      </c>
      <c r="C33" s="155"/>
      <c r="D33" s="74"/>
      <c r="E33" s="73" t="s">
        <v>488</v>
      </c>
      <c r="F33" s="30"/>
      <c r="G33" s="30"/>
      <c r="H33" s="30"/>
      <c r="I33" s="30"/>
      <c r="J33" s="31"/>
      <c r="K33" s="31"/>
      <c r="L33" s="31"/>
      <c r="M33" s="31"/>
      <c r="N33" s="31"/>
      <c r="O33" s="151">
        <f>IF(B33="","",COUNTIF('Rel.Conjunts-Sistemes'!$D:$D,$B33))</f>
        <v>0</v>
      </c>
    </row>
    <row r="34" spans="1:15" s="28" customFormat="1" ht="15" x14ac:dyDescent="0.25">
      <c r="A34" s="152"/>
      <c r="B34" s="30" t="s">
        <v>420</v>
      </c>
      <c r="C34" s="155"/>
      <c r="D34" s="74"/>
      <c r="E34" s="73" t="s">
        <v>488</v>
      </c>
      <c r="F34" s="30"/>
      <c r="G34" s="30"/>
      <c r="H34" s="30"/>
      <c r="I34" s="30"/>
      <c r="J34" s="31"/>
      <c r="K34" s="31"/>
      <c r="L34" s="31"/>
      <c r="M34" s="31"/>
      <c r="N34" s="31"/>
      <c r="O34" s="151">
        <f>IF(B34="","",COUNTIF('Rel.Conjunts-Sistemes'!$D:$D,$B34))</f>
        <v>0</v>
      </c>
    </row>
    <row r="35" spans="1:15" s="28" customFormat="1" ht="15" x14ac:dyDescent="0.25">
      <c r="A35" s="152"/>
      <c r="B35" s="30" t="s">
        <v>489</v>
      </c>
      <c r="C35" s="155"/>
      <c r="D35" s="74" t="s">
        <v>522</v>
      </c>
      <c r="E35" s="73" t="s">
        <v>487</v>
      </c>
      <c r="F35" s="30"/>
      <c r="G35" s="30"/>
      <c r="H35" s="30"/>
      <c r="I35" s="30"/>
      <c r="J35" s="31"/>
      <c r="K35" s="31"/>
      <c r="L35" s="31"/>
      <c r="M35" s="31"/>
      <c r="N35" s="31"/>
      <c r="O35" s="151">
        <f>IF(B35="","",COUNTIF('Rel.Conjunts-Sistemes'!$D:$D,$B35))</f>
        <v>0</v>
      </c>
    </row>
    <row r="36" spans="1:15" s="28" customFormat="1" ht="15" x14ac:dyDescent="0.25">
      <c r="A36" s="152"/>
      <c r="B36" s="30" t="s">
        <v>490</v>
      </c>
      <c r="C36" s="155"/>
      <c r="D36" s="74"/>
      <c r="E36" s="73" t="s">
        <v>488</v>
      </c>
      <c r="F36" s="30"/>
      <c r="G36" s="30"/>
      <c r="H36" s="30"/>
      <c r="I36" s="30"/>
      <c r="J36" s="31"/>
      <c r="K36" s="31"/>
      <c r="L36" s="31"/>
      <c r="M36" s="31"/>
      <c r="N36" s="31"/>
      <c r="O36" s="151">
        <f>IF(B36="","",COUNTIF('Rel.Conjunts-Sistemes'!$D:$D,$B36))</f>
        <v>0</v>
      </c>
    </row>
    <row r="37" spans="1:15" s="28" customFormat="1" ht="15" x14ac:dyDescent="0.25">
      <c r="A37" s="152"/>
      <c r="B37" s="30" t="s">
        <v>491</v>
      </c>
      <c r="C37" s="155"/>
      <c r="D37" s="74" t="s">
        <v>523</v>
      </c>
      <c r="E37" s="73" t="s">
        <v>488</v>
      </c>
      <c r="F37" s="30"/>
      <c r="G37" s="30"/>
      <c r="H37" s="30"/>
      <c r="I37" s="30"/>
      <c r="J37" s="31"/>
      <c r="K37" s="31"/>
      <c r="L37" s="31"/>
      <c r="M37" s="31"/>
      <c r="N37" s="31"/>
      <c r="O37" s="151">
        <f>IF(B37="","",COUNTIF('Rel.Conjunts-Sistemes'!$D:$D,$B37))</f>
        <v>0</v>
      </c>
    </row>
    <row r="38" spans="1:15" s="28" customFormat="1" ht="15" x14ac:dyDescent="0.25">
      <c r="A38" s="152"/>
      <c r="B38" s="30" t="s">
        <v>492</v>
      </c>
      <c r="C38" s="155"/>
      <c r="D38" s="74"/>
      <c r="E38" s="73" t="s">
        <v>488</v>
      </c>
      <c r="F38" s="30"/>
      <c r="G38" s="30"/>
      <c r="H38" s="30"/>
      <c r="I38" s="30"/>
      <c r="J38" s="31"/>
      <c r="K38" s="31"/>
      <c r="L38" s="31"/>
      <c r="M38" s="31"/>
      <c r="N38" s="31"/>
      <c r="O38" s="151">
        <f>IF(B38="","",COUNTIF('Rel.Conjunts-Sistemes'!$D:$D,$B38))</f>
        <v>0</v>
      </c>
    </row>
    <row r="39" spans="1:15" s="28" customFormat="1" ht="15" x14ac:dyDescent="0.25">
      <c r="A39" s="152"/>
      <c r="B39" s="30" t="s">
        <v>493</v>
      </c>
      <c r="C39" s="155"/>
      <c r="D39" s="74"/>
      <c r="E39" s="73" t="s">
        <v>488</v>
      </c>
      <c r="F39" s="30"/>
      <c r="G39" s="30"/>
      <c r="H39" s="30"/>
      <c r="I39" s="30"/>
      <c r="J39" s="31"/>
      <c r="K39" s="31"/>
      <c r="L39" s="31"/>
      <c r="M39" s="31"/>
      <c r="N39" s="31"/>
      <c r="O39" s="151">
        <f>IF(B39="","",COUNTIF('Rel.Conjunts-Sistemes'!$D:$D,$B39))</f>
        <v>0</v>
      </c>
    </row>
    <row r="40" spans="1:15" s="28" customFormat="1" ht="27" x14ac:dyDescent="0.25">
      <c r="A40" s="152"/>
      <c r="B40" s="30" t="s">
        <v>494</v>
      </c>
      <c r="C40" s="155"/>
      <c r="D40" s="74"/>
      <c r="E40" s="73" t="s">
        <v>488</v>
      </c>
      <c r="F40" s="30"/>
      <c r="G40" s="30"/>
      <c r="H40" s="30"/>
      <c r="I40" s="30"/>
      <c r="J40" s="31"/>
      <c r="K40" s="31"/>
      <c r="L40" s="31"/>
      <c r="M40" s="31"/>
      <c r="N40" s="31"/>
      <c r="O40" s="151">
        <f>IF(B40="","",COUNTIF('Rel.Conjunts-Sistemes'!$D:$D,$B40))</f>
        <v>0</v>
      </c>
    </row>
    <row r="41" spans="1:15" s="28" customFormat="1" ht="15" x14ac:dyDescent="0.25">
      <c r="A41" s="152"/>
      <c r="B41" s="30" t="s">
        <v>495</v>
      </c>
      <c r="C41" s="155"/>
      <c r="D41" s="74"/>
      <c r="E41" s="73" t="s">
        <v>488</v>
      </c>
      <c r="F41" s="30"/>
      <c r="G41" s="30"/>
      <c r="H41" s="30"/>
      <c r="I41" s="30"/>
      <c r="J41" s="31"/>
      <c r="K41" s="31"/>
      <c r="L41" s="31"/>
      <c r="M41" s="31"/>
      <c r="N41" s="31"/>
      <c r="O41" s="151">
        <f>IF(B41="","",COUNTIF('Rel.Conjunts-Sistemes'!$D:$D,$B41))</f>
        <v>0</v>
      </c>
    </row>
    <row r="42" spans="1:15" s="28" customFormat="1" ht="15" x14ac:dyDescent="0.25">
      <c r="A42" s="152"/>
      <c r="B42" s="30" t="s">
        <v>497</v>
      </c>
      <c r="C42" s="155"/>
      <c r="D42" s="74"/>
      <c r="E42" s="73" t="s">
        <v>488</v>
      </c>
      <c r="F42" s="30"/>
      <c r="G42" s="30"/>
      <c r="H42" s="30"/>
      <c r="I42" s="30"/>
      <c r="J42" s="31"/>
      <c r="K42" s="31"/>
      <c r="L42" s="31"/>
      <c r="M42" s="31"/>
      <c r="N42" s="31"/>
      <c r="O42" s="151">
        <f>IF(B42="","",COUNTIF('Rel.Conjunts-Sistemes'!$D:$D,$B42))</f>
        <v>0</v>
      </c>
    </row>
    <row r="43" spans="1:15" s="28" customFormat="1" ht="15" x14ac:dyDescent="0.25">
      <c r="A43" s="152"/>
      <c r="B43" s="30" t="s">
        <v>496</v>
      </c>
      <c r="C43" s="155"/>
      <c r="D43" s="74"/>
      <c r="E43" s="73" t="s">
        <v>488</v>
      </c>
      <c r="F43" s="30"/>
      <c r="G43" s="30"/>
      <c r="H43" s="30"/>
      <c r="I43" s="30"/>
      <c r="J43" s="31"/>
      <c r="K43" s="31"/>
      <c r="L43" s="31"/>
      <c r="M43" s="31"/>
      <c r="N43" s="31"/>
      <c r="O43" s="151">
        <f>IF(B43="","",COUNTIF('Rel.Conjunts-Sistemes'!$D:$D,$B43))</f>
        <v>0</v>
      </c>
    </row>
    <row r="44" spans="1:15" ht="15" x14ac:dyDescent="0.25">
      <c r="A44" s="152"/>
      <c r="B44" s="30" t="s">
        <v>498</v>
      </c>
      <c r="C44" s="155"/>
      <c r="D44" s="74"/>
      <c r="E44" s="73" t="s">
        <v>488</v>
      </c>
      <c r="F44" s="30"/>
      <c r="G44" s="30"/>
      <c r="H44" s="30"/>
      <c r="I44" s="30"/>
      <c r="J44" s="31"/>
      <c r="K44" s="31"/>
      <c r="L44" s="31"/>
      <c r="M44" s="31"/>
      <c r="N44" s="31"/>
      <c r="O44" s="151">
        <f>IF(B44="","",COUNTIF('Rel.Conjunts-Sistemes'!$D:$D,$B44))</f>
        <v>0</v>
      </c>
    </row>
    <row r="45" spans="1:15" ht="15" x14ac:dyDescent="0.25">
      <c r="A45" s="152"/>
      <c r="B45" s="30" t="s">
        <v>499</v>
      </c>
      <c r="C45" s="155"/>
      <c r="D45" s="74"/>
      <c r="E45" s="73" t="s">
        <v>488</v>
      </c>
      <c r="F45" s="30"/>
      <c r="G45" s="30"/>
      <c r="H45" s="30"/>
      <c r="I45" s="30"/>
      <c r="J45" s="31"/>
      <c r="K45" s="31"/>
      <c r="L45" s="31"/>
      <c r="M45" s="31"/>
      <c r="N45" s="31"/>
      <c r="O45" s="151">
        <f>IF(B45="","",COUNTIF('Rel.Conjunts-Sistemes'!$D:$D,$B45))</f>
        <v>0</v>
      </c>
    </row>
    <row r="46" spans="1:15" ht="15" x14ac:dyDescent="0.25">
      <c r="A46" s="152"/>
      <c r="B46" s="30" t="s">
        <v>500</v>
      </c>
      <c r="C46" s="155"/>
      <c r="D46" s="74"/>
      <c r="E46" s="73" t="s">
        <v>421</v>
      </c>
      <c r="F46" s="30"/>
      <c r="G46" s="30"/>
      <c r="H46" s="30"/>
      <c r="I46" s="30"/>
      <c r="J46" s="31"/>
      <c r="K46" s="31"/>
      <c r="L46" s="31"/>
      <c r="M46" s="31"/>
      <c r="N46" s="31"/>
      <c r="O46" s="151">
        <f>IF(B46="","",COUNTIF('Rel.Conjunts-Sistemes'!$D:$D,$B46))</f>
        <v>0</v>
      </c>
    </row>
    <row r="47" spans="1:15" ht="15" x14ac:dyDescent="0.25">
      <c r="A47" s="152"/>
      <c r="B47" s="30" t="s">
        <v>501</v>
      </c>
      <c r="C47" s="155"/>
      <c r="D47" s="74" t="s">
        <v>524</v>
      </c>
      <c r="E47" s="73" t="s">
        <v>421</v>
      </c>
      <c r="F47" s="30"/>
      <c r="G47" s="30"/>
      <c r="H47" s="30"/>
      <c r="I47" s="30"/>
      <c r="J47" s="31"/>
      <c r="K47" s="31"/>
      <c r="L47" s="31"/>
      <c r="M47" s="31"/>
      <c r="N47" s="31"/>
      <c r="O47" s="151">
        <f>IF(B47="","",COUNTIF('Rel.Conjunts-Sistemes'!$D:$D,$B47))</f>
        <v>0</v>
      </c>
    </row>
    <row r="48" spans="1:15" ht="15" x14ac:dyDescent="0.25">
      <c r="A48" s="152"/>
      <c r="B48" s="30" t="s">
        <v>952</v>
      </c>
      <c r="C48" s="156"/>
      <c r="D48" s="74"/>
      <c r="E48" s="73"/>
      <c r="F48" s="30"/>
      <c r="G48" s="30"/>
      <c r="H48" s="30"/>
      <c r="I48" s="30"/>
      <c r="J48" s="31"/>
      <c r="K48" s="31"/>
      <c r="L48" s="31"/>
      <c r="M48" s="31"/>
      <c r="N48" s="31"/>
      <c r="O48" s="151">
        <f>IF(B48="","",COUNTIF('Rel.Conjunts-Sistemes'!$D:$D,$B48))</f>
        <v>0</v>
      </c>
    </row>
    <row r="49" spans="1:15" ht="15" x14ac:dyDescent="0.25">
      <c r="A49" s="152"/>
      <c r="B49" s="183" t="s">
        <v>954</v>
      </c>
      <c r="C49" s="156"/>
      <c r="D49" s="74"/>
      <c r="E49" s="73"/>
      <c r="F49" s="30"/>
      <c r="G49" s="30"/>
      <c r="H49" s="30"/>
      <c r="I49" s="30"/>
      <c r="J49" s="31"/>
      <c r="K49" s="31"/>
      <c r="L49" s="31"/>
      <c r="M49" s="31"/>
      <c r="N49" s="31"/>
      <c r="O49" s="151">
        <f>IF(B49="","",COUNTIF('Rel.Conjunts-Sistemes'!$D:$D,$B49))</f>
        <v>0</v>
      </c>
    </row>
    <row r="50" spans="1:15" ht="15" x14ac:dyDescent="0.25">
      <c r="A50" s="152"/>
      <c r="B50" s="30"/>
      <c r="C50" s="156"/>
      <c r="D50" s="74"/>
      <c r="E50" s="73"/>
      <c r="F50" s="30"/>
      <c r="G50" s="30"/>
      <c r="H50" s="30"/>
      <c r="I50" s="30"/>
      <c r="J50" s="31"/>
      <c r="K50" s="31"/>
      <c r="L50" s="31"/>
      <c r="M50" s="31"/>
      <c r="N50" s="31"/>
      <c r="O50" s="151" t="str">
        <f>IF(B50="","",COUNTIF('Rel.Conjunts-Sistemes'!$D:$D,$B50))</f>
        <v/>
      </c>
    </row>
    <row r="51" spans="1:15" ht="15" x14ac:dyDescent="0.25">
      <c r="A51" s="152"/>
      <c r="B51" s="30"/>
      <c r="C51" s="156"/>
      <c r="D51" s="74"/>
      <c r="E51" s="73"/>
      <c r="F51" s="30"/>
      <c r="G51" s="30"/>
      <c r="H51" s="30"/>
      <c r="I51" s="30"/>
      <c r="J51" s="31"/>
      <c r="K51" s="31"/>
      <c r="L51" s="31"/>
      <c r="M51" s="31"/>
      <c r="N51" s="31"/>
      <c r="O51" s="151" t="str">
        <f>IF(B51="","",COUNTIF('Rel.Conjunts-Sistemes'!$D:$D,$B51))</f>
        <v/>
      </c>
    </row>
    <row r="52" spans="1:15" ht="15" x14ac:dyDescent="0.25">
      <c r="A52" s="152"/>
      <c r="B52" s="30"/>
      <c r="C52" s="156"/>
      <c r="D52" s="74"/>
      <c r="E52" s="73"/>
      <c r="F52" s="30"/>
      <c r="G52" s="30"/>
      <c r="H52" s="30"/>
      <c r="I52" s="30"/>
      <c r="J52" s="31"/>
      <c r="K52" s="31"/>
      <c r="L52" s="31"/>
      <c r="M52" s="31"/>
      <c r="N52" s="31"/>
      <c r="O52" s="151" t="str">
        <f>IF(B52="","",COUNTIF('Rel.Conjunts-Sistemes'!$D:$D,$B52))</f>
        <v/>
      </c>
    </row>
    <row r="53" spans="1:15" ht="15" x14ac:dyDescent="0.25">
      <c r="A53" s="152"/>
      <c r="B53" s="30"/>
      <c r="C53" s="156"/>
      <c r="D53" s="74"/>
      <c r="E53" s="73"/>
      <c r="F53" s="30"/>
      <c r="G53" s="30"/>
      <c r="H53" s="30"/>
      <c r="I53" s="30"/>
      <c r="J53" s="31"/>
      <c r="K53" s="31"/>
      <c r="L53" s="31"/>
      <c r="M53" s="31"/>
      <c r="N53" s="31"/>
      <c r="O53" s="151" t="str">
        <f>IF(B53="","",COUNTIF('Rel.Conjunts-Sistemes'!$D:$D,$B53))</f>
        <v/>
      </c>
    </row>
    <row r="54" spans="1:15" ht="15" x14ac:dyDescent="0.25">
      <c r="A54" s="152"/>
      <c r="B54" s="30"/>
      <c r="C54" s="156"/>
      <c r="D54" s="74"/>
      <c r="E54" s="73"/>
      <c r="F54" s="30"/>
      <c r="G54" s="30"/>
      <c r="H54" s="30"/>
      <c r="I54" s="30"/>
      <c r="J54" s="31"/>
      <c r="K54" s="31"/>
      <c r="L54" s="31"/>
      <c r="M54" s="31"/>
      <c r="N54" s="31"/>
      <c r="O54" s="151" t="str">
        <f>IF(B54="","",COUNTIF('Rel.Conjunts-Sistemes'!$D:$D,$B54))</f>
        <v/>
      </c>
    </row>
    <row r="55" spans="1:15" ht="15" x14ac:dyDescent="0.25">
      <c r="A55" s="152"/>
      <c r="B55" s="30"/>
      <c r="C55" s="156"/>
      <c r="D55" s="74"/>
      <c r="E55" s="73"/>
      <c r="F55" s="30"/>
      <c r="G55" s="30"/>
      <c r="H55" s="30"/>
      <c r="I55" s="30"/>
      <c r="J55" s="31"/>
      <c r="K55" s="31"/>
      <c r="L55" s="31"/>
      <c r="M55" s="31"/>
      <c r="N55" s="31"/>
      <c r="O55" s="151" t="str">
        <f>IF(B55="","",COUNTIF('Rel.Conjunts-Sistemes'!$D:$D,$B55))</f>
        <v/>
      </c>
    </row>
    <row r="56" spans="1:15" ht="15" x14ac:dyDescent="0.25">
      <c r="A56" s="152"/>
      <c r="B56" s="30"/>
      <c r="C56" s="156"/>
      <c r="D56" s="74"/>
      <c r="E56" s="73"/>
      <c r="F56" s="30"/>
      <c r="G56" s="30"/>
      <c r="H56" s="30"/>
      <c r="I56" s="30"/>
      <c r="J56" s="31"/>
      <c r="K56" s="31"/>
      <c r="L56" s="31"/>
      <c r="M56" s="31"/>
      <c r="N56" s="31"/>
      <c r="O56" s="151" t="str">
        <f>IF(B56="","",COUNTIF('Rel.Conjunts-Sistemes'!$D:$D,$B56))</f>
        <v/>
      </c>
    </row>
    <row r="57" spans="1:15" ht="15" x14ac:dyDescent="0.25">
      <c r="A57" s="152"/>
      <c r="B57" s="30"/>
      <c r="C57" s="156"/>
      <c r="D57" s="74"/>
      <c r="E57" s="73"/>
      <c r="F57" s="30"/>
      <c r="G57" s="30"/>
      <c r="H57" s="30"/>
      <c r="I57" s="30"/>
      <c r="J57" s="31"/>
      <c r="K57" s="31"/>
      <c r="L57" s="31"/>
      <c r="M57" s="31"/>
      <c r="N57" s="31"/>
      <c r="O57" s="151" t="str">
        <f>IF(B57="","",COUNTIF('Rel.Conjunts-Sistemes'!$D:$D,$B57))</f>
        <v/>
      </c>
    </row>
    <row r="58" spans="1:15" ht="15" x14ac:dyDescent="0.25">
      <c r="A58" s="152"/>
      <c r="B58" s="30"/>
      <c r="C58" s="156"/>
      <c r="D58" s="74"/>
      <c r="E58" s="73"/>
      <c r="F58" s="30"/>
      <c r="G58" s="30"/>
      <c r="H58" s="30"/>
      <c r="I58" s="30"/>
      <c r="J58" s="31"/>
      <c r="K58" s="31"/>
      <c r="L58" s="31"/>
      <c r="M58" s="31"/>
      <c r="N58" s="31"/>
      <c r="O58" s="151" t="str">
        <f>IF(B58="","",COUNTIF('Rel.Conjunts-Sistemes'!$D:$D,$B58))</f>
        <v/>
      </c>
    </row>
    <row r="59" spans="1:15" ht="15" x14ac:dyDescent="0.25">
      <c r="A59" s="152"/>
      <c r="B59" s="30"/>
      <c r="C59" s="156"/>
      <c r="D59" s="74"/>
      <c r="E59" s="73"/>
      <c r="F59" s="30"/>
      <c r="G59" s="30"/>
      <c r="H59" s="30"/>
      <c r="I59" s="30"/>
      <c r="J59" s="31"/>
      <c r="K59" s="31"/>
      <c r="L59" s="31"/>
      <c r="M59" s="31"/>
      <c r="N59" s="31"/>
      <c r="O59" s="151" t="str">
        <f>IF(B59="","",COUNTIF('Rel.Conjunts-Sistemes'!$D:$D,$B59))</f>
        <v/>
      </c>
    </row>
    <row r="60" spans="1:15" ht="15" x14ac:dyDescent="0.25">
      <c r="A60" s="152"/>
      <c r="B60" s="30"/>
      <c r="C60" s="156"/>
      <c r="D60" s="74"/>
      <c r="E60" s="73"/>
      <c r="F60" s="30"/>
      <c r="G60" s="30"/>
      <c r="H60" s="30"/>
      <c r="I60" s="30"/>
      <c r="J60" s="31"/>
      <c r="K60" s="31"/>
      <c r="L60" s="31"/>
      <c r="M60" s="31"/>
      <c r="N60" s="31"/>
      <c r="O60" s="151" t="str">
        <f>IF(B60="","",COUNTIF('Rel.Conjunts-Sistemes'!$D:$D,$B60))</f>
        <v/>
      </c>
    </row>
    <row r="61" spans="1:15" ht="15" x14ac:dyDescent="0.25">
      <c r="A61" s="152"/>
      <c r="B61" s="30"/>
      <c r="C61" s="156"/>
      <c r="D61" s="74"/>
      <c r="E61" s="73"/>
      <c r="F61" s="30"/>
      <c r="G61" s="30"/>
      <c r="H61" s="30"/>
      <c r="I61" s="30"/>
      <c r="J61" s="31"/>
      <c r="K61" s="31"/>
      <c r="L61" s="31"/>
      <c r="M61" s="31"/>
      <c r="N61" s="31"/>
      <c r="O61" s="151" t="str">
        <f>IF(B61="","",COUNTIF('Rel.Conjunts-Sistemes'!$D:$D,$B61))</f>
        <v/>
      </c>
    </row>
    <row r="62" spans="1:15" ht="15" x14ac:dyDescent="0.25">
      <c r="A62" s="152"/>
      <c r="B62" s="30"/>
      <c r="C62" s="156"/>
      <c r="D62" s="74"/>
      <c r="E62" s="73"/>
      <c r="F62" s="30"/>
      <c r="G62" s="30"/>
      <c r="H62" s="30"/>
      <c r="I62" s="30"/>
      <c r="J62" s="31"/>
      <c r="K62" s="31"/>
      <c r="L62" s="31"/>
      <c r="M62" s="31"/>
      <c r="N62" s="31"/>
      <c r="O62" s="151" t="str">
        <f>IF(B62="","",COUNTIF('Rel.Conjunts-Sistemes'!$D:$D,$B62))</f>
        <v/>
      </c>
    </row>
    <row r="63" spans="1:15" ht="15" x14ac:dyDescent="0.25">
      <c r="A63" s="152"/>
      <c r="B63" s="30"/>
      <c r="C63" s="156"/>
      <c r="D63" s="74"/>
      <c r="E63" s="73"/>
      <c r="F63" s="30"/>
      <c r="G63" s="30"/>
      <c r="H63" s="30"/>
      <c r="I63" s="30"/>
      <c r="J63" s="31"/>
      <c r="K63" s="31"/>
      <c r="L63" s="31"/>
      <c r="M63" s="31"/>
      <c r="N63" s="31"/>
      <c r="O63" s="151" t="str">
        <f>IF(B63="","",COUNTIF('Rel.Conjunts-Sistemes'!$D:$D,$B63))</f>
        <v/>
      </c>
    </row>
    <row r="64" spans="1:15" ht="15" x14ac:dyDescent="0.25">
      <c r="A64" s="152"/>
      <c r="B64" s="30"/>
      <c r="C64" s="156"/>
      <c r="D64" s="74"/>
      <c r="E64" s="73"/>
      <c r="F64" s="30"/>
      <c r="G64" s="30"/>
      <c r="H64" s="30"/>
      <c r="I64" s="30"/>
      <c r="J64" s="31"/>
      <c r="K64" s="31"/>
      <c r="L64" s="31"/>
      <c r="M64" s="31"/>
      <c r="N64" s="31"/>
      <c r="O64" s="151" t="str">
        <f>IF(B64="","",COUNTIF('Rel.Conjunts-Sistemes'!$D:$D,$B64))</f>
        <v/>
      </c>
    </row>
    <row r="65" spans="1:15" ht="15" x14ac:dyDescent="0.25">
      <c r="A65" s="152"/>
      <c r="B65" s="30"/>
      <c r="C65" s="156"/>
      <c r="D65" s="74"/>
      <c r="E65" s="73"/>
      <c r="F65" s="30"/>
      <c r="G65" s="30"/>
      <c r="H65" s="30"/>
      <c r="I65" s="30"/>
      <c r="J65" s="31"/>
      <c r="K65" s="31"/>
      <c r="L65" s="31"/>
      <c r="M65" s="31"/>
      <c r="N65" s="31"/>
      <c r="O65" s="151" t="str">
        <f>IF(B65="","",COUNTIF('Rel.Conjunts-Sistemes'!$D:$D,$B65))</f>
        <v/>
      </c>
    </row>
    <row r="66" spans="1:15" ht="15" x14ac:dyDescent="0.25">
      <c r="A66" s="152"/>
      <c r="B66" s="30"/>
      <c r="C66" s="156"/>
      <c r="D66" s="74"/>
      <c r="E66" s="73"/>
      <c r="F66" s="30"/>
      <c r="G66" s="30"/>
      <c r="H66" s="30"/>
      <c r="I66" s="30"/>
      <c r="J66" s="31"/>
      <c r="K66" s="31"/>
      <c r="L66" s="31"/>
      <c r="M66" s="31"/>
      <c r="N66" s="31"/>
      <c r="O66" s="151" t="str">
        <f>IF(B66="","",COUNTIF('Rel.Conjunts-Sistemes'!$D:$D,$B66))</f>
        <v/>
      </c>
    </row>
    <row r="67" spans="1:15" ht="15" x14ac:dyDescent="0.25">
      <c r="A67" s="152"/>
      <c r="B67" s="30"/>
      <c r="C67" s="156"/>
      <c r="D67" s="74"/>
      <c r="E67" s="73"/>
      <c r="F67" s="30"/>
      <c r="G67" s="30"/>
      <c r="H67" s="30"/>
      <c r="I67" s="30"/>
      <c r="J67" s="31"/>
      <c r="K67" s="31"/>
      <c r="L67" s="31"/>
      <c r="M67" s="31"/>
      <c r="N67" s="31"/>
      <c r="O67" s="151" t="str">
        <f>IF(B67="","",COUNTIF('Rel.Conjunts-Sistemes'!$D:$D,$B67))</f>
        <v/>
      </c>
    </row>
    <row r="68" spans="1:15" ht="15" x14ac:dyDescent="0.25">
      <c r="A68" s="152"/>
    </row>
    <row r="69" spans="1:15" ht="15" x14ac:dyDescent="0.25">
      <c r="A69" s="152"/>
    </row>
  </sheetData>
  <phoneticPr fontId="14" type="noConversion"/>
  <conditionalFormatting sqref="O9:O67">
    <cfRule type="cellIs" dxfId="9" priority="1" operator="greaterThanOrEqual">
      <formula>1</formula>
    </cfRule>
    <cfRule type="cellIs" dxfId="8" priority="2" operator="equal">
      <formula>0</formula>
    </cfRule>
  </conditionalFormatting>
  <dataValidations count="6">
    <dataValidation operator="greaterThan" allowBlank="1" showInputMessage="1" showErrorMessage="1" sqref="E1:E6 E8:E1048576" xr:uid="{D86B3148-1281-4116-A9EE-D1218D1FAFA2}"/>
    <dataValidation type="list" allowBlank="1" showInputMessage="1" showErrorMessage="1" sqref="G9:G67" xr:uid="{60C9F9AD-7031-4245-8025-5D11B7C54C73}">
      <formula1>ArquitecturaCloud</formula1>
    </dataValidation>
    <dataValidation type="list" allowBlank="1" showInputMessage="1" showErrorMessage="1" sqref="H9:H67" xr:uid="{E2AAFDAD-8488-41E8-BFDD-B3D909CE5A8D}">
      <formula1>EstatSistemes</formula1>
    </dataValidation>
    <dataValidation type="list" allowBlank="1" showInputMessage="1" showErrorMessage="1" sqref="L9:L67" xr:uid="{9F8BF595-7D5E-4511-B55A-220FAC79C42C}">
      <formula1>Criticitat</formula1>
    </dataValidation>
    <dataValidation type="list" allowBlank="1" showInputMessage="1" showErrorMessage="1" sqref="F9:F67" xr:uid="{3070634D-1244-4CEB-8AA8-6721F314926A}">
      <formula1>TipusServei</formula1>
    </dataValidation>
    <dataValidation type="date" operator="greaterThan" allowBlank="1" showInputMessage="1" showErrorMessage="1" sqref="I9:K67" xr:uid="{D19A20FA-26C1-442A-849F-1545727E1B42}">
      <formula1>45658</formula1>
    </dataValidation>
  </dataValidations>
  <pageMargins left="0.70866141732283472" right="0.70866141732283472" top="0.74803149606299213" bottom="0.74803149606299213" header="0.31496062992125984" footer="0.31496062992125984"/>
  <pageSetup paperSize="9" scale="38" orientation="landscape"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07F70-D94C-4010-BF5A-E3D3083C9E62}">
  <sheetPr>
    <tabColor rgb="FFFFC000"/>
  </sheetPr>
  <dimension ref="A1:F62"/>
  <sheetViews>
    <sheetView zoomScale="89" zoomScaleNormal="100" workbookViewId="0">
      <pane xSplit="2" ySplit="8" topLeftCell="C32" activePane="bottomRight" state="frozen"/>
      <selection pane="topRight" activeCell="L20" sqref="L20:L21"/>
      <selection pane="bottomLeft" activeCell="L20" sqref="L20:L21"/>
      <selection pane="bottomRight" activeCell="D33" sqref="D33"/>
    </sheetView>
  </sheetViews>
  <sheetFormatPr defaultColWidth="11.42578125" defaultRowHeight="13.5" x14ac:dyDescent="0.25"/>
  <cols>
    <col min="1" max="1" width="2.85546875" style="32" customWidth="1"/>
    <col min="2" max="2" width="27.5703125" style="32" customWidth="1"/>
    <col min="3" max="4" width="40.140625" style="32" customWidth="1"/>
    <col min="5" max="5" width="24.42578125" style="32" customWidth="1"/>
    <col min="6" max="6" width="11.42578125" style="28" customWidth="1"/>
    <col min="7" max="16384" width="11.42578125" style="32"/>
  </cols>
  <sheetData>
    <row r="1" spans="2:6" s="13" customFormat="1" x14ac:dyDescent="0.25">
      <c r="B1" s="12"/>
      <c r="C1" s="25"/>
      <c r="D1" s="25"/>
      <c r="F1" s="12"/>
    </row>
    <row r="2" spans="2:6" s="13" customFormat="1" x14ac:dyDescent="0.25">
      <c r="B2" s="12"/>
      <c r="C2" s="25"/>
      <c r="D2" s="25"/>
      <c r="F2" s="12"/>
    </row>
    <row r="3" spans="2:6" s="13" customFormat="1" x14ac:dyDescent="0.25">
      <c r="B3" s="12"/>
      <c r="C3" s="25"/>
      <c r="D3" s="25"/>
      <c r="F3" s="12"/>
    </row>
    <row r="4" spans="2:6" s="13" customFormat="1" x14ac:dyDescent="0.25">
      <c r="B4" s="12"/>
      <c r="C4" s="25"/>
      <c r="D4" s="25"/>
      <c r="F4" s="12"/>
    </row>
    <row r="5" spans="2:6" s="20" customFormat="1" ht="24.75" thickBot="1" x14ac:dyDescent="0.45">
      <c r="B5" s="21" t="s">
        <v>50</v>
      </c>
      <c r="C5" s="21"/>
      <c r="D5" s="21"/>
      <c r="E5" s="21"/>
      <c r="F5" s="138"/>
    </row>
    <row r="6" spans="2:6" s="20" customFormat="1" ht="24.75" thickTop="1" x14ac:dyDescent="0.4">
      <c r="B6" s="54">
        <f>COUNTA(C$9:C$62)</f>
        <v>34</v>
      </c>
      <c r="C6" s="55" t="e">
        <f>COUNTA(C$9:C$62)/$B$7</f>
        <v>#VALUE!</v>
      </c>
      <c r="D6" s="55" t="e">
        <f>COUNTA(D$9:D$62)/$B$7</f>
        <v>#VALUE!</v>
      </c>
      <c r="E6" s="55" t="e">
        <f>COUNTA(E$9:E$62)/$B$7</f>
        <v>#VALUE!</v>
      </c>
      <c r="F6" s="53"/>
    </row>
    <row r="7" spans="2:6" s="56" customFormat="1" ht="40.5" x14ac:dyDescent="0.25">
      <c r="B7" s="190" t="s">
        <v>52</v>
      </c>
      <c r="C7" s="190" t="s">
        <v>3</v>
      </c>
      <c r="D7" s="190" t="s">
        <v>406</v>
      </c>
      <c r="E7" s="190" t="s">
        <v>53</v>
      </c>
      <c r="F7" s="190" t="s">
        <v>585</v>
      </c>
    </row>
    <row r="8" spans="2:6" s="26" customFormat="1" ht="67.5" x14ac:dyDescent="0.25">
      <c r="B8" s="30" t="s">
        <v>409</v>
      </c>
      <c r="C8" s="30" t="s">
        <v>530</v>
      </c>
      <c r="D8" s="30" t="s">
        <v>407</v>
      </c>
      <c r="E8" s="57" t="s">
        <v>118</v>
      </c>
      <c r="F8" s="151">
        <f>IF(B8="","",COUNTIF('Conjunts de dades'!$D:$D,$B8))</f>
        <v>11</v>
      </c>
    </row>
    <row r="9" spans="2:6" s="28" customFormat="1" ht="54" x14ac:dyDescent="0.25">
      <c r="B9" s="30" t="s">
        <v>525</v>
      </c>
      <c r="C9" s="30" t="s">
        <v>119</v>
      </c>
      <c r="D9" s="30" t="s">
        <v>407</v>
      </c>
      <c r="E9" s="57" t="s">
        <v>120</v>
      </c>
      <c r="F9" s="151">
        <f>IF(B9="","",COUNTIF('Conjunts de dades'!$D:$D,$B9))</f>
        <v>1</v>
      </c>
    </row>
    <row r="10" spans="2:6" s="28" customFormat="1" ht="27" x14ac:dyDescent="0.25">
      <c r="B10" s="29" t="s">
        <v>413</v>
      </c>
      <c r="C10" s="30" t="s">
        <v>410</v>
      </c>
      <c r="D10" s="30" t="s">
        <v>407</v>
      </c>
      <c r="E10" s="57" t="s">
        <v>120</v>
      </c>
      <c r="F10" s="151">
        <f>IF(B10="","",COUNTIF('Conjunts de dades'!$D:$D,$B10))</f>
        <v>0</v>
      </c>
    </row>
    <row r="11" spans="2:6" s="28" customFormat="1" ht="67.5" x14ac:dyDescent="0.25">
      <c r="B11" s="30" t="s">
        <v>108</v>
      </c>
      <c r="C11" s="30" t="s">
        <v>109</v>
      </c>
      <c r="D11" s="193" t="s">
        <v>955</v>
      </c>
      <c r="E11" s="57" t="s">
        <v>110</v>
      </c>
      <c r="F11" s="151">
        <f>IF(B11="","",COUNTIF('Conjunts de dades'!$D:$D,$B11))</f>
        <v>4</v>
      </c>
    </row>
    <row r="12" spans="2:6" s="28" customFormat="1" ht="67.5" x14ac:dyDescent="0.25">
      <c r="B12" s="30" t="s">
        <v>127</v>
      </c>
      <c r="C12" s="30" t="s">
        <v>128</v>
      </c>
      <c r="D12" s="189" t="s">
        <v>955</v>
      </c>
      <c r="E12" s="57" t="s">
        <v>110</v>
      </c>
      <c r="F12" s="151">
        <f>IF(B12="","",COUNTIF('Conjunts de dades'!$D:$D,$B12))</f>
        <v>1</v>
      </c>
    </row>
    <row r="13" spans="2:6" s="28" customFormat="1" ht="67.5" x14ac:dyDescent="0.25">
      <c r="B13" s="30" t="s">
        <v>532</v>
      </c>
      <c r="C13" s="30" t="s">
        <v>113</v>
      </c>
      <c r="D13" s="189" t="s">
        <v>955</v>
      </c>
      <c r="E13" s="57" t="s">
        <v>114</v>
      </c>
      <c r="F13" s="151">
        <f>IF(B13="","",COUNTIF('Conjunts de dades'!$D:$D,$B13))</f>
        <v>6</v>
      </c>
    </row>
    <row r="14" spans="2:6" s="28" customFormat="1" ht="51" customHeight="1" x14ac:dyDescent="0.25">
      <c r="B14" s="30" t="s">
        <v>117</v>
      </c>
      <c r="C14" s="30" t="s">
        <v>872</v>
      </c>
      <c r="D14" s="189" t="s">
        <v>955</v>
      </c>
      <c r="E14" s="57" t="s">
        <v>118</v>
      </c>
      <c r="F14" s="151">
        <f>IF(B14="","",COUNTIF('Conjunts de dades'!$D:$D,$B14))</f>
        <v>1</v>
      </c>
    </row>
    <row r="15" spans="2:6" s="28" customFormat="1" ht="67.5" x14ac:dyDescent="0.25">
      <c r="B15" s="30" t="s">
        <v>121</v>
      </c>
      <c r="C15" s="30" t="s">
        <v>122</v>
      </c>
      <c r="D15" s="189" t="s">
        <v>955</v>
      </c>
      <c r="E15" s="57" t="s">
        <v>123</v>
      </c>
      <c r="F15" s="151">
        <f>IF(B15="","",COUNTIF('Conjunts de dades'!$D:$D,$B15))</f>
        <v>2</v>
      </c>
    </row>
    <row r="16" spans="2:6" s="28" customFormat="1" ht="67.5" x14ac:dyDescent="0.25">
      <c r="B16" s="30" t="s">
        <v>59</v>
      </c>
      <c r="C16" s="30" t="s">
        <v>60</v>
      </c>
      <c r="D16" s="189" t="s">
        <v>955</v>
      </c>
      <c r="E16" s="57" t="s">
        <v>61</v>
      </c>
      <c r="F16" s="151">
        <f>IF(B16="","",COUNTIF('Conjunts de dades'!$D:$D,$B16))</f>
        <v>2</v>
      </c>
    </row>
    <row r="17" spans="2:6" s="28" customFormat="1" ht="54" x14ac:dyDescent="0.25">
      <c r="B17" s="30" t="s">
        <v>528</v>
      </c>
      <c r="C17" s="30" t="s">
        <v>527</v>
      </c>
      <c r="D17" s="189" t="s">
        <v>955</v>
      </c>
      <c r="E17" s="57" t="s">
        <v>61</v>
      </c>
      <c r="F17" s="151">
        <f>IF(B17="","",COUNTIF('Conjunts de dades'!$D:$D,$B17))</f>
        <v>1</v>
      </c>
    </row>
    <row r="18" spans="2:6" s="28" customFormat="1" ht="67.5" x14ac:dyDescent="0.25">
      <c r="B18" s="30" t="s">
        <v>115</v>
      </c>
      <c r="C18" s="30" t="s">
        <v>116</v>
      </c>
      <c r="D18" s="189" t="s">
        <v>955</v>
      </c>
      <c r="E18" s="57" t="s">
        <v>61</v>
      </c>
      <c r="F18" s="151">
        <f>IF(B18="","",COUNTIF('Conjunts de dades'!$D:$D,$B18))</f>
        <v>1</v>
      </c>
    </row>
    <row r="19" spans="2:6" s="28" customFormat="1" ht="67.5" x14ac:dyDescent="0.25">
      <c r="B19" s="30" t="s">
        <v>531</v>
      </c>
      <c r="C19" s="30" t="s">
        <v>105</v>
      </c>
      <c r="D19" s="189" t="s">
        <v>955</v>
      </c>
      <c r="E19" s="57" t="s">
        <v>106</v>
      </c>
      <c r="F19" s="151">
        <f>IF(B19="","",COUNTIF('Conjunts de dades'!$D:$D,$B19))</f>
        <v>4</v>
      </c>
    </row>
    <row r="20" spans="2:6" s="28" customFormat="1" ht="67.5" x14ac:dyDescent="0.25">
      <c r="B20" s="30" t="s">
        <v>100</v>
      </c>
      <c r="C20" s="30" t="s">
        <v>529</v>
      </c>
      <c r="D20" s="189" t="s">
        <v>955</v>
      </c>
      <c r="E20" s="57" t="s">
        <v>101</v>
      </c>
      <c r="F20" s="151">
        <f>IF(B20="","",COUNTIF('Conjunts de dades'!$D:$D,$B20))</f>
        <v>2</v>
      </c>
    </row>
    <row r="21" spans="2:6" s="28" customFormat="1" ht="67.5" x14ac:dyDescent="0.25">
      <c r="B21" s="30" t="s">
        <v>67</v>
      </c>
      <c r="C21" s="30" t="s">
        <v>68</v>
      </c>
      <c r="D21" s="167" t="s">
        <v>411</v>
      </c>
      <c r="E21" s="57" t="s">
        <v>69</v>
      </c>
      <c r="F21" s="151">
        <f>IF(B21="","",COUNTIF('Conjunts de dades'!$D:$D,$B21))</f>
        <v>3</v>
      </c>
    </row>
    <row r="22" spans="2:6" s="28" customFormat="1" ht="67.5" x14ac:dyDescent="0.25">
      <c r="B22" s="30" t="s">
        <v>102</v>
      </c>
      <c r="C22" s="30" t="s">
        <v>103</v>
      </c>
      <c r="D22" s="30" t="s">
        <v>411</v>
      </c>
      <c r="E22" s="57" t="s">
        <v>104</v>
      </c>
      <c r="F22" s="151">
        <f>IF(B22="","",COUNTIF('Conjunts de dades'!$D:$D,$B22))</f>
        <v>0</v>
      </c>
    </row>
    <row r="23" spans="2:6" s="28" customFormat="1" ht="67.5" x14ac:dyDescent="0.25">
      <c r="B23" s="30" t="s">
        <v>77</v>
      </c>
      <c r="C23" s="30" t="s">
        <v>78</v>
      </c>
      <c r="D23" s="30" t="s">
        <v>411</v>
      </c>
      <c r="E23" s="57" t="s">
        <v>79</v>
      </c>
      <c r="F23" s="151">
        <f>IF(B23="","",COUNTIF('Conjunts de dades'!$D:$D,$B23))</f>
        <v>3</v>
      </c>
    </row>
    <row r="24" spans="2:6" s="28" customFormat="1" ht="54" x14ac:dyDescent="0.25">
      <c r="B24" s="30" t="s">
        <v>92</v>
      </c>
      <c r="C24" s="30" t="s">
        <v>93</v>
      </c>
      <c r="D24" s="30" t="s">
        <v>411</v>
      </c>
      <c r="E24" s="57" t="s">
        <v>94</v>
      </c>
      <c r="F24" s="151">
        <f>IF(B24="","",COUNTIF('Conjunts de dades'!$D:$D,$B24))</f>
        <v>2</v>
      </c>
    </row>
    <row r="25" spans="2:6" s="28" customFormat="1" ht="67.5" x14ac:dyDescent="0.25">
      <c r="B25" s="30" t="s">
        <v>98</v>
      </c>
      <c r="C25" s="30" t="s">
        <v>99</v>
      </c>
      <c r="D25" s="30" t="s">
        <v>411</v>
      </c>
      <c r="E25" s="57" t="s">
        <v>98</v>
      </c>
      <c r="F25" s="151">
        <f>IF(B25="","",COUNTIF('Conjunts de dades'!$D:$D,$B25))</f>
        <v>4</v>
      </c>
    </row>
    <row r="26" spans="2:6" s="28" customFormat="1" ht="54" x14ac:dyDescent="0.25">
      <c r="B26" s="30" t="s">
        <v>124</v>
      </c>
      <c r="C26" s="30" t="s">
        <v>125</v>
      </c>
      <c r="D26" s="30" t="s">
        <v>411</v>
      </c>
      <c r="E26" s="57" t="s">
        <v>126</v>
      </c>
      <c r="F26" s="151">
        <f>IF(B26="","",COUNTIF('Conjunts de dades'!$D:$D,$B26))</f>
        <v>5</v>
      </c>
    </row>
    <row r="27" spans="2:6" s="28" customFormat="1" ht="67.5" x14ac:dyDescent="0.25">
      <c r="B27" s="30" t="s">
        <v>55</v>
      </c>
      <c r="C27" s="30" t="s">
        <v>56</v>
      </c>
      <c r="D27" s="30" t="s">
        <v>411</v>
      </c>
      <c r="E27" s="57" t="s">
        <v>57</v>
      </c>
      <c r="F27" s="151">
        <f>IF(B27="","",COUNTIF('Conjunts de dades'!$D:$D,$B27))</f>
        <v>2</v>
      </c>
    </row>
    <row r="28" spans="2:6" s="28" customFormat="1" ht="67.5" x14ac:dyDescent="0.25">
      <c r="B28" s="30" t="s">
        <v>132</v>
      </c>
      <c r="C28" s="30" t="s">
        <v>133</v>
      </c>
      <c r="D28" s="30" t="s">
        <v>411</v>
      </c>
      <c r="E28" s="57" t="s">
        <v>57</v>
      </c>
      <c r="F28" s="151">
        <f>IF(B28="","",COUNTIF('Conjunts de dades'!$D:$D,$B28))</f>
        <v>6</v>
      </c>
    </row>
    <row r="29" spans="2:6" s="28" customFormat="1" ht="67.5" x14ac:dyDescent="0.25">
      <c r="B29" s="30" t="s">
        <v>579</v>
      </c>
      <c r="C29" s="30" t="s">
        <v>74</v>
      </c>
      <c r="D29" s="30" t="s">
        <v>411</v>
      </c>
      <c r="E29" s="57" t="s">
        <v>75</v>
      </c>
      <c r="F29" s="151">
        <f>IF(B29="","",COUNTIF('Conjunts de dades'!$D:$D,$B29))</f>
        <v>3</v>
      </c>
    </row>
    <row r="30" spans="2:6" s="28" customFormat="1" ht="67.5" x14ac:dyDescent="0.25">
      <c r="B30" s="30" t="s">
        <v>141</v>
      </c>
      <c r="C30" s="30" t="s">
        <v>142</v>
      </c>
      <c r="D30" s="30" t="s">
        <v>411</v>
      </c>
      <c r="E30" s="57" t="s">
        <v>106</v>
      </c>
      <c r="F30" s="151">
        <f>IF(B30="","",COUNTIF('Conjunts de dades'!$D:$D,$B30))</f>
        <v>2</v>
      </c>
    </row>
    <row r="31" spans="2:6" s="28" customFormat="1" ht="54" x14ac:dyDescent="0.25">
      <c r="B31" s="30" t="s">
        <v>63</v>
      </c>
      <c r="C31" s="30" t="s">
        <v>64</v>
      </c>
      <c r="D31" s="30" t="s">
        <v>408</v>
      </c>
      <c r="E31" s="57" t="s">
        <v>65</v>
      </c>
      <c r="F31" s="151">
        <f>IF(B31="","",COUNTIF('Conjunts de dades'!$D:$D,$B31))</f>
        <v>7</v>
      </c>
    </row>
    <row r="32" spans="2:6" s="28" customFormat="1" ht="54" x14ac:dyDescent="0.25">
      <c r="B32" s="30" t="s">
        <v>526</v>
      </c>
      <c r="C32" s="30" t="s">
        <v>956</v>
      </c>
      <c r="D32" s="30" t="s">
        <v>408</v>
      </c>
      <c r="E32" s="57" t="s">
        <v>35</v>
      </c>
      <c r="F32" s="151">
        <f>IF(B32="","",COUNTIF('Conjunts de dades'!$D:$D,$B32))</f>
        <v>3</v>
      </c>
    </row>
    <row r="33" spans="2:6" s="28" customFormat="1" ht="67.5" x14ac:dyDescent="0.25">
      <c r="B33" s="30" t="s">
        <v>85</v>
      </c>
      <c r="C33" s="30" t="s">
        <v>86</v>
      </c>
      <c r="D33" s="30" t="s">
        <v>408</v>
      </c>
      <c r="E33" s="57" t="s">
        <v>85</v>
      </c>
      <c r="F33" s="151">
        <f>IF(B33="","",COUNTIF('Conjunts de dades'!$D:$D,$B33))</f>
        <v>2</v>
      </c>
    </row>
    <row r="34" spans="2:6" s="28" customFormat="1" ht="81" x14ac:dyDescent="0.25">
      <c r="B34" s="30" t="s">
        <v>87</v>
      </c>
      <c r="C34" s="30" t="s">
        <v>88</v>
      </c>
      <c r="D34" s="30" t="s">
        <v>408</v>
      </c>
      <c r="E34" s="57" t="s">
        <v>89</v>
      </c>
      <c r="F34" s="151">
        <f>IF(B34="","",COUNTIF('Conjunts de dades'!$D:$D,$B34))</f>
        <v>3</v>
      </c>
    </row>
    <row r="35" spans="2:6" s="28" customFormat="1" ht="67.5" x14ac:dyDescent="0.25">
      <c r="B35" s="30" t="s">
        <v>96</v>
      </c>
      <c r="C35" s="30" t="s">
        <v>97</v>
      </c>
      <c r="D35" s="30" t="s">
        <v>408</v>
      </c>
      <c r="E35" s="57" t="s">
        <v>96</v>
      </c>
      <c r="F35" s="151">
        <f>IF(B35="","",COUNTIF('Conjunts de dades'!$D:$D,$B35))</f>
        <v>5</v>
      </c>
    </row>
    <row r="36" spans="2:6" s="28" customFormat="1" ht="67.5" x14ac:dyDescent="0.25">
      <c r="B36" s="30" t="s">
        <v>860</v>
      </c>
      <c r="C36" s="30" t="s">
        <v>134</v>
      </c>
      <c r="D36" s="30" t="s">
        <v>408</v>
      </c>
      <c r="E36" s="57" t="s">
        <v>135</v>
      </c>
      <c r="F36" s="151">
        <f>IF(B36="","",COUNTIF('Conjunts de dades'!$D:$D,$B36))</f>
        <v>3</v>
      </c>
    </row>
    <row r="37" spans="2:6" s="28" customFormat="1" ht="67.5" x14ac:dyDescent="0.25">
      <c r="B37" s="30" t="s">
        <v>82</v>
      </c>
      <c r="C37" s="30" t="s">
        <v>83</v>
      </c>
      <c r="D37" s="30" t="s">
        <v>408</v>
      </c>
      <c r="E37" s="57" t="s">
        <v>84</v>
      </c>
      <c r="F37" s="151">
        <f>IF(B37="","",COUNTIF('Conjunts de dades'!$D:$D,$B37))</f>
        <v>4</v>
      </c>
    </row>
    <row r="38" spans="2:6" s="28" customFormat="1" ht="67.5" x14ac:dyDescent="0.25">
      <c r="B38" s="30" t="s">
        <v>90</v>
      </c>
      <c r="C38" s="30" t="s">
        <v>91</v>
      </c>
      <c r="D38" s="30" t="s">
        <v>408</v>
      </c>
      <c r="E38" s="57" t="s">
        <v>84</v>
      </c>
      <c r="F38" s="151">
        <f>IF(B38="","",COUNTIF('Conjunts de dades'!$D:$D,$B38))</f>
        <v>2</v>
      </c>
    </row>
    <row r="39" spans="2:6" s="28" customFormat="1" ht="67.5" x14ac:dyDescent="0.25">
      <c r="B39" s="30" t="s">
        <v>129</v>
      </c>
      <c r="C39" s="30" t="s">
        <v>130</v>
      </c>
      <c r="D39" s="30" t="s">
        <v>408</v>
      </c>
      <c r="E39" s="57" t="s">
        <v>131</v>
      </c>
      <c r="F39" s="151">
        <f>IF(B39="","",COUNTIF('Conjunts de dades'!$D:$D,$B39))</f>
        <v>5</v>
      </c>
    </row>
    <row r="40" spans="2:6" s="28" customFormat="1" ht="67.5" x14ac:dyDescent="0.25">
      <c r="B40" s="30" t="s">
        <v>71</v>
      </c>
      <c r="C40" s="30" t="s">
        <v>72</v>
      </c>
      <c r="D40" s="30" t="s">
        <v>408</v>
      </c>
      <c r="E40" s="57" t="s">
        <v>73</v>
      </c>
      <c r="F40" s="151">
        <f>IF(B40="","",COUNTIF('Conjunts de dades'!$D:$D,$B40))</f>
        <v>3</v>
      </c>
    </row>
    <row r="41" spans="2:6" s="28" customFormat="1" ht="67.5" x14ac:dyDescent="0.25">
      <c r="B41" s="30" t="s">
        <v>859</v>
      </c>
      <c r="C41" s="30" t="s">
        <v>136</v>
      </c>
      <c r="D41" s="30" t="s">
        <v>408</v>
      </c>
      <c r="E41" s="57" t="s">
        <v>137</v>
      </c>
      <c r="F41" s="151">
        <f>IF(B41="","",COUNTIF('Conjunts de dades'!$D:$D,$B41))</f>
        <v>6</v>
      </c>
    </row>
    <row r="42" spans="2:6" s="28" customFormat="1" ht="67.5" x14ac:dyDescent="0.25">
      <c r="B42" s="30" t="s">
        <v>138</v>
      </c>
      <c r="C42" s="30" t="s">
        <v>139</v>
      </c>
      <c r="D42" s="30" t="s">
        <v>408</v>
      </c>
      <c r="E42" s="57" t="s">
        <v>140</v>
      </c>
      <c r="F42" s="151">
        <f>IF(B42="","",COUNTIF('Conjunts de dades'!$D:$D,$B42))</f>
        <v>2</v>
      </c>
    </row>
    <row r="43" spans="2:6" s="28" customFormat="1" ht="65.099999999999994" customHeight="1" x14ac:dyDescent="0.4">
      <c r="B43" s="191" t="s">
        <v>51</v>
      </c>
      <c r="C43" s="192"/>
      <c r="D43" s="192"/>
      <c r="E43" s="192"/>
      <c r="F43" s="194"/>
    </row>
    <row r="44" spans="2:6" s="28" customFormat="1" x14ac:dyDescent="0.25">
      <c r="B44" s="29"/>
      <c r="C44" s="30"/>
      <c r="D44" s="30"/>
      <c r="E44" s="57"/>
      <c r="F44" s="151" t="str">
        <f>IF(B44="","",COUNTIF('Conjunts de dades'!$D:$D,$B44))</f>
        <v/>
      </c>
    </row>
    <row r="45" spans="2:6" s="28" customFormat="1" x14ac:dyDescent="0.25">
      <c r="B45" s="29"/>
      <c r="C45" s="30"/>
      <c r="D45" s="30"/>
      <c r="E45" s="57"/>
      <c r="F45" s="151" t="str">
        <f>IF(B45="","",COUNTIF('Conjunts de dades'!$D:$D,$B45))</f>
        <v/>
      </c>
    </row>
    <row r="46" spans="2:6" s="28" customFormat="1" x14ac:dyDescent="0.25">
      <c r="B46" s="29"/>
      <c r="C46" s="30"/>
      <c r="D46" s="30"/>
      <c r="E46" s="57"/>
      <c r="F46" s="151" t="str">
        <f>IF(B46="","",COUNTIF('Conjunts de dades'!$D:$D,$B46))</f>
        <v/>
      </c>
    </row>
    <row r="47" spans="2:6" s="28" customFormat="1" x14ac:dyDescent="0.25">
      <c r="B47" s="29"/>
      <c r="C47" s="30"/>
      <c r="D47" s="30"/>
      <c r="E47" s="57"/>
      <c r="F47" s="151" t="str">
        <f>IF(B47="","",COUNTIF('Conjunts de dades'!$D:$D,$B47))</f>
        <v/>
      </c>
    </row>
    <row r="48" spans="2:6" s="28" customFormat="1" x14ac:dyDescent="0.25">
      <c r="B48" s="29"/>
      <c r="C48" s="30"/>
      <c r="D48" s="30"/>
      <c r="E48" s="57"/>
      <c r="F48" s="151" t="str">
        <f>IF(B48="","",COUNTIF('Conjunts de dades'!$D:$D,$B48))</f>
        <v/>
      </c>
    </row>
    <row r="49" spans="1:6" s="28" customFormat="1" x14ac:dyDescent="0.25">
      <c r="B49" s="29"/>
      <c r="C49" s="30"/>
      <c r="D49" s="30"/>
      <c r="E49" s="57"/>
      <c r="F49" s="151" t="str">
        <f>IF(B49="","",COUNTIF('Conjunts de dades'!$D:$D,$B49))</f>
        <v/>
      </c>
    </row>
    <row r="50" spans="1:6" s="28" customFormat="1" x14ac:dyDescent="0.25">
      <c r="B50" s="29"/>
      <c r="C50" s="30"/>
      <c r="D50" s="30"/>
      <c r="E50" s="57"/>
      <c r="F50" s="151" t="str">
        <f>IF(B50="","",COUNTIF('Conjunts de dades'!$D:$D,$B50))</f>
        <v/>
      </c>
    </row>
    <row r="51" spans="1:6" s="28" customFormat="1" x14ac:dyDescent="0.25">
      <c r="B51" s="29"/>
      <c r="C51" s="30"/>
      <c r="D51" s="30"/>
      <c r="E51" s="57"/>
      <c r="F51" s="151" t="str">
        <f>IF(B51="","",COUNTIF('Conjunts de dades'!$D:$D,$B51))</f>
        <v/>
      </c>
    </row>
    <row r="52" spans="1:6" s="28" customFormat="1" x14ac:dyDescent="0.25">
      <c r="B52" s="29"/>
      <c r="C52" s="30"/>
      <c r="D52" s="30"/>
      <c r="E52" s="57"/>
      <c r="F52" s="151" t="str">
        <f>IF(B52="","",COUNTIF('Conjunts de dades'!$D:$D,$B52))</f>
        <v/>
      </c>
    </row>
    <row r="53" spans="1:6" s="28" customFormat="1" x14ac:dyDescent="0.25">
      <c r="B53" s="29"/>
      <c r="C53" s="30"/>
      <c r="D53" s="30"/>
      <c r="E53" s="57"/>
      <c r="F53" s="151" t="str">
        <f>IF(B53="","",COUNTIF('Conjunts de dades'!$D:$D,$B53))</f>
        <v/>
      </c>
    </row>
    <row r="54" spans="1:6" s="28" customFormat="1" x14ac:dyDescent="0.25">
      <c r="B54" s="29"/>
      <c r="C54" s="30"/>
      <c r="D54" s="30"/>
      <c r="E54" s="57"/>
      <c r="F54" s="151" t="str">
        <f>IF(B54="","",COUNTIF('Conjunts de dades'!$D:$D,$B54))</f>
        <v/>
      </c>
    </row>
    <row r="55" spans="1:6" s="28" customFormat="1" x14ac:dyDescent="0.25">
      <c r="B55" s="29"/>
      <c r="C55" s="30"/>
      <c r="D55" s="30"/>
      <c r="E55" s="57"/>
      <c r="F55" s="151" t="str">
        <f>IF(B55="","",COUNTIF('Conjunts de dades'!$D:$D,$B55))</f>
        <v/>
      </c>
    </row>
    <row r="56" spans="1:6" s="28" customFormat="1" x14ac:dyDescent="0.25">
      <c r="B56" s="29"/>
      <c r="C56" s="30"/>
      <c r="D56" s="30"/>
      <c r="E56" s="57"/>
      <c r="F56" s="151" t="str">
        <f>IF(B56="","",COUNTIF('Conjunts de dades'!$D:$D,$B56))</f>
        <v/>
      </c>
    </row>
    <row r="57" spans="1:6" s="28" customFormat="1" x14ac:dyDescent="0.25">
      <c r="B57" s="29"/>
      <c r="C57" s="30"/>
      <c r="D57" s="30"/>
      <c r="E57" s="57"/>
      <c r="F57" s="151" t="str">
        <f>IF(B57="","",COUNTIF('Conjunts de dades'!$D:$D,$B57))</f>
        <v/>
      </c>
    </row>
    <row r="58" spans="1:6" s="28" customFormat="1" x14ac:dyDescent="0.25">
      <c r="B58" s="29"/>
      <c r="C58" s="30"/>
      <c r="D58" s="30"/>
      <c r="E58" s="57"/>
      <c r="F58" s="151" t="str">
        <f>IF(B58="","",COUNTIF('Conjunts de dades'!$D:$D,$B58))</f>
        <v/>
      </c>
    </row>
    <row r="59" spans="1:6" s="28" customFormat="1" x14ac:dyDescent="0.25">
      <c r="B59" s="29"/>
      <c r="C59" s="30"/>
      <c r="D59" s="30"/>
      <c r="E59" s="57"/>
      <c r="F59" s="151" t="str">
        <f>IF(B59="","",COUNTIF('Conjunts de dades'!$D:$D,$B59))</f>
        <v/>
      </c>
    </row>
    <row r="60" spans="1:6" s="28" customFormat="1" x14ac:dyDescent="0.25">
      <c r="B60" s="29"/>
      <c r="C60" s="30"/>
      <c r="D60" s="30"/>
      <c r="E60" s="57"/>
      <c r="F60" s="151" t="str">
        <f>IF(B60="","",COUNTIF('Conjunts de dades'!$D:$D,$B60))</f>
        <v/>
      </c>
    </row>
    <row r="61" spans="1:6" s="28" customFormat="1" x14ac:dyDescent="0.25">
      <c r="B61" s="29"/>
      <c r="C61" s="30"/>
      <c r="D61" s="30"/>
      <c r="E61" s="57"/>
      <c r="F61" s="151" t="str">
        <f>IF(B61="","",COUNTIF('Conjunts de dades'!$D:$D,$B61))</f>
        <v/>
      </c>
    </row>
    <row r="62" spans="1:6" s="42" customFormat="1" x14ac:dyDescent="0.25">
      <c r="A62" s="28"/>
      <c r="B62" s="29"/>
      <c r="C62" s="30"/>
      <c r="D62" s="30"/>
      <c r="E62" s="57"/>
      <c r="F62" s="151" t="str">
        <f>IF(B62="","",COUNTIF('Conjunts de dades'!$D:$D,$B62))</f>
        <v/>
      </c>
    </row>
  </sheetData>
  <autoFilter ref="B5:F62" xr:uid="{61D07F70-D94C-4010-BF5A-E3D3083C9E62}">
    <sortState xmlns:xlrd2="http://schemas.microsoft.com/office/spreadsheetml/2017/richdata2" ref="B6:F62">
      <sortCondition ref="D8:D62"/>
    </sortState>
  </autoFilter>
  <sortState xmlns:xlrd2="http://schemas.microsoft.com/office/spreadsheetml/2017/richdata2" ref="B9:E43">
    <sortCondition ref="B9:B43"/>
  </sortState>
  <phoneticPr fontId="14" type="noConversion"/>
  <conditionalFormatting sqref="F9:F62">
    <cfRule type="cellIs" dxfId="7" priority="1" operator="greaterThanOrEqual">
      <formula>1</formula>
    </cfRule>
    <cfRule type="cellIs" dxfId="6" priority="2" operator="equal">
      <formula>0</formula>
    </cfRule>
  </conditionalFormatting>
  <dataValidations count="1">
    <dataValidation type="list" allowBlank="1" showInputMessage="1" showErrorMessage="1" sqref="D9:D11 D22:D62" xr:uid="{F8F954A3-C2E2-4070-A97B-5D5C325BBEAD}">
      <formula1>Àmbit</formula1>
    </dataValidation>
  </dataValidations>
  <pageMargins left="0.70866141732283472" right="0.70866141732283472" top="0.74803149606299213" bottom="0.74803149606299213" header="0.31496062992125984" footer="0.31496062992125984"/>
  <pageSetup paperSize="9" scale="38" orientation="landscape"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622C4-A425-4F63-BCBB-709967467882}">
  <sheetPr>
    <tabColor rgb="FFFFC000"/>
  </sheetPr>
  <dimension ref="A1:AS121"/>
  <sheetViews>
    <sheetView zoomScale="89" zoomScaleNormal="100" workbookViewId="0">
      <pane xSplit="2" ySplit="8" topLeftCell="AB104" activePane="bottomRight" state="frozen"/>
      <selection pane="topRight" activeCell="E1" sqref="E1"/>
      <selection pane="bottomLeft" activeCell="A10" sqref="A10"/>
      <selection pane="bottomRight" activeCell="AC8" sqref="AC8:AF8"/>
    </sheetView>
  </sheetViews>
  <sheetFormatPr defaultColWidth="8.5703125" defaultRowHeight="12.75" x14ac:dyDescent="0.2"/>
  <cols>
    <col min="1" max="1" width="7.85546875" style="17" customWidth="1"/>
    <col min="2" max="2" width="33.85546875" style="182" customWidth="1"/>
    <col min="3" max="3" width="63.5703125" style="18" customWidth="1"/>
    <col min="4" max="4" width="37.42578125" style="18" customWidth="1"/>
    <col min="5" max="7" width="18.5703125" style="18" customWidth="1"/>
    <col min="8" max="8" width="12.140625" style="18" customWidth="1"/>
    <col min="9" max="9" width="12.140625" style="17" customWidth="1"/>
    <col min="10" max="14" width="12.140625" style="18" customWidth="1"/>
    <col min="15" max="20" width="18.5703125" style="18" customWidth="1"/>
    <col min="21" max="21" width="17.42578125" style="17" bestFit="1" customWidth="1"/>
    <col min="22" max="22" width="17.42578125" style="17" customWidth="1"/>
    <col min="23" max="23" width="15.42578125" style="17" bestFit="1" customWidth="1"/>
    <col min="24" max="27" width="15.42578125" style="17" customWidth="1"/>
    <col min="28" max="28" width="20.140625" style="17" customWidth="1"/>
    <col min="29" max="42" width="9.140625" style="17" customWidth="1"/>
    <col min="43" max="43" width="49.85546875" style="17" customWidth="1"/>
    <col min="44" max="16384" width="8.5703125" style="17"/>
  </cols>
  <sheetData>
    <row r="1" spans="1:45" s="13" customFormat="1" ht="3" customHeight="1" x14ac:dyDescent="0.25">
      <c r="A1" s="12"/>
      <c r="B1" s="133"/>
      <c r="C1" s="133"/>
      <c r="F1" s="14"/>
      <c r="G1" s="14"/>
      <c r="H1" s="52"/>
      <c r="J1" s="52"/>
      <c r="K1" s="52"/>
      <c r="L1" s="52"/>
      <c r="M1" s="52"/>
      <c r="N1" s="52"/>
    </row>
    <row r="2" spans="1:45" s="13" customFormat="1" ht="13.5" hidden="1" x14ac:dyDescent="0.25">
      <c r="A2" s="12"/>
      <c r="B2" s="133"/>
      <c r="C2" s="133"/>
      <c r="F2" s="14"/>
      <c r="G2" s="14"/>
      <c r="H2" s="52"/>
      <c r="J2" s="52"/>
      <c r="K2" s="52"/>
      <c r="L2" s="52"/>
      <c r="M2" s="52"/>
      <c r="N2" s="52"/>
    </row>
    <row r="3" spans="1:45" s="13" customFormat="1" ht="13.5" x14ac:dyDescent="0.25">
      <c r="A3" s="12"/>
      <c r="B3" s="133"/>
      <c r="C3" s="133"/>
      <c r="F3" s="14"/>
      <c r="G3" s="14"/>
      <c r="H3" s="52"/>
      <c r="J3" s="52"/>
      <c r="K3" s="52"/>
      <c r="L3" s="52"/>
      <c r="M3" s="52"/>
      <c r="N3" s="52"/>
    </row>
    <row r="4" spans="1:45" s="13" customFormat="1" ht="13.5" x14ac:dyDescent="0.25">
      <c r="A4" s="12"/>
      <c r="B4" s="133"/>
      <c r="C4" s="133"/>
      <c r="F4" s="14"/>
      <c r="G4" s="14"/>
      <c r="H4" s="52"/>
      <c r="J4" s="52"/>
      <c r="K4" s="52"/>
      <c r="L4" s="52"/>
      <c r="M4" s="52"/>
      <c r="N4" s="52"/>
    </row>
    <row r="5" spans="1:45" s="20" customFormat="1" ht="30" customHeight="1" thickBot="1" x14ac:dyDescent="0.45">
      <c r="B5" s="134" t="s">
        <v>143</v>
      </c>
      <c r="C5" s="134"/>
      <c r="D5" s="21"/>
      <c r="E5" s="21"/>
      <c r="F5" s="138"/>
      <c r="G5" s="21"/>
      <c r="H5" s="21"/>
      <c r="I5" s="21"/>
      <c r="J5" s="21"/>
      <c r="K5" s="21"/>
      <c r="L5" s="21"/>
      <c r="M5" s="21"/>
      <c r="N5" s="21"/>
      <c r="O5" s="21"/>
      <c r="P5" s="21"/>
      <c r="Q5" s="21"/>
      <c r="R5" s="21"/>
      <c r="S5" s="21"/>
      <c r="T5" s="21"/>
    </row>
    <row r="6" spans="1:45" s="184" customFormat="1" ht="32.1" customHeight="1" thickTop="1" x14ac:dyDescent="0.25">
      <c r="B6" s="185">
        <f>COUNTA(ConjuntsDades)</f>
        <v>104</v>
      </c>
      <c r="C6" s="186" cm="1">
        <f t="array" ref="C6">SUMPRODUCT(--(C$9:C$112&lt;&gt;""))/$B$6</f>
        <v>1</v>
      </c>
      <c r="D6" s="187" cm="1">
        <f t="array" ref="D6">SUMPRODUCT(--(D$9:D$112&lt;&gt;""))/$B$6</f>
        <v>1</v>
      </c>
      <c r="E6" s="187"/>
      <c r="F6" s="187" cm="1">
        <f t="array" ref="F6">SUMPRODUCT(--(F$9:F$112&lt;&gt;""))/$B$6</f>
        <v>9.6153846153846159E-3</v>
      </c>
      <c r="G6" s="187" cm="1">
        <f t="array" ref="G6">SUMPRODUCT(--(G$9:G$112&lt;&gt;""))/$B$6</f>
        <v>9.6153846153846159E-3</v>
      </c>
      <c r="H6" s="187" cm="1">
        <f t="array" ref="H6">SUMPRODUCT(--(H$9:H$112&lt;&gt;""))/$B$6</f>
        <v>0</v>
      </c>
      <c r="I6" s="187" cm="1">
        <f t="array" ref="I6">SUMPRODUCT(--(I$9:I$112&lt;&gt;""))/$B$6</f>
        <v>0</v>
      </c>
      <c r="J6" s="187" cm="1">
        <f t="array" ref="J6">SUMPRODUCT(--(J$9:J$112&lt;&gt;""))/$B$6</f>
        <v>0</v>
      </c>
      <c r="K6" s="187" cm="1">
        <f t="array" ref="K6">SUMPRODUCT(--(K$9:K$112&lt;&gt;""))/$B$6</f>
        <v>0</v>
      </c>
      <c r="L6" s="187" cm="1">
        <f t="array" ref="L6">SUMPRODUCT(--(L$9:L$112&lt;&gt;""))/$B$6</f>
        <v>0</v>
      </c>
      <c r="M6" s="187" cm="1">
        <f t="array" ref="M6">SUMPRODUCT(--(M$9:M$112&lt;&gt;""))/$B$6</f>
        <v>0</v>
      </c>
      <c r="N6" s="187" cm="1">
        <f t="array" ref="N6">SUMPRODUCT(--(N$9:N$112&lt;&gt;""))/$B$6</f>
        <v>0</v>
      </c>
      <c r="O6" s="187" cm="1">
        <f t="array" ref="O6">SUMPRODUCT(--(O$9:O$112&lt;&gt;""))/$B$6</f>
        <v>0</v>
      </c>
      <c r="P6" s="187" cm="1">
        <f t="array" ref="P6">SUMPRODUCT(--(P$9:P$112&lt;&gt;""))/$B$6</f>
        <v>0</v>
      </c>
      <c r="Q6" s="187" cm="1">
        <f t="array" ref="Q6">SUMPRODUCT(--(Q$9:Q$112&lt;&gt;""))/$B$6</f>
        <v>0</v>
      </c>
      <c r="R6" s="187" cm="1">
        <f t="array" ref="R6">SUMPRODUCT(--(R$9:R$112&lt;&gt;""))/$B$6</f>
        <v>0</v>
      </c>
      <c r="S6" s="187" cm="1">
        <f t="array" ref="S6">SUMPRODUCT(--(S$9:S$112&lt;&gt;""))/$B$6</f>
        <v>0</v>
      </c>
      <c r="T6" s="187" cm="1">
        <f t="array" ref="T6">SUMPRODUCT(--(T$9:T$112&lt;&gt;""))/$B$6</f>
        <v>0</v>
      </c>
      <c r="U6" s="187" cm="1">
        <f t="array" ref="U6">SUMPRODUCT(--(U$9:U$112&lt;&gt;""))/$B$6</f>
        <v>0</v>
      </c>
      <c r="V6" s="187" cm="1">
        <f t="array" ref="V6">SUMPRODUCT(--(V$9:V$112&lt;&gt;""))/$B$6</f>
        <v>0</v>
      </c>
      <c r="W6" s="187" cm="1">
        <f t="array" ref="W6">SUMPRODUCT(--(W$9:W$112&lt;&gt;""))/$B$6</f>
        <v>0</v>
      </c>
      <c r="X6" s="187" cm="1">
        <f t="array" ref="X6">SUMPRODUCT(--(X$9:X$112&lt;&gt;""))/$B$6</f>
        <v>0</v>
      </c>
      <c r="Y6" s="187" cm="1">
        <f t="array" ref="Y6">SUMPRODUCT(--(Y$9:Y$112&lt;&gt;""))/$B$6</f>
        <v>0</v>
      </c>
      <c r="Z6" s="187" cm="1">
        <f t="array" ref="Z6">SUMPRODUCT(--(Z$9:Z$112&lt;&gt;""))/$B$6</f>
        <v>0</v>
      </c>
      <c r="AA6" s="187" cm="1">
        <f t="array" ref="AA6">SUMPRODUCT(--(AA$9:AA$112&lt;&gt;""))/$B$6</f>
        <v>0</v>
      </c>
      <c r="AB6" s="187" cm="1">
        <f t="array" ref="AB6">SUMPRODUCT(--(AB$9:AB$112&lt;&gt;""))/$B$6</f>
        <v>0</v>
      </c>
      <c r="AC6" s="187" cm="1">
        <f t="array" ref="AC6">SUMPRODUCT(--(AC$9:AC$112&lt;&gt;""))/$B$6</f>
        <v>1.9230769230769232E-2</v>
      </c>
      <c r="AD6" s="187" cm="1">
        <f t="array" ref="AD6">SUMPRODUCT(--(AD$9:AD$112&lt;&gt;""))/$B$6</f>
        <v>1.9230769230769232E-2</v>
      </c>
      <c r="AE6" s="187" cm="1">
        <f t="array" ref="AE6">SUMPRODUCT(--(AE$9:AE$112&lt;&gt;""))/$B$6</f>
        <v>1.9230769230769232E-2</v>
      </c>
      <c r="AF6" s="187" cm="1">
        <f t="array" ref="AF6">SUMPRODUCT(--(AF$9:AF$112&lt;&gt;""))/$B$6</f>
        <v>9.6153846153846159E-3</v>
      </c>
      <c r="AG6" s="187" cm="1">
        <f t="array" ref="AG6">SUMPRODUCT(--(AG$9:AG$112&lt;&gt;""))/$B$6</f>
        <v>1.9230769230769232E-2</v>
      </c>
      <c r="AH6" s="187" cm="1">
        <f t="array" ref="AH6">SUMPRODUCT(--(AH$9:AH$112&lt;&gt;""))/$B$6</f>
        <v>1.9230769230769232E-2</v>
      </c>
      <c r="AI6" s="187" cm="1">
        <f t="array" ref="AI6">SUMPRODUCT(--(AI$9:AI$112&lt;&gt;""))/$B$6</f>
        <v>9.6153846153846159E-3</v>
      </c>
      <c r="AJ6" s="187" cm="1">
        <f t="array" ref="AJ6">SUMPRODUCT(--(AJ$9:AJ$112&lt;&gt;""))/$B$6</f>
        <v>1.9230769230769232E-2</v>
      </c>
      <c r="AK6" s="187" cm="1">
        <f t="array" ref="AK6">SUMPRODUCT(--(AK$9:AK$112&lt;&gt;""))/$B$6</f>
        <v>1.9230769230769232E-2</v>
      </c>
      <c r="AL6" s="187" cm="1">
        <f t="array" ref="AL6">SUMPRODUCT(--(AL$9:AL$112&lt;&gt;""))/$B$6</f>
        <v>1.9230769230769232E-2</v>
      </c>
      <c r="AM6" s="187" cm="1">
        <f t="array" ref="AM6">SUMPRODUCT(--(AM$9:AM$112&lt;&gt;""))/$B$6</f>
        <v>1.9230769230769232E-2</v>
      </c>
      <c r="AN6" s="187" cm="1">
        <f t="array" ref="AN6">SUMPRODUCT(--(AN$9:AN$112&lt;&gt;""))/$B$6</f>
        <v>1.9230769230769232E-2</v>
      </c>
      <c r="AO6" s="187" cm="1">
        <f t="array" ref="AO6">SUMPRODUCT(--(AO$9:AO$112&lt;&gt;""))/$B$6</f>
        <v>1.9230769230769232E-2</v>
      </c>
      <c r="AP6" s="187"/>
    </row>
    <row r="7" spans="1:45" s="55" customFormat="1" ht="8.1" customHeight="1" x14ac:dyDescent="0.25">
      <c r="B7" s="180"/>
      <c r="H7" s="203" t="s">
        <v>13</v>
      </c>
      <c r="I7" s="204"/>
      <c r="J7" s="204"/>
      <c r="K7" s="204"/>
      <c r="L7" s="204"/>
      <c r="M7" s="204"/>
      <c r="N7" s="207"/>
      <c r="O7" s="203" t="s">
        <v>647</v>
      </c>
      <c r="P7" s="204"/>
      <c r="Q7" s="204"/>
      <c r="R7" s="204"/>
      <c r="S7" s="204"/>
      <c r="T7" s="204"/>
      <c r="AC7" s="205" t="s">
        <v>595</v>
      </c>
      <c r="AD7" s="206"/>
      <c r="AE7" s="206"/>
      <c r="AF7" s="206"/>
      <c r="AG7" s="206"/>
      <c r="AH7" s="206"/>
      <c r="AI7" s="206"/>
      <c r="AJ7" s="206"/>
      <c r="AK7" s="206"/>
      <c r="AL7" s="206"/>
      <c r="AM7" s="206"/>
      <c r="AN7" s="206"/>
      <c r="AO7" s="206"/>
      <c r="AP7" s="197"/>
      <c r="AQ7" s="136"/>
    </row>
    <row r="8" spans="1:45" s="162" customFormat="1" ht="68.25" thickBot="1" x14ac:dyDescent="0.3">
      <c r="B8" s="132" t="s">
        <v>144</v>
      </c>
      <c r="C8" s="132" t="s">
        <v>3</v>
      </c>
      <c r="D8" s="132" t="s">
        <v>52</v>
      </c>
      <c r="E8" s="27" t="s">
        <v>53</v>
      </c>
      <c r="F8" s="27" t="s">
        <v>564</v>
      </c>
      <c r="G8" s="27" t="s">
        <v>599</v>
      </c>
      <c r="H8" s="27" t="s">
        <v>611</v>
      </c>
      <c r="I8" s="140" t="s">
        <v>610</v>
      </c>
      <c r="J8" s="140" t="s">
        <v>626</v>
      </c>
      <c r="K8" s="27" t="s">
        <v>620</v>
      </c>
      <c r="L8" s="27" t="s">
        <v>612</v>
      </c>
      <c r="M8" s="27" t="s">
        <v>613</v>
      </c>
      <c r="N8" s="27" t="s">
        <v>646</v>
      </c>
      <c r="O8" s="27" t="s">
        <v>600</v>
      </c>
      <c r="P8" s="27" t="s">
        <v>648</v>
      </c>
      <c r="Q8" s="27" t="s">
        <v>614</v>
      </c>
      <c r="R8" s="27" t="s">
        <v>649</v>
      </c>
      <c r="S8" s="27" t="s">
        <v>615</v>
      </c>
      <c r="T8" s="27" t="s">
        <v>650</v>
      </c>
      <c r="U8" s="140" t="s">
        <v>572</v>
      </c>
      <c r="V8" s="140" t="s">
        <v>163</v>
      </c>
      <c r="W8" s="132" t="s">
        <v>159</v>
      </c>
      <c r="X8" s="132" t="s">
        <v>558</v>
      </c>
      <c r="Y8" s="132" t="s">
        <v>539</v>
      </c>
      <c r="Z8" s="140" t="s">
        <v>547</v>
      </c>
      <c r="AA8" s="140" t="s">
        <v>545</v>
      </c>
      <c r="AB8" s="132" t="s">
        <v>164</v>
      </c>
      <c r="AC8" s="161" t="s">
        <v>592</v>
      </c>
      <c r="AD8" s="161" t="s">
        <v>112</v>
      </c>
      <c r="AE8" s="161" t="s">
        <v>593</v>
      </c>
      <c r="AF8" s="161" t="s">
        <v>594</v>
      </c>
      <c r="AG8" s="161" t="s">
        <v>342</v>
      </c>
      <c r="AH8" s="161" t="s">
        <v>602</v>
      </c>
      <c r="AI8" s="161" t="s">
        <v>596</v>
      </c>
      <c r="AJ8" s="161" t="s">
        <v>597</v>
      </c>
      <c r="AK8" s="161" t="s">
        <v>462</v>
      </c>
      <c r="AL8" s="161" t="s">
        <v>598</v>
      </c>
      <c r="AM8" s="161" t="s">
        <v>603</v>
      </c>
      <c r="AN8" s="161" t="s">
        <v>604</v>
      </c>
      <c r="AO8" s="161" t="s">
        <v>605</v>
      </c>
      <c r="AP8" s="161" t="s">
        <v>968</v>
      </c>
      <c r="AQ8" s="140" t="s">
        <v>546</v>
      </c>
      <c r="AR8" s="27" t="s">
        <v>953</v>
      </c>
      <c r="AS8" s="27" t="s">
        <v>589</v>
      </c>
    </row>
    <row r="9" spans="1:45" s="19" customFormat="1" ht="50.25" thickBot="1" x14ac:dyDescent="0.3">
      <c r="A9" s="179"/>
      <c r="B9" s="181" t="s">
        <v>819</v>
      </c>
      <c r="C9" s="179" t="s">
        <v>658</v>
      </c>
      <c r="D9" s="179" t="s">
        <v>90</v>
      </c>
      <c r="E9" s="41"/>
      <c r="F9" s="30" t="s">
        <v>404</v>
      </c>
      <c r="G9" s="30" t="s">
        <v>607</v>
      </c>
      <c r="H9" s="57"/>
      <c r="I9" s="24"/>
      <c r="J9" s="57"/>
      <c r="K9" s="57"/>
      <c r="L9" s="57"/>
      <c r="M9" s="57"/>
      <c r="N9" s="57"/>
      <c r="O9" s="24"/>
      <c r="P9" s="24"/>
      <c r="Q9" s="24"/>
      <c r="R9" s="24"/>
      <c r="S9" s="24"/>
      <c r="T9" s="24"/>
      <c r="U9" s="137"/>
      <c r="V9" s="24"/>
      <c r="W9" s="24"/>
      <c r="X9" s="24"/>
      <c r="Y9" s="137"/>
      <c r="Z9" s="24"/>
      <c r="AA9" s="24"/>
      <c r="AB9" s="24"/>
      <c r="AC9" s="166" t="s">
        <v>961</v>
      </c>
      <c r="AD9" s="166" t="s">
        <v>962</v>
      </c>
      <c r="AE9" s="166" t="s">
        <v>964</v>
      </c>
      <c r="AF9" s="166"/>
      <c r="AG9" s="166" t="s">
        <v>963</v>
      </c>
      <c r="AH9" s="166" t="s">
        <v>961</v>
      </c>
      <c r="AI9" s="166" t="s">
        <v>962</v>
      </c>
      <c r="AJ9" s="166" t="s">
        <v>960</v>
      </c>
      <c r="AK9" s="166" t="s">
        <v>962</v>
      </c>
      <c r="AL9" s="166" t="s">
        <v>965</v>
      </c>
      <c r="AM9" s="166" t="s">
        <v>961</v>
      </c>
      <c r="AN9" s="166" t="s">
        <v>961</v>
      </c>
      <c r="AO9" s="166" t="s">
        <v>963</v>
      </c>
      <c r="AP9" s="198" t="e">
        <f t="shared" ref="AP9:AP40" si="0">AVERAGE(SUMIF(AnàlisiRiscos,AC9,AnàlisiRiscosGrau),SUMIF(AnàlisiRiscos,AD9,AnàlisiRiscosGrau),SUMIF(AnàlisiRiscos,AE9,AnàlisiRiscosGrau),SUMIF(AnàlisiRiscos,AF9,AnàlisiRiscosGrau),SUMIF(AnàlisiRiscos,AG9,AnàlisiRiscosGrau),SUMIF(AnàlisiRiscos,AH9,AnàlisiRiscosGrau),SUMIF(AnàlisiRiscos,AI9,AnàlisiRiscosGrau),SUMIF(AnàlisiRiscos,AJ9,AnàlisiRiscosGrau),SUMIF(AnàlisiRiscos,AK9,AnàlisiRiscosGrau),SUMIF(AnàlisiRiscos,AL9,AnàlisiRiscosGrau),SUMIF(AnàlisiRiscos,AM9,AnàlisiRiscosGrau),SUMIF(AnàlisiRiscos,AN9,AnàlisiRiscosGrau),SUMIF(AnàlisiRiscos,AO9,AnàlisiRiscosGrau))</f>
        <v>#VALUE!</v>
      </c>
      <c r="AQ9" s="137"/>
      <c r="AR9" s="151">
        <f>IF(B9="","",COUNTIF('Rel.Conjunts-Sistemes'!$B:$B,$B9))</f>
        <v>1</v>
      </c>
      <c r="AS9" s="151">
        <f>IF(B9="","",COUNTIF('Dominis de dades'!$B:$B,$D9))</f>
        <v>1</v>
      </c>
    </row>
    <row r="10" spans="1:45" s="19" customFormat="1" ht="30.95" customHeight="1" thickBot="1" x14ac:dyDescent="0.3">
      <c r="A10" s="179"/>
      <c r="B10" s="181" t="s">
        <v>820</v>
      </c>
      <c r="C10" s="179" t="s">
        <v>659</v>
      </c>
      <c r="D10" s="179" t="s">
        <v>90</v>
      </c>
      <c r="E10" s="41"/>
      <c r="F10" s="30"/>
      <c r="G10" s="30"/>
      <c r="H10" s="57"/>
      <c r="I10" s="24"/>
      <c r="J10" s="57"/>
      <c r="K10" s="57"/>
      <c r="L10" s="57"/>
      <c r="M10" s="57"/>
      <c r="N10" s="57"/>
      <c r="O10" s="24"/>
      <c r="P10" s="24"/>
      <c r="Q10" s="24"/>
      <c r="R10" s="24"/>
      <c r="S10" s="24"/>
      <c r="T10" s="24"/>
      <c r="U10" s="137"/>
      <c r="V10" s="24"/>
      <c r="W10" s="24"/>
      <c r="X10" s="24"/>
      <c r="Y10" s="137"/>
      <c r="Z10" s="24"/>
      <c r="AA10" s="24"/>
      <c r="AB10" s="24"/>
      <c r="AC10" s="166" t="s">
        <v>961</v>
      </c>
      <c r="AD10" s="166" t="s">
        <v>962</v>
      </c>
      <c r="AE10" s="166" t="s">
        <v>964</v>
      </c>
      <c r="AF10" s="166" t="s">
        <v>967</v>
      </c>
      <c r="AG10" s="166" t="s">
        <v>963</v>
      </c>
      <c r="AH10" s="166" t="s">
        <v>961</v>
      </c>
      <c r="AI10" s="166"/>
      <c r="AJ10" s="166" t="s">
        <v>960</v>
      </c>
      <c r="AK10" s="166" t="s">
        <v>962</v>
      </c>
      <c r="AL10" s="166" t="s">
        <v>965</v>
      </c>
      <c r="AM10" s="166" t="s">
        <v>961</v>
      </c>
      <c r="AN10" s="166" t="s">
        <v>961</v>
      </c>
      <c r="AO10" s="166" t="s">
        <v>963</v>
      </c>
      <c r="AP10" s="198" t="e">
        <f t="shared" si="0"/>
        <v>#VALUE!</v>
      </c>
      <c r="AQ10" s="137"/>
      <c r="AR10" s="151">
        <f>IF(B10="","",COUNTIF('Rel.Conjunts-Sistemes'!$B:$B,$B10))</f>
        <v>1</v>
      </c>
      <c r="AS10" s="151">
        <f>IF(B10="","",COUNTIF('Dominis de dades'!$B:$B,$D10))</f>
        <v>1</v>
      </c>
    </row>
    <row r="11" spans="1:45" s="19" customFormat="1" ht="50.25" thickBot="1" x14ac:dyDescent="0.3">
      <c r="A11" s="179"/>
      <c r="B11" s="181" t="s">
        <v>821</v>
      </c>
      <c r="C11" s="179" t="s">
        <v>660</v>
      </c>
      <c r="D11" s="179" t="s">
        <v>82</v>
      </c>
      <c r="E11" s="41"/>
      <c r="F11" s="30"/>
      <c r="G11" s="30"/>
      <c r="H11" s="57"/>
      <c r="I11" s="24"/>
      <c r="J11" s="57"/>
      <c r="K11" s="57"/>
      <c r="L11" s="57"/>
      <c r="M11" s="57"/>
      <c r="N11" s="57"/>
      <c r="O11" s="24"/>
      <c r="P11" s="24"/>
      <c r="Q11" s="24"/>
      <c r="R11" s="24"/>
      <c r="S11" s="24"/>
      <c r="T11" s="24"/>
      <c r="U11" s="137"/>
      <c r="V11" s="24"/>
      <c r="W11" s="24"/>
      <c r="X11" s="24"/>
      <c r="Y11" s="137"/>
      <c r="Z11" s="24"/>
      <c r="AA11" s="24"/>
      <c r="AB11" s="24"/>
      <c r="AC11" s="166"/>
      <c r="AD11" s="166"/>
      <c r="AE11" s="166"/>
      <c r="AF11" s="166"/>
      <c r="AG11" s="166"/>
      <c r="AH11" s="166"/>
      <c r="AI11" s="166"/>
      <c r="AJ11" s="166"/>
      <c r="AK11" s="166"/>
      <c r="AL11" s="166"/>
      <c r="AM11" s="166"/>
      <c r="AN11" s="166"/>
      <c r="AO11" s="166"/>
      <c r="AP11" s="198" t="e">
        <f t="shared" si="0"/>
        <v>#VALUE!</v>
      </c>
      <c r="AQ11" s="137"/>
      <c r="AR11" s="151">
        <f>IF(B11="","",COUNTIF('Rel.Conjunts-Sistemes'!$B:$B,$B11))</f>
        <v>1</v>
      </c>
      <c r="AS11" s="151">
        <f>IF(B11="","",COUNTIF('Dominis de dades'!$B:$B,$D11))</f>
        <v>1</v>
      </c>
    </row>
    <row r="12" spans="1:45" ht="33.75" thickBot="1" x14ac:dyDescent="0.25">
      <c r="A12" s="179"/>
      <c r="B12" s="181" t="s">
        <v>822</v>
      </c>
      <c r="C12" s="179" t="s">
        <v>816</v>
      </c>
      <c r="D12" s="179" t="s">
        <v>82</v>
      </c>
      <c r="E12" s="139"/>
      <c r="F12" s="30"/>
      <c r="G12" s="30"/>
      <c r="H12" s="57"/>
      <c r="I12" s="137"/>
      <c r="J12" s="57"/>
      <c r="K12" s="57"/>
      <c r="L12" s="57"/>
      <c r="M12" s="57"/>
      <c r="N12" s="57"/>
      <c r="O12" s="137"/>
      <c r="P12" s="137"/>
      <c r="Q12" s="137"/>
      <c r="R12" s="137"/>
      <c r="S12" s="137"/>
      <c r="T12" s="137"/>
      <c r="U12" s="137"/>
      <c r="V12" s="137"/>
      <c r="W12" s="137"/>
      <c r="X12" s="137"/>
      <c r="Y12" s="137"/>
      <c r="Z12" s="137"/>
      <c r="AA12" s="137"/>
      <c r="AB12" s="137"/>
      <c r="AC12" s="166"/>
      <c r="AD12" s="166"/>
      <c r="AE12" s="166"/>
      <c r="AF12" s="166"/>
      <c r="AG12" s="166"/>
      <c r="AH12" s="166"/>
      <c r="AI12" s="166"/>
      <c r="AJ12" s="166"/>
      <c r="AK12" s="166"/>
      <c r="AL12" s="166"/>
      <c r="AM12" s="166"/>
      <c r="AN12" s="166"/>
      <c r="AO12" s="166"/>
      <c r="AP12" s="198" t="e">
        <f t="shared" si="0"/>
        <v>#VALUE!</v>
      </c>
      <c r="AQ12" s="137"/>
      <c r="AR12" s="151">
        <f>IF(B12="","",COUNTIF('Rel.Conjunts-Sistemes'!$B:$B,$B12))</f>
        <v>1</v>
      </c>
      <c r="AS12" s="151">
        <f>IF(B12="","",COUNTIF('Dominis de dades'!$B:$B,$D12))</f>
        <v>1</v>
      </c>
    </row>
    <row r="13" spans="1:45" s="19" customFormat="1" ht="33.75" thickBot="1" x14ac:dyDescent="0.3">
      <c r="A13" s="179"/>
      <c r="B13" s="181" t="s">
        <v>823</v>
      </c>
      <c r="C13" s="179" t="s">
        <v>661</v>
      </c>
      <c r="D13" s="179" t="s">
        <v>82</v>
      </c>
      <c r="E13" s="41"/>
      <c r="F13" s="30"/>
      <c r="G13" s="30"/>
      <c r="H13" s="57"/>
      <c r="I13" s="24"/>
      <c r="J13" s="57"/>
      <c r="K13" s="57"/>
      <c r="L13" s="57"/>
      <c r="M13" s="57"/>
      <c r="N13" s="57"/>
      <c r="O13" s="24"/>
      <c r="P13" s="24"/>
      <c r="Q13" s="24"/>
      <c r="R13" s="24"/>
      <c r="S13" s="24"/>
      <c r="T13" s="24"/>
      <c r="U13" s="137"/>
      <c r="V13" s="24"/>
      <c r="W13" s="24"/>
      <c r="X13" s="24"/>
      <c r="Y13" s="137"/>
      <c r="Z13" s="24"/>
      <c r="AA13" s="24"/>
      <c r="AB13" s="24"/>
      <c r="AC13" s="166"/>
      <c r="AD13" s="166"/>
      <c r="AE13" s="166"/>
      <c r="AF13" s="166"/>
      <c r="AG13" s="166"/>
      <c r="AH13" s="166"/>
      <c r="AI13" s="166"/>
      <c r="AJ13" s="166"/>
      <c r="AK13" s="166"/>
      <c r="AL13" s="166"/>
      <c r="AM13" s="166"/>
      <c r="AN13" s="166"/>
      <c r="AO13" s="166"/>
      <c r="AP13" s="198" t="e">
        <f t="shared" si="0"/>
        <v>#VALUE!</v>
      </c>
      <c r="AQ13" s="137"/>
      <c r="AR13" s="151">
        <f>IF(B13="","",COUNTIF('Rel.Conjunts-Sistemes'!$B:$B,$B13))</f>
        <v>1</v>
      </c>
      <c r="AS13" s="151">
        <f>IF(B13="","",COUNTIF('Dominis de dades'!$B:$B,$D13))</f>
        <v>1</v>
      </c>
    </row>
    <row r="14" spans="1:45" s="19" customFormat="1" ht="50.25" thickBot="1" x14ac:dyDescent="0.3">
      <c r="A14" s="179"/>
      <c r="B14" s="181" t="s">
        <v>824</v>
      </c>
      <c r="C14" s="179" t="s">
        <v>817</v>
      </c>
      <c r="D14" s="179" t="s">
        <v>132</v>
      </c>
      <c r="E14" s="41"/>
      <c r="F14" s="30"/>
      <c r="G14" s="30"/>
      <c r="H14" s="57"/>
      <c r="I14" s="24"/>
      <c r="J14" s="57"/>
      <c r="K14" s="57"/>
      <c r="L14" s="57"/>
      <c r="M14" s="57"/>
      <c r="N14" s="57"/>
      <c r="O14" s="24"/>
      <c r="P14" s="24"/>
      <c r="Q14" s="24"/>
      <c r="R14" s="24"/>
      <c r="S14" s="24"/>
      <c r="T14" s="24"/>
      <c r="U14" s="137"/>
      <c r="V14" s="24"/>
      <c r="W14" s="24"/>
      <c r="X14" s="24"/>
      <c r="Y14" s="137"/>
      <c r="Z14" s="24"/>
      <c r="AA14" s="24"/>
      <c r="AB14" s="24"/>
      <c r="AC14" s="166"/>
      <c r="AD14" s="166"/>
      <c r="AE14" s="166"/>
      <c r="AF14" s="166"/>
      <c r="AG14" s="166"/>
      <c r="AH14" s="166"/>
      <c r="AI14" s="166"/>
      <c r="AJ14" s="166"/>
      <c r="AK14" s="166"/>
      <c r="AL14" s="166"/>
      <c r="AM14" s="166"/>
      <c r="AN14" s="166"/>
      <c r="AO14" s="166"/>
      <c r="AP14" s="198" t="e">
        <f t="shared" si="0"/>
        <v>#VALUE!</v>
      </c>
      <c r="AQ14" s="137"/>
      <c r="AR14" s="151">
        <f>IF(B14="","",COUNTIF('Rel.Conjunts-Sistemes'!$B:$B,$B14))</f>
        <v>1</v>
      </c>
      <c r="AS14" s="151">
        <f>IF(B14="","",COUNTIF('Dominis de dades'!$B:$B,$D14))</f>
        <v>1</v>
      </c>
    </row>
    <row r="15" spans="1:45" s="19" customFormat="1" ht="50.25" thickBot="1" x14ac:dyDescent="0.3">
      <c r="A15" s="179"/>
      <c r="B15" s="181" t="s">
        <v>825</v>
      </c>
      <c r="C15" s="179" t="s">
        <v>662</v>
      </c>
      <c r="D15" s="179" t="s">
        <v>55</v>
      </c>
      <c r="E15" s="41"/>
      <c r="F15" s="30"/>
      <c r="G15" s="30"/>
      <c r="H15" s="57"/>
      <c r="I15" s="24"/>
      <c r="J15" s="57"/>
      <c r="K15" s="57"/>
      <c r="L15" s="57"/>
      <c r="M15" s="57"/>
      <c r="N15" s="57"/>
      <c r="O15" s="24"/>
      <c r="P15" s="24"/>
      <c r="Q15" s="24"/>
      <c r="R15" s="24"/>
      <c r="S15" s="24"/>
      <c r="T15" s="24"/>
      <c r="U15" s="137"/>
      <c r="V15" s="24"/>
      <c r="W15" s="24"/>
      <c r="X15" s="24"/>
      <c r="Y15" s="137"/>
      <c r="Z15" s="24"/>
      <c r="AA15" s="24"/>
      <c r="AB15" s="24"/>
      <c r="AC15" s="166"/>
      <c r="AD15" s="166"/>
      <c r="AE15" s="166"/>
      <c r="AF15" s="166"/>
      <c r="AG15" s="166"/>
      <c r="AH15" s="166"/>
      <c r="AI15" s="166"/>
      <c r="AJ15" s="166"/>
      <c r="AK15" s="166"/>
      <c r="AL15" s="166"/>
      <c r="AM15" s="166"/>
      <c r="AN15" s="166"/>
      <c r="AO15" s="166"/>
      <c r="AP15" s="198" t="e">
        <f t="shared" si="0"/>
        <v>#VALUE!</v>
      </c>
      <c r="AQ15" s="137"/>
      <c r="AR15" s="151">
        <f>IF(B15="","",COUNTIF('Rel.Conjunts-Sistemes'!$B:$B,$B15))</f>
        <v>1</v>
      </c>
      <c r="AS15" s="151">
        <f>IF(B15="","",COUNTIF('Dominis de dades'!$B:$B,$D15))</f>
        <v>1</v>
      </c>
    </row>
    <row r="16" spans="1:45" s="19" customFormat="1" ht="33.75" thickBot="1" x14ac:dyDescent="0.3">
      <c r="A16" s="179"/>
      <c r="B16" s="181" t="s">
        <v>826</v>
      </c>
      <c r="C16" s="179" t="s">
        <v>798</v>
      </c>
      <c r="D16" s="179" t="s">
        <v>132</v>
      </c>
      <c r="E16" s="41"/>
      <c r="F16" s="30"/>
      <c r="G16" s="30"/>
      <c r="H16" s="57"/>
      <c r="I16" s="24"/>
      <c r="J16" s="57"/>
      <c r="K16" s="57"/>
      <c r="L16" s="57"/>
      <c r="M16" s="57"/>
      <c r="N16" s="57"/>
      <c r="O16" s="24"/>
      <c r="P16" s="24"/>
      <c r="Q16" s="24"/>
      <c r="R16" s="24"/>
      <c r="S16" s="24"/>
      <c r="T16" s="24"/>
      <c r="U16" s="137"/>
      <c r="V16" s="24"/>
      <c r="W16" s="24"/>
      <c r="X16" s="24"/>
      <c r="Y16" s="137"/>
      <c r="Z16" s="24"/>
      <c r="AA16" s="24"/>
      <c r="AB16" s="24"/>
      <c r="AC16" s="166"/>
      <c r="AD16" s="166"/>
      <c r="AE16" s="166"/>
      <c r="AF16" s="166"/>
      <c r="AG16" s="166"/>
      <c r="AH16" s="166"/>
      <c r="AI16" s="166"/>
      <c r="AJ16" s="166"/>
      <c r="AK16" s="166"/>
      <c r="AL16" s="166"/>
      <c r="AM16" s="166"/>
      <c r="AN16" s="166"/>
      <c r="AO16" s="166"/>
      <c r="AP16" s="198" t="e">
        <f t="shared" si="0"/>
        <v>#VALUE!</v>
      </c>
      <c r="AQ16" s="137"/>
      <c r="AR16" s="151">
        <f>IF(B16="","",COUNTIF('Rel.Conjunts-Sistemes'!$B:$B,$B16))</f>
        <v>1</v>
      </c>
      <c r="AS16" s="151">
        <f>IF(B16="","",COUNTIF('Dominis de dades'!$B:$B,$D16))</f>
        <v>1</v>
      </c>
    </row>
    <row r="17" spans="1:45" s="19" customFormat="1" ht="50.25" thickBot="1" x14ac:dyDescent="0.3">
      <c r="A17" s="179"/>
      <c r="B17" s="181" t="s">
        <v>827</v>
      </c>
      <c r="C17" s="179" t="s">
        <v>754</v>
      </c>
      <c r="D17" s="179" t="s">
        <v>132</v>
      </c>
      <c r="E17" s="41"/>
      <c r="F17" s="30"/>
      <c r="G17" s="30"/>
      <c r="H17" s="57"/>
      <c r="I17" s="24"/>
      <c r="J17" s="57"/>
      <c r="K17" s="57"/>
      <c r="L17" s="57"/>
      <c r="M17" s="57"/>
      <c r="N17" s="57"/>
      <c r="O17" s="24"/>
      <c r="P17" s="24"/>
      <c r="Q17" s="24"/>
      <c r="R17" s="24"/>
      <c r="S17" s="24"/>
      <c r="T17" s="24"/>
      <c r="U17" s="137"/>
      <c r="V17" s="24"/>
      <c r="W17" s="24"/>
      <c r="X17" s="24"/>
      <c r="Y17" s="137"/>
      <c r="Z17" s="24"/>
      <c r="AA17" s="24"/>
      <c r="AB17" s="24"/>
      <c r="AC17" s="166"/>
      <c r="AD17" s="166"/>
      <c r="AE17" s="166"/>
      <c r="AF17" s="166"/>
      <c r="AG17" s="166"/>
      <c r="AH17" s="166"/>
      <c r="AI17" s="166"/>
      <c r="AJ17" s="166"/>
      <c r="AK17" s="166"/>
      <c r="AL17" s="166"/>
      <c r="AM17" s="166"/>
      <c r="AN17" s="166"/>
      <c r="AO17" s="166"/>
      <c r="AP17" s="198" t="e">
        <f t="shared" si="0"/>
        <v>#VALUE!</v>
      </c>
      <c r="AQ17" s="137"/>
      <c r="AR17" s="151">
        <f>IF(B17="","",COUNTIF('Rel.Conjunts-Sistemes'!$B:$B,$B17))</f>
        <v>1</v>
      </c>
      <c r="AS17" s="151">
        <f>IF(B17="","",COUNTIF('Dominis de dades'!$B:$B,$D17))</f>
        <v>1</v>
      </c>
    </row>
    <row r="18" spans="1:45" s="19" customFormat="1" ht="50.25" thickBot="1" x14ac:dyDescent="0.3">
      <c r="A18" s="179"/>
      <c r="B18" s="181" t="s">
        <v>580</v>
      </c>
      <c r="C18" s="179" t="s">
        <v>818</v>
      </c>
      <c r="D18" s="179" t="s">
        <v>132</v>
      </c>
      <c r="E18" s="41"/>
      <c r="F18" s="30"/>
      <c r="G18" s="30"/>
      <c r="H18" s="57"/>
      <c r="I18" s="24"/>
      <c r="J18" s="57"/>
      <c r="K18" s="57"/>
      <c r="L18" s="57"/>
      <c r="M18" s="57"/>
      <c r="N18" s="57"/>
      <c r="O18" s="24"/>
      <c r="P18" s="24"/>
      <c r="Q18" s="24"/>
      <c r="R18" s="24"/>
      <c r="S18" s="24"/>
      <c r="T18" s="24"/>
      <c r="U18" s="137"/>
      <c r="V18" s="24"/>
      <c r="W18" s="24"/>
      <c r="X18" s="24"/>
      <c r="Y18" s="137"/>
      <c r="Z18" s="24"/>
      <c r="AA18" s="24"/>
      <c r="AB18" s="24"/>
      <c r="AC18" s="166"/>
      <c r="AD18" s="166"/>
      <c r="AE18" s="166"/>
      <c r="AF18" s="166"/>
      <c r="AG18" s="166"/>
      <c r="AH18" s="166"/>
      <c r="AI18" s="166"/>
      <c r="AJ18" s="166"/>
      <c r="AK18" s="166"/>
      <c r="AL18" s="166"/>
      <c r="AM18" s="166"/>
      <c r="AN18" s="166"/>
      <c r="AO18" s="166"/>
      <c r="AP18" s="198" t="e">
        <f t="shared" si="0"/>
        <v>#VALUE!</v>
      </c>
      <c r="AQ18" s="137"/>
      <c r="AR18" s="151">
        <f>IF(B18="","",COUNTIF('Rel.Conjunts-Sistemes'!$B:$B,$B18))</f>
        <v>1</v>
      </c>
      <c r="AS18" s="151">
        <f>IF(B18="","",COUNTIF('Dominis de dades'!$B:$B,$D18))</f>
        <v>1</v>
      </c>
    </row>
    <row r="19" spans="1:45" s="19" customFormat="1" ht="50.25" thickBot="1" x14ac:dyDescent="0.3">
      <c r="A19" s="179"/>
      <c r="B19" s="181" t="s">
        <v>828</v>
      </c>
      <c r="C19" s="179" t="s">
        <v>776</v>
      </c>
      <c r="D19" s="179" t="s">
        <v>132</v>
      </c>
      <c r="E19" s="41"/>
      <c r="F19" s="30"/>
      <c r="G19" s="30"/>
      <c r="H19" s="57"/>
      <c r="I19" s="24"/>
      <c r="J19" s="57"/>
      <c r="K19" s="57"/>
      <c r="L19" s="57"/>
      <c r="M19" s="57"/>
      <c r="N19" s="57"/>
      <c r="O19" s="24"/>
      <c r="P19" s="24"/>
      <c r="Q19" s="24"/>
      <c r="R19" s="24"/>
      <c r="S19" s="24"/>
      <c r="T19" s="24"/>
      <c r="U19" s="137"/>
      <c r="V19" s="24"/>
      <c r="W19" s="24"/>
      <c r="X19" s="24"/>
      <c r="Y19" s="137"/>
      <c r="Z19" s="24"/>
      <c r="AA19" s="24"/>
      <c r="AB19" s="24"/>
      <c r="AC19" s="166"/>
      <c r="AD19" s="166"/>
      <c r="AE19" s="166"/>
      <c r="AF19" s="166"/>
      <c r="AG19" s="166"/>
      <c r="AH19" s="166"/>
      <c r="AI19" s="166"/>
      <c r="AJ19" s="166"/>
      <c r="AK19" s="166"/>
      <c r="AL19" s="166"/>
      <c r="AM19" s="166"/>
      <c r="AN19" s="166"/>
      <c r="AO19" s="166"/>
      <c r="AP19" s="198" t="e">
        <f t="shared" si="0"/>
        <v>#VALUE!</v>
      </c>
      <c r="AQ19" s="137"/>
      <c r="AR19" s="151">
        <f>IF(B19="","",COUNTIF('Rel.Conjunts-Sistemes'!$B:$B,$B19))</f>
        <v>1</v>
      </c>
      <c r="AS19" s="151">
        <f>IF(B19="","",COUNTIF('Dominis de dades'!$B:$B,$D19))</f>
        <v>1</v>
      </c>
    </row>
    <row r="20" spans="1:45" s="19" customFormat="1" ht="33.75" thickBot="1" x14ac:dyDescent="0.3">
      <c r="A20" s="179"/>
      <c r="B20" s="181" t="s">
        <v>885</v>
      </c>
      <c r="C20" s="179" t="s">
        <v>795</v>
      </c>
      <c r="D20" s="179" t="s">
        <v>132</v>
      </c>
      <c r="E20" s="41"/>
      <c r="F20" s="30"/>
      <c r="G20" s="30"/>
      <c r="H20" s="57"/>
      <c r="I20" s="24"/>
      <c r="J20" s="57"/>
      <c r="K20" s="57"/>
      <c r="L20" s="57"/>
      <c r="M20" s="57"/>
      <c r="N20" s="57"/>
      <c r="O20" s="24"/>
      <c r="P20" s="24"/>
      <c r="Q20" s="24"/>
      <c r="R20" s="24"/>
      <c r="S20" s="24"/>
      <c r="T20" s="24"/>
      <c r="U20" s="137"/>
      <c r="V20" s="24"/>
      <c r="W20" s="24"/>
      <c r="X20" s="24"/>
      <c r="Y20" s="137"/>
      <c r="Z20" s="24"/>
      <c r="AA20" s="24"/>
      <c r="AB20" s="24"/>
      <c r="AC20" s="166"/>
      <c r="AD20" s="166"/>
      <c r="AE20" s="166"/>
      <c r="AF20" s="166"/>
      <c r="AG20" s="166"/>
      <c r="AH20" s="166"/>
      <c r="AI20" s="166"/>
      <c r="AJ20" s="166"/>
      <c r="AK20" s="166"/>
      <c r="AL20" s="166"/>
      <c r="AM20" s="166"/>
      <c r="AN20" s="166"/>
      <c r="AO20" s="166"/>
      <c r="AP20" s="198" t="e">
        <f t="shared" si="0"/>
        <v>#VALUE!</v>
      </c>
      <c r="AQ20" s="137"/>
      <c r="AR20" s="151">
        <f>IF(B20="","",COUNTIF('Rel.Conjunts-Sistemes'!$B:$B,$B20))</f>
        <v>1</v>
      </c>
      <c r="AS20" s="151">
        <f>IF(B20="","",COUNTIF('Dominis de dades'!$B:$B,$D20))</f>
        <v>1</v>
      </c>
    </row>
    <row r="21" spans="1:45" s="19" customFormat="1" ht="50.25" thickBot="1" x14ac:dyDescent="0.3">
      <c r="A21" s="179"/>
      <c r="B21" s="181" t="s">
        <v>886</v>
      </c>
      <c r="C21" s="179" t="s">
        <v>663</v>
      </c>
      <c r="D21" s="179" t="s">
        <v>77</v>
      </c>
      <c r="E21" s="41"/>
      <c r="F21" s="30"/>
      <c r="G21" s="30"/>
      <c r="H21" s="57"/>
      <c r="I21" s="24"/>
      <c r="J21" s="57"/>
      <c r="K21" s="57"/>
      <c r="L21" s="57"/>
      <c r="M21" s="57"/>
      <c r="N21" s="57"/>
      <c r="O21" s="24"/>
      <c r="P21" s="24"/>
      <c r="Q21" s="24"/>
      <c r="R21" s="24"/>
      <c r="S21" s="24"/>
      <c r="T21" s="24"/>
      <c r="U21" s="137"/>
      <c r="V21" s="24"/>
      <c r="W21" s="24"/>
      <c r="X21" s="24"/>
      <c r="Y21" s="137"/>
      <c r="Z21" s="24"/>
      <c r="AA21" s="24"/>
      <c r="AB21" s="24"/>
      <c r="AC21" s="166"/>
      <c r="AD21" s="166"/>
      <c r="AE21" s="166"/>
      <c r="AF21" s="166"/>
      <c r="AG21" s="166"/>
      <c r="AH21" s="166"/>
      <c r="AI21" s="166"/>
      <c r="AJ21" s="166"/>
      <c r="AK21" s="166"/>
      <c r="AL21" s="166"/>
      <c r="AM21" s="166"/>
      <c r="AN21" s="166"/>
      <c r="AO21" s="166"/>
      <c r="AP21" s="198" t="e">
        <f t="shared" si="0"/>
        <v>#VALUE!</v>
      </c>
      <c r="AQ21" s="137"/>
      <c r="AR21" s="151">
        <f>IF(B21="","",COUNTIF('Rel.Conjunts-Sistemes'!$B:$B,$B21))</f>
        <v>1</v>
      </c>
      <c r="AS21" s="151">
        <f>IF(B21="","",COUNTIF('Dominis de dades'!$B:$B,$D21))</f>
        <v>1</v>
      </c>
    </row>
    <row r="22" spans="1:45" s="19" customFormat="1" ht="50.25" thickBot="1" x14ac:dyDescent="0.3">
      <c r="A22" s="179"/>
      <c r="B22" s="181" t="s">
        <v>830</v>
      </c>
      <c r="C22" s="179" t="s">
        <v>831</v>
      </c>
      <c r="D22" s="179" t="s">
        <v>98</v>
      </c>
      <c r="E22" s="41"/>
      <c r="F22" s="30"/>
      <c r="G22" s="30"/>
      <c r="H22" s="57"/>
      <c r="I22" s="24"/>
      <c r="J22" s="57"/>
      <c r="K22" s="57"/>
      <c r="L22" s="57"/>
      <c r="M22" s="57"/>
      <c r="N22" s="57"/>
      <c r="O22" s="24"/>
      <c r="P22" s="24"/>
      <c r="Q22" s="24"/>
      <c r="R22" s="24"/>
      <c r="S22" s="24"/>
      <c r="T22" s="24"/>
      <c r="U22" s="137"/>
      <c r="V22" s="24"/>
      <c r="W22" s="24"/>
      <c r="X22" s="24"/>
      <c r="Y22" s="137"/>
      <c r="Z22" s="24"/>
      <c r="AA22" s="24"/>
      <c r="AB22" s="24"/>
      <c r="AC22" s="166"/>
      <c r="AD22" s="166"/>
      <c r="AE22" s="166"/>
      <c r="AF22" s="166"/>
      <c r="AG22" s="166"/>
      <c r="AH22" s="166"/>
      <c r="AI22" s="166"/>
      <c r="AJ22" s="166"/>
      <c r="AK22" s="166"/>
      <c r="AL22" s="166"/>
      <c r="AM22" s="166"/>
      <c r="AN22" s="166"/>
      <c r="AO22" s="166"/>
      <c r="AP22" s="198" t="e">
        <f t="shared" si="0"/>
        <v>#VALUE!</v>
      </c>
      <c r="AQ22" s="137"/>
      <c r="AR22" s="151">
        <f>IF(B22="","",COUNTIF('Rel.Conjunts-Sistemes'!$B:$B,$B22))</f>
        <v>1</v>
      </c>
      <c r="AS22" s="151">
        <f>IF(B22="","",COUNTIF('Dominis de dades'!$B:$B,$D22))</f>
        <v>1</v>
      </c>
    </row>
    <row r="23" spans="1:45" s="19" customFormat="1" ht="33.75" thickBot="1" x14ac:dyDescent="0.3">
      <c r="A23" s="179"/>
      <c r="B23" s="181" t="s">
        <v>832</v>
      </c>
      <c r="C23" s="179" t="s">
        <v>833</v>
      </c>
      <c r="D23" s="179" t="s">
        <v>98</v>
      </c>
      <c r="E23" s="41"/>
      <c r="F23" s="30"/>
      <c r="G23" s="30"/>
      <c r="H23" s="57"/>
      <c r="I23" s="24"/>
      <c r="J23" s="57"/>
      <c r="K23" s="57"/>
      <c r="L23" s="57"/>
      <c r="M23" s="57"/>
      <c r="N23" s="57"/>
      <c r="O23" s="24"/>
      <c r="P23" s="24"/>
      <c r="Q23" s="24"/>
      <c r="R23" s="24"/>
      <c r="S23" s="24"/>
      <c r="T23" s="24"/>
      <c r="U23" s="137"/>
      <c r="V23" s="24"/>
      <c r="W23" s="24"/>
      <c r="X23" s="24"/>
      <c r="Y23" s="137"/>
      <c r="Z23" s="24"/>
      <c r="AA23" s="24"/>
      <c r="AB23" s="24"/>
      <c r="AC23" s="166"/>
      <c r="AD23" s="166"/>
      <c r="AE23" s="166"/>
      <c r="AF23" s="166"/>
      <c r="AG23" s="166"/>
      <c r="AH23" s="166"/>
      <c r="AI23" s="166"/>
      <c r="AJ23" s="166"/>
      <c r="AK23" s="166"/>
      <c r="AL23" s="166"/>
      <c r="AM23" s="166"/>
      <c r="AN23" s="166"/>
      <c r="AO23" s="166"/>
      <c r="AP23" s="198" t="e">
        <f t="shared" si="0"/>
        <v>#VALUE!</v>
      </c>
      <c r="AQ23" s="137"/>
      <c r="AR23" s="151">
        <f>IF(B23="","",COUNTIF('Rel.Conjunts-Sistemes'!$B:$B,$B23))</f>
        <v>1</v>
      </c>
      <c r="AS23" s="151">
        <f>IF(B23="","",COUNTIF('Dominis de dades'!$B:$B,$D23))</f>
        <v>1</v>
      </c>
    </row>
    <row r="24" spans="1:45" s="19" customFormat="1" ht="50.25" thickBot="1" x14ac:dyDescent="0.3">
      <c r="A24" s="179"/>
      <c r="B24" s="181" t="s">
        <v>834</v>
      </c>
      <c r="C24" s="179" t="s">
        <v>835</v>
      </c>
      <c r="D24" s="179" t="s">
        <v>98</v>
      </c>
      <c r="E24" s="41"/>
      <c r="F24" s="30"/>
      <c r="G24" s="30"/>
      <c r="H24" s="57"/>
      <c r="I24" s="24"/>
      <c r="J24" s="57"/>
      <c r="K24" s="57"/>
      <c r="L24" s="57"/>
      <c r="M24" s="57"/>
      <c r="N24" s="57"/>
      <c r="O24" s="24"/>
      <c r="P24" s="24"/>
      <c r="Q24" s="24"/>
      <c r="R24" s="24"/>
      <c r="S24" s="24"/>
      <c r="T24" s="24"/>
      <c r="U24" s="137"/>
      <c r="V24" s="24"/>
      <c r="W24" s="24"/>
      <c r="X24" s="24"/>
      <c r="Y24" s="137"/>
      <c r="Z24" s="24"/>
      <c r="AA24" s="24"/>
      <c r="AB24" s="24"/>
      <c r="AC24" s="166"/>
      <c r="AD24" s="166"/>
      <c r="AE24" s="166"/>
      <c r="AF24" s="166"/>
      <c r="AG24" s="166"/>
      <c r="AH24" s="166"/>
      <c r="AI24" s="166"/>
      <c r="AJ24" s="166"/>
      <c r="AK24" s="166"/>
      <c r="AL24" s="166"/>
      <c r="AM24" s="166"/>
      <c r="AN24" s="166"/>
      <c r="AO24" s="166"/>
      <c r="AP24" s="198" t="e">
        <f t="shared" si="0"/>
        <v>#VALUE!</v>
      </c>
      <c r="AQ24" s="137"/>
      <c r="AR24" s="151">
        <f>IF(B24="","",COUNTIF('Rel.Conjunts-Sistemes'!$B:$B,$B24))</f>
        <v>1</v>
      </c>
      <c r="AS24" s="151">
        <f>IF(B24="","",COUNTIF('Dominis de dades'!$B:$B,$D24))</f>
        <v>1</v>
      </c>
    </row>
    <row r="25" spans="1:45" s="19" customFormat="1" ht="50.25" thickBot="1" x14ac:dyDescent="0.3">
      <c r="A25" s="179"/>
      <c r="B25" s="181" t="s">
        <v>869</v>
      </c>
      <c r="C25" s="179" t="s">
        <v>664</v>
      </c>
      <c r="D25" s="179" t="s">
        <v>98</v>
      </c>
      <c r="E25" s="41"/>
      <c r="F25" s="30"/>
      <c r="G25" s="30"/>
      <c r="H25" s="57"/>
      <c r="I25" s="24"/>
      <c r="J25" s="57"/>
      <c r="K25" s="57"/>
      <c r="L25" s="57"/>
      <c r="M25" s="57"/>
      <c r="N25" s="57"/>
      <c r="O25" s="24"/>
      <c r="P25" s="24"/>
      <c r="Q25" s="24"/>
      <c r="R25" s="24"/>
      <c r="S25" s="24"/>
      <c r="T25" s="24"/>
      <c r="U25" s="137"/>
      <c r="V25" s="24"/>
      <c r="W25" s="24"/>
      <c r="X25" s="24"/>
      <c r="Y25" s="137"/>
      <c r="Z25" s="24"/>
      <c r="AA25" s="24"/>
      <c r="AB25" s="24"/>
      <c r="AC25" s="166"/>
      <c r="AD25" s="166"/>
      <c r="AE25" s="166"/>
      <c r="AF25" s="166"/>
      <c r="AG25" s="166"/>
      <c r="AH25" s="166"/>
      <c r="AI25" s="166"/>
      <c r="AJ25" s="166"/>
      <c r="AK25" s="166"/>
      <c r="AL25" s="166"/>
      <c r="AM25" s="166"/>
      <c r="AN25" s="166"/>
      <c r="AO25" s="166"/>
      <c r="AP25" s="198" t="e">
        <f t="shared" si="0"/>
        <v>#VALUE!</v>
      </c>
      <c r="AQ25" s="137"/>
      <c r="AR25" s="151">
        <f>IF(B25="","",COUNTIF('Rel.Conjunts-Sistemes'!$B:$B,$B25))</f>
        <v>0</v>
      </c>
      <c r="AS25" s="151">
        <f>IF(B25="","",COUNTIF('Dominis de dades'!$B:$B,$D25))</f>
        <v>1</v>
      </c>
    </row>
    <row r="26" spans="1:45" s="19" customFormat="1" ht="33.75" thickBot="1" x14ac:dyDescent="0.3">
      <c r="A26" s="179"/>
      <c r="B26" s="181" t="s">
        <v>837</v>
      </c>
      <c r="C26" s="179" t="s">
        <v>838</v>
      </c>
      <c r="D26" s="179" t="s">
        <v>77</v>
      </c>
      <c r="E26" s="41"/>
      <c r="F26" s="30"/>
      <c r="G26" s="30"/>
      <c r="H26" s="57"/>
      <c r="I26" s="24"/>
      <c r="J26" s="57"/>
      <c r="K26" s="57"/>
      <c r="L26" s="57"/>
      <c r="M26" s="57"/>
      <c r="N26" s="57"/>
      <c r="O26" s="24"/>
      <c r="P26" s="24"/>
      <c r="Q26" s="24"/>
      <c r="R26" s="24"/>
      <c r="S26" s="24"/>
      <c r="T26" s="24"/>
      <c r="U26" s="137"/>
      <c r="V26" s="24"/>
      <c r="W26" s="24"/>
      <c r="X26" s="24"/>
      <c r="Y26" s="137"/>
      <c r="Z26" s="24"/>
      <c r="AA26" s="24"/>
      <c r="AB26" s="24"/>
      <c r="AC26" s="166"/>
      <c r="AD26" s="166"/>
      <c r="AE26" s="166"/>
      <c r="AF26" s="166"/>
      <c r="AG26" s="166"/>
      <c r="AH26" s="166"/>
      <c r="AI26" s="166"/>
      <c r="AJ26" s="166"/>
      <c r="AK26" s="166"/>
      <c r="AL26" s="166"/>
      <c r="AM26" s="166"/>
      <c r="AN26" s="166"/>
      <c r="AO26" s="166"/>
      <c r="AP26" s="198" t="e">
        <f t="shared" si="0"/>
        <v>#VALUE!</v>
      </c>
      <c r="AQ26" s="137"/>
      <c r="AR26" s="151">
        <f>IF(B26="","",COUNTIF('Rel.Conjunts-Sistemes'!$B:$B,$B26))</f>
        <v>1</v>
      </c>
      <c r="AS26" s="151">
        <f>IF(B26="","",COUNTIF('Dominis de dades'!$B:$B,$D26))</f>
        <v>1</v>
      </c>
    </row>
    <row r="27" spans="1:45" s="19" customFormat="1" ht="33.75" thickBot="1" x14ac:dyDescent="0.3">
      <c r="A27" s="179"/>
      <c r="B27" s="181" t="s">
        <v>839</v>
      </c>
      <c r="C27" s="179" t="s">
        <v>840</v>
      </c>
      <c r="D27" s="179" t="s">
        <v>77</v>
      </c>
      <c r="E27" s="41"/>
      <c r="F27" s="30"/>
      <c r="G27" s="30"/>
      <c r="H27" s="57"/>
      <c r="I27" s="24"/>
      <c r="J27" s="57"/>
      <c r="K27" s="57"/>
      <c r="L27" s="57"/>
      <c r="M27" s="57"/>
      <c r="N27" s="57"/>
      <c r="O27" s="24"/>
      <c r="P27" s="24"/>
      <c r="Q27" s="24"/>
      <c r="R27" s="24"/>
      <c r="S27" s="24"/>
      <c r="T27" s="24"/>
      <c r="U27" s="137"/>
      <c r="V27" s="24"/>
      <c r="W27" s="24"/>
      <c r="X27" s="24"/>
      <c r="Y27" s="137"/>
      <c r="Z27" s="24"/>
      <c r="AA27" s="24"/>
      <c r="AB27" s="24"/>
      <c r="AC27" s="166"/>
      <c r="AD27" s="166"/>
      <c r="AE27" s="166"/>
      <c r="AF27" s="166"/>
      <c r="AG27" s="166"/>
      <c r="AH27" s="166"/>
      <c r="AI27" s="166"/>
      <c r="AJ27" s="166"/>
      <c r="AK27" s="166"/>
      <c r="AL27" s="166"/>
      <c r="AM27" s="166"/>
      <c r="AN27" s="166"/>
      <c r="AO27" s="166"/>
      <c r="AP27" s="198" t="e">
        <f t="shared" si="0"/>
        <v>#VALUE!</v>
      </c>
      <c r="AQ27" s="137"/>
      <c r="AR27" s="151">
        <f>IF(B27="","",COUNTIF('Rel.Conjunts-Sistemes'!$B:$B,$B27))</f>
        <v>1</v>
      </c>
      <c r="AS27" s="151">
        <f>IF(B27="","",COUNTIF('Dominis de dades'!$B:$B,$D27))</f>
        <v>1</v>
      </c>
    </row>
    <row r="28" spans="1:45" s="19" customFormat="1" ht="50.25" thickBot="1" x14ac:dyDescent="0.3">
      <c r="A28" s="179"/>
      <c r="B28" s="181" t="s">
        <v>841</v>
      </c>
      <c r="C28" s="179" t="s">
        <v>842</v>
      </c>
      <c r="D28" s="179" t="s">
        <v>67</v>
      </c>
      <c r="E28" s="41"/>
      <c r="F28" s="30"/>
      <c r="G28" s="30"/>
      <c r="H28" s="57"/>
      <c r="I28" s="24"/>
      <c r="J28" s="57"/>
      <c r="K28" s="57"/>
      <c r="L28" s="57"/>
      <c r="M28" s="57"/>
      <c r="N28" s="57"/>
      <c r="O28" s="24"/>
      <c r="P28" s="24"/>
      <c r="Q28" s="24"/>
      <c r="R28" s="24"/>
      <c r="S28" s="24"/>
      <c r="T28" s="24"/>
      <c r="U28" s="137"/>
      <c r="V28" s="24"/>
      <c r="W28" s="24"/>
      <c r="X28" s="24"/>
      <c r="Y28" s="137"/>
      <c r="Z28" s="24"/>
      <c r="AA28" s="24"/>
      <c r="AB28" s="24"/>
      <c r="AC28" s="166"/>
      <c r="AD28" s="166"/>
      <c r="AE28" s="166"/>
      <c r="AF28" s="166"/>
      <c r="AG28" s="166"/>
      <c r="AH28" s="166"/>
      <c r="AI28" s="166"/>
      <c r="AJ28" s="166"/>
      <c r="AK28" s="166"/>
      <c r="AL28" s="166"/>
      <c r="AM28" s="166"/>
      <c r="AN28" s="166"/>
      <c r="AO28" s="166"/>
      <c r="AP28" s="198" t="e">
        <f t="shared" si="0"/>
        <v>#VALUE!</v>
      </c>
      <c r="AQ28" s="137"/>
      <c r="AR28" s="151">
        <f>IF(B28="","",COUNTIF('Rel.Conjunts-Sistemes'!$B:$B,$B28))</f>
        <v>1</v>
      </c>
      <c r="AS28" s="151">
        <f>IF(B28="","",COUNTIF('Dominis de dades'!$B:$B,$D28))</f>
        <v>1</v>
      </c>
    </row>
    <row r="29" spans="1:45" s="19" customFormat="1" ht="33.75" thickBot="1" x14ac:dyDescent="0.3">
      <c r="A29" s="179"/>
      <c r="B29" s="181" t="s">
        <v>843</v>
      </c>
      <c r="C29" s="179" t="s">
        <v>799</v>
      </c>
      <c r="D29" s="179" t="s">
        <v>67</v>
      </c>
      <c r="E29" s="41"/>
      <c r="F29" s="30"/>
      <c r="G29" s="30"/>
      <c r="H29" s="57"/>
      <c r="I29" s="24"/>
      <c r="J29" s="57"/>
      <c r="K29" s="57"/>
      <c r="L29" s="57"/>
      <c r="M29" s="57"/>
      <c r="N29" s="57"/>
      <c r="O29" s="24"/>
      <c r="P29" s="24"/>
      <c r="Q29" s="24"/>
      <c r="R29" s="24"/>
      <c r="S29" s="24"/>
      <c r="T29" s="24"/>
      <c r="U29" s="137"/>
      <c r="V29" s="24"/>
      <c r="W29" s="24"/>
      <c r="X29" s="24"/>
      <c r="Y29" s="137"/>
      <c r="Z29" s="24"/>
      <c r="AA29" s="24"/>
      <c r="AB29" s="24"/>
      <c r="AC29" s="166"/>
      <c r="AD29" s="166"/>
      <c r="AE29" s="166"/>
      <c r="AF29" s="166"/>
      <c r="AG29" s="166"/>
      <c r="AH29" s="166"/>
      <c r="AI29" s="166"/>
      <c r="AJ29" s="166"/>
      <c r="AK29" s="166"/>
      <c r="AL29" s="166"/>
      <c r="AM29" s="166"/>
      <c r="AN29" s="166"/>
      <c r="AO29" s="166"/>
      <c r="AP29" s="198" t="e">
        <f t="shared" si="0"/>
        <v>#VALUE!</v>
      </c>
      <c r="AQ29" s="137"/>
      <c r="AR29" s="151">
        <f>IF(B29="","",COUNTIF('Rel.Conjunts-Sistemes'!$B:$B,$B29))</f>
        <v>1</v>
      </c>
      <c r="AS29" s="151">
        <f>IF(B29="","",COUNTIF('Dominis de dades'!$B:$B,$D29))</f>
        <v>1</v>
      </c>
    </row>
    <row r="30" spans="1:45" s="19" customFormat="1" ht="50.25" thickBot="1" x14ac:dyDescent="0.3">
      <c r="A30" s="179"/>
      <c r="B30" s="181" t="s">
        <v>844</v>
      </c>
      <c r="C30" s="179" t="s">
        <v>800</v>
      </c>
      <c r="D30" s="179" t="s">
        <v>92</v>
      </c>
      <c r="E30" s="41"/>
      <c r="F30" s="30"/>
      <c r="G30" s="30"/>
      <c r="H30" s="57"/>
      <c r="I30" s="24"/>
      <c r="J30" s="57"/>
      <c r="K30" s="57"/>
      <c r="L30" s="57"/>
      <c r="M30" s="57"/>
      <c r="N30" s="57"/>
      <c r="O30" s="24"/>
      <c r="P30" s="24"/>
      <c r="Q30" s="24"/>
      <c r="R30" s="24"/>
      <c r="S30" s="24"/>
      <c r="T30" s="24"/>
      <c r="U30" s="137"/>
      <c r="V30" s="24"/>
      <c r="W30" s="24"/>
      <c r="X30" s="24"/>
      <c r="Y30" s="137"/>
      <c r="Z30" s="24"/>
      <c r="AA30" s="24"/>
      <c r="AB30" s="24"/>
      <c r="AC30" s="166"/>
      <c r="AD30" s="166"/>
      <c r="AE30" s="166"/>
      <c r="AF30" s="166"/>
      <c r="AG30" s="166"/>
      <c r="AH30" s="166"/>
      <c r="AI30" s="166"/>
      <c r="AJ30" s="166"/>
      <c r="AK30" s="166"/>
      <c r="AL30" s="166"/>
      <c r="AM30" s="166"/>
      <c r="AN30" s="166"/>
      <c r="AO30" s="166"/>
      <c r="AP30" s="198" t="e">
        <f t="shared" si="0"/>
        <v>#VALUE!</v>
      </c>
      <c r="AQ30" s="137"/>
      <c r="AR30" s="151">
        <f>IF(B30="","",COUNTIF('Rel.Conjunts-Sistemes'!$B:$B,$B30))</f>
        <v>1</v>
      </c>
      <c r="AS30" s="151">
        <f>IF(B30="","",COUNTIF('Dominis de dades'!$B:$B,$D30))</f>
        <v>1</v>
      </c>
    </row>
    <row r="31" spans="1:45" s="19" customFormat="1" ht="33.75" thickBot="1" x14ac:dyDescent="0.3">
      <c r="A31" s="179"/>
      <c r="B31" s="181" t="s">
        <v>845</v>
      </c>
      <c r="C31" s="179" t="s">
        <v>846</v>
      </c>
      <c r="D31" s="179" t="s">
        <v>92</v>
      </c>
      <c r="E31" s="41"/>
      <c r="F31" s="30"/>
      <c r="G31" s="30"/>
      <c r="H31" s="57"/>
      <c r="I31" s="24"/>
      <c r="J31" s="57"/>
      <c r="K31" s="57"/>
      <c r="L31" s="57"/>
      <c r="M31" s="57"/>
      <c r="N31" s="57"/>
      <c r="O31" s="24"/>
      <c r="P31" s="24"/>
      <c r="Q31" s="24"/>
      <c r="R31" s="24"/>
      <c r="S31" s="24"/>
      <c r="T31" s="24"/>
      <c r="U31" s="137"/>
      <c r="V31" s="24"/>
      <c r="W31" s="24"/>
      <c r="X31" s="24"/>
      <c r="Y31" s="137"/>
      <c r="Z31" s="24"/>
      <c r="AA31" s="24"/>
      <c r="AB31" s="24"/>
      <c r="AC31" s="166"/>
      <c r="AD31" s="166"/>
      <c r="AE31" s="166"/>
      <c r="AF31" s="166"/>
      <c r="AG31" s="166"/>
      <c r="AH31" s="166"/>
      <c r="AI31" s="166"/>
      <c r="AJ31" s="166"/>
      <c r="AK31" s="166"/>
      <c r="AL31" s="166"/>
      <c r="AM31" s="166"/>
      <c r="AN31" s="166"/>
      <c r="AO31" s="166"/>
      <c r="AP31" s="198" t="e">
        <f t="shared" si="0"/>
        <v>#VALUE!</v>
      </c>
      <c r="AQ31" s="137"/>
      <c r="AR31" s="151">
        <f>IF(B31="","",COUNTIF('Rel.Conjunts-Sistemes'!$B:$B,$B31))</f>
        <v>1</v>
      </c>
      <c r="AS31" s="151">
        <f>IF(B31="","",COUNTIF('Dominis de dades'!$B:$B,$D31))</f>
        <v>1</v>
      </c>
    </row>
    <row r="32" spans="1:45" s="19" customFormat="1" ht="33.75" thickBot="1" x14ac:dyDescent="0.3">
      <c r="A32" s="179"/>
      <c r="B32" s="181" t="s">
        <v>847</v>
      </c>
      <c r="C32" s="179" t="s">
        <v>665</v>
      </c>
      <c r="D32" s="179" t="s">
        <v>141</v>
      </c>
      <c r="E32" s="41"/>
      <c r="F32" s="30"/>
      <c r="G32" s="30"/>
      <c r="H32" s="57"/>
      <c r="I32" s="24"/>
      <c r="J32" s="57"/>
      <c r="K32" s="57"/>
      <c r="L32" s="57"/>
      <c r="M32" s="57"/>
      <c r="N32" s="57"/>
      <c r="O32" s="24"/>
      <c r="P32" s="24"/>
      <c r="Q32" s="24"/>
      <c r="R32" s="24"/>
      <c r="S32" s="24"/>
      <c r="T32" s="24"/>
      <c r="U32" s="137"/>
      <c r="V32" s="24"/>
      <c r="W32" s="24"/>
      <c r="X32" s="24"/>
      <c r="Y32" s="137"/>
      <c r="Z32" s="24"/>
      <c r="AA32" s="24"/>
      <c r="AB32" s="24"/>
      <c r="AC32" s="166"/>
      <c r="AD32" s="166"/>
      <c r="AE32" s="166"/>
      <c r="AF32" s="166"/>
      <c r="AG32" s="166"/>
      <c r="AH32" s="166"/>
      <c r="AI32" s="166"/>
      <c r="AJ32" s="166"/>
      <c r="AK32" s="166"/>
      <c r="AL32" s="166"/>
      <c r="AM32" s="166"/>
      <c r="AN32" s="166"/>
      <c r="AO32" s="166"/>
      <c r="AP32" s="198" t="e">
        <f t="shared" si="0"/>
        <v>#VALUE!</v>
      </c>
      <c r="AQ32" s="137"/>
      <c r="AR32" s="151">
        <f>IF(B32="","",COUNTIF('Rel.Conjunts-Sistemes'!$B:$B,$B32))</f>
        <v>1</v>
      </c>
      <c r="AS32" s="151">
        <f>IF(B32="","",COUNTIF('Dominis de dades'!$B:$B,$D32))</f>
        <v>1</v>
      </c>
    </row>
    <row r="33" spans="1:45" s="19" customFormat="1" ht="33.75" thickBot="1" x14ac:dyDescent="0.3">
      <c r="A33" s="179"/>
      <c r="B33" s="181" t="s">
        <v>848</v>
      </c>
      <c r="C33" s="179" t="s">
        <v>849</v>
      </c>
      <c r="D33" s="179" t="s">
        <v>141</v>
      </c>
      <c r="E33" s="41"/>
      <c r="F33" s="30"/>
      <c r="G33" s="30"/>
      <c r="H33" s="57"/>
      <c r="I33" s="24"/>
      <c r="J33" s="57"/>
      <c r="K33" s="57"/>
      <c r="L33" s="57"/>
      <c r="M33" s="57"/>
      <c r="N33" s="57"/>
      <c r="O33" s="24"/>
      <c r="P33" s="24"/>
      <c r="Q33" s="24"/>
      <c r="R33" s="24"/>
      <c r="S33" s="24"/>
      <c r="T33" s="24"/>
      <c r="U33" s="137"/>
      <c r="V33" s="24"/>
      <c r="W33" s="24"/>
      <c r="X33" s="24"/>
      <c r="Y33" s="137"/>
      <c r="Z33" s="24"/>
      <c r="AA33" s="24"/>
      <c r="AB33" s="24"/>
      <c r="AC33" s="166"/>
      <c r="AD33" s="166"/>
      <c r="AE33" s="166"/>
      <c r="AF33" s="166"/>
      <c r="AG33" s="166"/>
      <c r="AH33" s="166"/>
      <c r="AI33" s="166"/>
      <c r="AJ33" s="166"/>
      <c r="AK33" s="166"/>
      <c r="AL33" s="166"/>
      <c r="AM33" s="166"/>
      <c r="AN33" s="166"/>
      <c r="AO33" s="166"/>
      <c r="AP33" s="198" t="e">
        <f t="shared" si="0"/>
        <v>#VALUE!</v>
      </c>
      <c r="AQ33" s="137"/>
      <c r="AR33" s="151">
        <f>IF(B33="","",COUNTIF('Rel.Conjunts-Sistemes'!$B:$B,$B33))</f>
        <v>1</v>
      </c>
      <c r="AS33" s="151">
        <f>IF(B33="","",COUNTIF('Dominis de dades'!$B:$B,$D33))</f>
        <v>1</v>
      </c>
    </row>
    <row r="34" spans="1:45" s="19" customFormat="1" ht="50.25" thickBot="1" x14ac:dyDescent="0.3">
      <c r="A34" s="179"/>
      <c r="B34" s="181" t="s">
        <v>850</v>
      </c>
      <c r="C34" s="179" t="s">
        <v>666</v>
      </c>
      <c r="D34" s="179" t="s">
        <v>409</v>
      </c>
      <c r="E34" s="41"/>
      <c r="F34" s="30"/>
      <c r="G34" s="30"/>
      <c r="H34" s="57"/>
      <c r="I34" s="24"/>
      <c r="J34" s="57"/>
      <c r="K34" s="57"/>
      <c r="L34" s="57"/>
      <c r="M34" s="57"/>
      <c r="N34" s="57"/>
      <c r="O34" s="24"/>
      <c r="P34" s="24"/>
      <c r="Q34" s="24"/>
      <c r="R34" s="24"/>
      <c r="S34" s="24"/>
      <c r="T34" s="24"/>
      <c r="U34" s="137"/>
      <c r="V34" s="24"/>
      <c r="W34" s="24"/>
      <c r="X34" s="24"/>
      <c r="Y34" s="137"/>
      <c r="Z34" s="24"/>
      <c r="AA34" s="24"/>
      <c r="AB34" s="24"/>
      <c r="AC34" s="166"/>
      <c r="AD34" s="166"/>
      <c r="AE34" s="166"/>
      <c r="AF34" s="166"/>
      <c r="AG34" s="166"/>
      <c r="AH34" s="166"/>
      <c r="AI34" s="166"/>
      <c r="AJ34" s="166"/>
      <c r="AK34" s="166"/>
      <c r="AL34" s="166"/>
      <c r="AM34" s="166"/>
      <c r="AN34" s="166"/>
      <c r="AO34" s="166"/>
      <c r="AP34" s="198" t="e">
        <f t="shared" si="0"/>
        <v>#VALUE!</v>
      </c>
      <c r="AQ34" s="137"/>
      <c r="AR34" s="151">
        <f>IF(B34="","",COUNTIF('Rel.Conjunts-Sistemes'!$B:$B,$B34))</f>
        <v>1</v>
      </c>
      <c r="AS34" s="151">
        <f>IF(B34="","",COUNTIF('Dominis de dades'!$B:$B,$D34))</f>
        <v>1</v>
      </c>
    </row>
    <row r="35" spans="1:45" s="19" customFormat="1" ht="50.25" thickBot="1" x14ac:dyDescent="0.3">
      <c r="A35" s="179"/>
      <c r="B35" s="181" t="s">
        <v>851</v>
      </c>
      <c r="C35" s="179" t="s">
        <v>667</v>
      </c>
      <c r="D35" s="179" t="s">
        <v>100</v>
      </c>
      <c r="E35" s="41"/>
      <c r="F35" s="30"/>
      <c r="G35" s="30"/>
      <c r="H35" s="57"/>
      <c r="I35" s="24"/>
      <c r="J35" s="57"/>
      <c r="K35" s="57"/>
      <c r="L35" s="57"/>
      <c r="M35" s="57"/>
      <c r="N35" s="57"/>
      <c r="O35" s="24"/>
      <c r="P35" s="24"/>
      <c r="Q35" s="24"/>
      <c r="R35" s="24"/>
      <c r="S35" s="24"/>
      <c r="T35" s="24"/>
      <c r="U35" s="137"/>
      <c r="V35" s="24"/>
      <c r="W35" s="24"/>
      <c r="X35" s="24"/>
      <c r="Y35" s="137"/>
      <c r="Z35" s="24"/>
      <c r="AA35" s="24"/>
      <c r="AB35" s="24"/>
      <c r="AC35" s="166"/>
      <c r="AD35" s="166"/>
      <c r="AE35" s="166"/>
      <c r="AF35" s="166"/>
      <c r="AG35" s="166"/>
      <c r="AH35" s="166"/>
      <c r="AI35" s="166"/>
      <c r="AJ35" s="166"/>
      <c r="AK35" s="166"/>
      <c r="AL35" s="166"/>
      <c r="AM35" s="166"/>
      <c r="AN35" s="166"/>
      <c r="AO35" s="166"/>
      <c r="AP35" s="198" t="e">
        <f t="shared" si="0"/>
        <v>#VALUE!</v>
      </c>
      <c r="AQ35" s="137"/>
      <c r="AR35" s="151">
        <f>IF(B35="","",COUNTIF('Rel.Conjunts-Sistemes'!$B:$B,$B35))</f>
        <v>0</v>
      </c>
      <c r="AS35" s="151">
        <f>IF(B35="","",COUNTIF('Dominis de dades'!$B:$B,$D35))</f>
        <v>1</v>
      </c>
    </row>
    <row r="36" spans="1:45" s="19" customFormat="1" ht="33.75" thickBot="1" x14ac:dyDescent="0.3">
      <c r="A36" s="179"/>
      <c r="B36" s="181" t="s">
        <v>853</v>
      </c>
      <c r="C36" s="179" t="s">
        <v>852</v>
      </c>
      <c r="D36" s="179" t="s">
        <v>100</v>
      </c>
      <c r="E36" s="41"/>
      <c r="F36" s="30"/>
      <c r="G36" s="30"/>
      <c r="H36" s="57"/>
      <c r="I36" s="24"/>
      <c r="J36" s="57"/>
      <c r="K36" s="57"/>
      <c r="L36" s="57"/>
      <c r="M36" s="57"/>
      <c r="N36" s="57"/>
      <c r="O36" s="24"/>
      <c r="P36" s="24"/>
      <c r="Q36" s="24"/>
      <c r="R36" s="24"/>
      <c r="S36" s="24"/>
      <c r="T36" s="24"/>
      <c r="U36" s="137"/>
      <c r="V36" s="24"/>
      <c r="W36" s="24"/>
      <c r="X36" s="24"/>
      <c r="Y36" s="137"/>
      <c r="Z36" s="24"/>
      <c r="AA36" s="24"/>
      <c r="AB36" s="24"/>
      <c r="AC36" s="166"/>
      <c r="AD36" s="166"/>
      <c r="AE36" s="166"/>
      <c r="AF36" s="166"/>
      <c r="AG36" s="166"/>
      <c r="AH36" s="166"/>
      <c r="AI36" s="166"/>
      <c r="AJ36" s="166"/>
      <c r="AK36" s="166"/>
      <c r="AL36" s="166"/>
      <c r="AM36" s="166"/>
      <c r="AN36" s="166"/>
      <c r="AO36" s="166"/>
      <c r="AP36" s="198" t="e">
        <f t="shared" si="0"/>
        <v>#VALUE!</v>
      </c>
      <c r="AQ36" s="137"/>
      <c r="AR36" s="151">
        <f>IF(B36="","",COUNTIF('Rel.Conjunts-Sistemes'!$B:$B,$B36))</f>
        <v>0</v>
      </c>
      <c r="AS36" s="151">
        <f>IF(B36="","",COUNTIF('Dominis de dades'!$B:$B,$D36))</f>
        <v>1</v>
      </c>
    </row>
    <row r="37" spans="1:45" s="19" customFormat="1" ht="33.75" thickBot="1" x14ac:dyDescent="0.3">
      <c r="A37" s="179"/>
      <c r="B37" s="181" t="s">
        <v>854</v>
      </c>
      <c r="C37" s="179" t="s">
        <v>746</v>
      </c>
      <c r="D37" s="179" t="s">
        <v>82</v>
      </c>
      <c r="E37" s="41"/>
      <c r="F37" s="30"/>
      <c r="G37" s="30"/>
      <c r="H37" s="57"/>
      <c r="I37" s="24"/>
      <c r="J37" s="57"/>
      <c r="K37" s="57"/>
      <c r="L37" s="57"/>
      <c r="M37" s="57"/>
      <c r="N37" s="57"/>
      <c r="O37" s="24"/>
      <c r="P37" s="24"/>
      <c r="Q37" s="24"/>
      <c r="R37" s="24"/>
      <c r="S37" s="24"/>
      <c r="T37" s="24"/>
      <c r="U37" s="137"/>
      <c r="V37" s="24"/>
      <c r="W37" s="24"/>
      <c r="X37" s="24"/>
      <c r="Y37" s="137"/>
      <c r="Z37" s="24"/>
      <c r="AA37" s="24"/>
      <c r="AB37" s="24"/>
      <c r="AC37" s="166"/>
      <c r="AD37" s="166"/>
      <c r="AE37" s="166"/>
      <c r="AF37" s="166"/>
      <c r="AG37" s="166"/>
      <c r="AH37" s="166"/>
      <c r="AI37" s="166"/>
      <c r="AJ37" s="166"/>
      <c r="AK37" s="166"/>
      <c r="AL37" s="166"/>
      <c r="AM37" s="166"/>
      <c r="AN37" s="166"/>
      <c r="AO37" s="166"/>
      <c r="AP37" s="198" t="e">
        <f t="shared" si="0"/>
        <v>#VALUE!</v>
      </c>
      <c r="AQ37" s="137"/>
      <c r="AR37" s="151">
        <f>IF(B37="","",COUNTIF('Rel.Conjunts-Sistemes'!$B:$B,$B37))</f>
        <v>1</v>
      </c>
      <c r="AS37" s="151">
        <f>IF(B37="","",COUNTIF('Dominis de dades'!$B:$B,$D37))</f>
        <v>1</v>
      </c>
    </row>
    <row r="38" spans="1:45" s="19" customFormat="1" ht="33.75" thickBot="1" x14ac:dyDescent="0.3">
      <c r="A38" s="179"/>
      <c r="B38" s="181" t="s">
        <v>855</v>
      </c>
      <c r="C38" s="179" t="s">
        <v>668</v>
      </c>
      <c r="D38" s="179" t="s">
        <v>96</v>
      </c>
      <c r="E38" s="41"/>
      <c r="F38" s="30"/>
      <c r="G38" s="30"/>
      <c r="H38" s="57"/>
      <c r="I38" s="24"/>
      <c r="J38" s="57"/>
      <c r="K38" s="57"/>
      <c r="L38" s="57"/>
      <c r="M38" s="57"/>
      <c r="N38" s="57"/>
      <c r="O38" s="24"/>
      <c r="P38" s="24"/>
      <c r="Q38" s="24"/>
      <c r="R38" s="24"/>
      <c r="S38" s="24"/>
      <c r="T38" s="24"/>
      <c r="U38" s="137"/>
      <c r="V38" s="24"/>
      <c r="W38" s="24"/>
      <c r="X38" s="24"/>
      <c r="Y38" s="137"/>
      <c r="Z38" s="24"/>
      <c r="AA38" s="24"/>
      <c r="AB38" s="24"/>
      <c r="AC38" s="166"/>
      <c r="AD38" s="166"/>
      <c r="AE38" s="166"/>
      <c r="AF38" s="166"/>
      <c r="AG38" s="166"/>
      <c r="AH38" s="166"/>
      <c r="AI38" s="166"/>
      <c r="AJ38" s="166"/>
      <c r="AK38" s="166"/>
      <c r="AL38" s="166"/>
      <c r="AM38" s="166"/>
      <c r="AN38" s="166"/>
      <c r="AO38" s="166"/>
      <c r="AP38" s="198" t="e">
        <f t="shared" si="0"/>
        <v>#VALUE!</v>
      </c>
      <c r="AQ38" s="137"/>
      <c r="AR38" s="151">
        <f>IF(B38="","",COUNTIF('Rel.Conjunts-Sistemes'!$B:$B,$B38))</f>
        <v>1</v>
      </c>
      <c r="AS38" s="151">
        <f>IF(B38="","",COUNTIF('Dominis de dades'!$B:$B,$D38))</f>
        <v>1</v>
      </c>
    </row>
    <row r="39" spans="1:45" s="19" customFormat="1" ht="33.75" thickBot="1" x14ac:dyDescent="0.3">
      <c r="A39" s="179"/>
      <c r="B39" s="181" t="s">
        <v>856</v>
      </c>
      <c r="C39" s="179" t="s">
        <v>669</v>
      </c>
      <c r="D39" s="179" t="s">
        <v>96</v>
      </c>
      <c r="E39" s="41"/>
      <c r="F39" s="30"/>
      <c r="G39" s="30"/>
      <c r="H39" s="57"/>
      <c r="I39" s="24"/>
      <c r="J39" s="57"/>
      <c r="K39" s="57"/>
      <c r="L39" s="57"/>
      <c r="M39" s="57"/>
      <c r="N39" s="57"/>
      <c r="O39" s="24"/>
      <c r="P39" s="24"/>
      <c r="Q39" s="24"/>
      <c r="R39" s="24"/>
      <c r="S39" s="24"/>
      <c r="T39" s="24"/>
      <c r="U39" s="137"/>
      <c r="V39" s="24"/>
      <c r="W39" s="24"/>
      <c r="X39" s="24"/>
      <c r="Y39" s="137"/>
      <c r="Z39" s="24"/>
      <c r="AA39" s="24"/>
      <c r="AB39" s="24"/>
      <c r="AC39" s="166"/>
      <c r="AD39" s="166"/>
      <c r="AE39" s="166"/>
      <c r="AF39" s="166"/>
      <c r="AG39" s="166"/>
      <c r="AH39" s="166"/>
      <c r="AI39" s="166"/>
      <c r="AJ39" s="166"/>
      <c r="AK39" s="166"/>
      <c r="AL39" s="166"/>
      <c r="AM39" s="166"/>
      <c r="AN39" s="166"/>
      <c r="AO39" s="166"/>
      <c r="AP39" s="198" t="e">
        <f t="shared" si="0"/>
        <v>#VALUE!</v>
      </c>
      <c r="AQ39" s="137"/>
      <c r="AR39" s="151">
        <f>IF(B39="","",COUNTIF('Rel.Conjunts-Sistemes'!$B:$B,$B39))</f>
        <v>1</v>
      </c>
      <c r="AS39" s="151">
        <f>IF(B39="","",COUNTIF('Dominis de dades'!$B:$B,$D39))</f>
        <v>1</v>
      </c>
    </row>
    <row r="40" spans="1:45" s="19" customFormat="1" ht="50.25" thickBot="1" x14ac:dyDescent="0.3">
      <c r="A40" s="179"/>
      <c r="B40" s="181" t="s">
        <v>857</v>
      </c>
      <c r="C40" s="179" t="s">
        <v>670</v>
      </c>
      <c r="D40" s="179" t="s">
        <v>96</v>
      </c>
      <c r="E40" s="41"/>
      <c r="F40" s="30"/>
      <c r="G40" s="30"/>
      <c r="H40" s="57"/>
      <c r="I40" s="24"/>
      <c r="J40" s="57"/>
      <c r="K40" s="57"/>
      <c r="L40" s="57"/>
      <c r="M40" s="57"/>
      <c r="N40" s="57"/>
      <c r="O40" s="24"/>
      <c r="P40" s="24"/>
      <c r="Q40" s="24"/>
      <c r="R40" s="24"/>
      <c r="S40" s="24"/>
      <c r="T40" s="24"/>
      <c r="U40" s="137"/>
      <c r="V40" s="24"/>
      <c r="W40" s="24"/>
      <c r="X40" s="24"/>
      <c r="Y40" s="137"/>
      <c r="Z40" s="24"/>
      <c r="AA40" s="24"/>
      <c r="AB40" s="24"/>
      <c r="AC40" s="166"/>
      <c r="AD40" s="166"/>
      <c r="AE40" s="166"/>
      <c r="AF40" s="166"/>
      <c r="AG40" s="166"/>
      <c r="AH40" s="166"/>
      <c r="AI40" s="166"/>
      <c r="AJ40" s="166"/>
      <c r="AK40" s="166"/>
      <c r="AL40" s="166"/>
      <c r="AM40" s="166"/>
      <c r="AN40" s="166"/>
      <c r="AO40" s="166"/>
      <c r="AP40" s="198" t="e">
        <f t="shared" si="0"/>
        <v>#VALUE!</v>
      </c>
      <c r="AQ40" s="137"/>
      <c r="AR40" s="151">
        <f>IF(B40="","",COUNTIF('Rel.Conjunts-Sistemes'!$B:$B,$B40))</f>
        <v>1</v>
      </c>
      <c r="AS40" s="151">
        <f>IF(B40="","",COUNTIF('Dominis de dades'!$B:$B,$D40))</f>
        <v>1</v>
      </c>
    </row>
    <row r="41" spans="1:45" s="19" customFormat="1" ht="50.25" thickBot="1" x14ac:dyDescent="0.3">
      <c r="A41" s="179"/>
      <c r="B41" s="181" t="s">
        <v>887</v>
      </c>
      <c r="C41" s="179" t="s">
        <v>672</v>
      </c>
      <c r="D41" s="179" t="s">
        <v>96</v>
      </c>
      <c r="E41" s="41"/>
      <c r="F41" s="30"/>
      <c r="G41" s="30"/>
      <c r="H41" s="57"/>
      <c r="I41" s="24"/>
      <c r="J41" s="57"/>
      <c r="K41" s="57"/>
      <c r="L41" s="57"/>
      <c r="M41" s="57"/>
      <c r="N41" s="57"/>
      <c r="O41" s="24"/>
      <c r="P41" s="24"/>
      <c r="Q41" s="24"/>
      <c r="R41" s="24"/>
      <c r="S41" s="24"/>
      <c r="T41" s="24"/>
      <c r="U41" s="137"/>
      <c r="V41" s="24"/>
      <c r="W41" s="24"/>
      <c r="X41" s="24"/>
      <c r="Y41" s="137"/>
      <c r="Z41" s="24"/>
      <c r="AA41" s="24"/>
      <c r="AB41" s="24"/>
      <c r="AC41" s="166"/>
      <c r="AD41" s="166"/>
      <c r="AE41" s="166"/>
      <c r="AF41" s="166"/>
      <c r="AG41" s="166"/>
      <c r="AH41" s="166"/>
      <c r="AI41" s="166"/>
      <c r="AJ41" s="166"/>
      <c r="AK41" s="166"/>
      <c r="AL41" s="166"/>
      <c r="AM41" s="166"/>
      <c r="AN41" s="166"/>
      <c r="AO41" s="166"/>
      <c r="AP41" s="198" t="e">
        <f t="shared" ref="AP41:AP72" si="1">AVERAGE(SUMIF(AnàlisiRiscos,AC41,AnàlisiRiscosGrau),SUMIF(AnàlisiRiscos,AD41,AnàlisiRiscosGrau),SUMIF(AnàlisiRiscos,AE41,AnàlisiRiscosGrau),SUMIF(AnàlisiRiscos,AF41,AnàlisiRiscosGrau),SUMIF(AnàlisiRiscos,AG41,AnàlisiRiscosGrau),SUMIF(AnàlisiRiscos,AH41,AnàlisiRiscosGrau),SUMIF(AnàlisiRiscos,AI41,AnàlisiRiscosGrau),SUMIF(AnàlisiRiscos,AJ41,AnàlisiRiscosGrau),SUMIF(AnàlisiRiscos,AK41,AnàlisiRiscosGrau),SUMIF(AnàlisiRiscos,AL41,AnàlisiRiscosGrau),SUMIF(AnàlisiRiscos,AM41,AnàlisiRiscosGrau),SUMIF(AnàlisiRiscos,AN41,AnàlisiRiscosGrau),SUMIF(AnàlisiRiscos,AO41,AnàlisiRiscosGrau))</f>
        <v>#VALUE!</v>
      </c>
      <c r="AQ41" s="137"/>
      <c r="AR41" s="151">
        <f>IF(B41="","",COUNTIF('Rel.Conjunts-Sistemes'!$B:$B,$B41))</f>
        <v>0</v>
      </c>
      <c r="AS41" s="151">
        <f>IF(B41="","",COUNTIF('Dominis de dades'!$B:$B,$D41))</f>
        <v>1</v>
      </c>
    </row>
    <row r="42" spans="1:45" s="19" customFormat="1" ht="50.25" thickBot="1" x14ac:dyDescent="0.3">
      <c r="A42" s="179"/>
      <c r="B42" s="181" t="s">
        <v>888</v>
      </c>
      <c r="C42" s="179" t="s">
        <v>674</v>
      </c>
      <c r="D42" s="179" t="s">
        <v>96</v>
      </c>
      <c r="E42" s="41"/>
      <c r="F42" s="30"/>
      <c r="G42" s="30"/>
      <c r="H42" s="57"/>
      <c r="I42" s="24"/>
      <c r="J42" s="57"/>
      <c r="K42" s="57"/>
      <c r="L42" s="57"/>
      <c r="M42" s="57"/>
      <c r="N42" s="57"/>
      <c r="O42" s="24"/>
      <c r="P42" s="24"/>
      <c r="Q42" s="24"/>
      <c r="R42" s="24"/>
      <c r="S42" s="24"/>
      <c r="T42" s="24"/>
      <c r="U42" s="137"/>
      <c r="V42" s="24"/>
      <c r="W42" s="24"/>
      <c r="X42" s="24"/>
      <c r="Y42" s="137"/>
      <c r="Z42" s="24"/>
      <c r="AA42" s="24"/>
      <c r="AB42" s="24"/>
      <c r="AC42" s="166"/>
      <c r="AD42" s="166"/>
      <c r="AE42" s="166"/>
      <c r="AF42" s="166"/>
      <c r="AG42" s="166"/>
      <c r="AH42" s="166"/>
      <c r="AI42" s="166"/>
      <c r="AJ42" s="166"/>
      <c r="AK42" s="166"/>
      <c r="AL42" s="166"/>
      <c r="AM42" s="166"/>
      <c r="AN42" s="166"/>
      <c r="AO42" s="166"/>
      <c r="AP42" s="198" t="e">
        <f t="shared" si="1"/>
        <v>#VALUE!</v>
      </c>
      <c r="AQ42" s="137"/>
      <c r="AR42" s="151">
        <f>IF(B42="","",COUNTIF('Rel.Conjunts-Sistemes'!$B:$B,$B42))</f>
        <v>1</v>
      </c>
      <c r="AS42" s="151">
        <f>IF(B42="","",COUNTIF('Dominis de dades'!$B:$B,$D42))</f>
        <v>1</v>
      </c>
    </row>
    <row r="43" spans="1:45" s="19" customFormat="1" ht="33.75" thickBot="1" x14ac:dyDescent="0.3">
      <c r="A43" s="179"/>
      <c r="B43" s="181" t="s">
        <v>889</v>
      </c>
      <c r="C43" s="179" t="s">
        <v>676</v>
      </c>
      <c r="D43" s="179" t="s">
        <v>525</v>
      </c>
      <c r="E43" s="41"/>
      <c r="F43" s="30"/>
      <c r="G43" s="30"/>
      <c r="H43" s="57"/>
      <c r="I43" s="24"/>
      <c r="J43" s="57"/>
      <c r="K43" s="57"/>
      <c r="L43" s="57"/>
      <c r="M43" s="57"/>
      <c r="N43" s="57"/>
      <c r="O43" s="24"/>
      <c r="P43" s="24"/>
      <c r="Q43" s="24"/>
      <c r="R43" s="24"/>
      <c r="S43" s="24"/>
      <c r="T43" s="24"/>
      <c r="U43" s="137"/>
      <c r="V43" s="24"/>
      <c r="W43" s="24"/>
      <c r="X43" s="24"/>
      <c r="Y43" s="137"/>
      <c r="Z43" s="24"/>
      <c r="AA43" s="24"/>
      <c r="AB43" s="24"/>
      <c r="AC43" s="166"/>
      <c r="AD43" s="166"/>
      <c r="AE43" s="166"/>
      <c r="AF43" s="166"/>
      <c r="AG43" s="166"/>
      <c r="AH43" s="166"/>
      <c r="AI43" s="166"/>
      <c r="AJ43" s="166"/>
      <c r="AK43" s="166"/>
      <c r="AL43" s="166"/>
      <c r="AM43" s="166"/>
      <c r="AN43" s="166"/>
      <c r="AO43" s="166"/>
      <c r="AP43" s="198" t="e">
        <f t="shared" si="1"/>
        <v>#VALUE!</v>
      </c>
      <c r="AQ43" s="137"/>
      <c r="AR43" s="151">
        <f>IF(B43="","",COUNTIF('Rel.Conjunts-Sistemes'!$B:$B,$B43))</f>
        <v>1</v>
      </c>
      <c r="AS43" s="151">
        <f>IF(B43="","",COUNTIF('Dominis de dades'!$B:$B,$D43))</f>
        <v>1</v>
      </c>
    </row>
    <row r="44" spans="1:45" s="19" customFormat="1" ht="33.75" thickBot="1" x14ac:dyDescent="0.3">
      <c r="A44" s="179"/>
      <c r="B44" s="181" t="s">
        <v>890</v>
      </c>
      <c r="C44" s="179" t="s">
        <v>678</v>
      </c>
      <c r="D44" s="179" t="s">
        <v>531</v>
      </c>
      <c r="E44" s="41"/>
      <c r="F44" s="30"/>
      <c r="G44" s="30"/>
      <c r="H44" s="57"/>
      <c r="I44" s="24"/>
      <c r="J44" s="57"/>
      <c r="K44" s="57"/>
      <c r="L44" s="57"/>
      <c r="M44" s="57"/>
      <c r="N44" s="57"/>
      <c r="O44" s="24"/>
      <c r="P44" s="24"/>
      <c r="Q44" s="24"/>
      <c r="R44" s="24"/>
      <c r="S44" s="24"/>
      <c r="T44" s="24"/>
      <c r="U44" s="137"/>
      <c r="V44" s="24"/>
      <c r="W44" s="24"/>
      <c r="X44" s="24"/>
      <c r="Y44" s="137"/>
      <c r="Z44" s="24"/>
      <c r="AA44" s="24"/>
      <c r="AB44" s="24"/>
      <c r="AC44" s="166"/>
      <c r="AD44" s="166"/>
      <c r="AE44" s="166"/>
      <c r="AF44" s="166"/>
      <c r="AG44" s="166"/>
      <c r="AH44" s="166"/>
      <c r="AI44" s="166"/>
      <c r="AJ44" s="166"/>
      <c r="AK44" s="166"/>
      <c r="AL44" s="166"/>
      <c r="AM44" s="166"/>
      <c r="AN44" s="166"/>
      <c r="AO44" s="166"/>
      <c r="AP44" s="198" t="e">
        <f t="shared" si="1"/>
        <v>#VALUE!</v>
      </c>
      <c r="AQ44" s="137"/>
      <c r="AR44" s="151">
        <f>IF(B44="","",COUNTIF('Rel.Conjunts-Sistemes'!$B:$B,$B44))</f>
        <v>1</v>
      </c>
      <c r="AS44" s="151">
        <f>IF(B44="","",COUNTIF('Dominis de dades'!$B:$B,$D44))</f>
        <v>1</v>
      </c>
    </row>
    <row r="45" spans="1:45" s="19" customFormat="1" ht="33.75" thickBot="1" x14ac:dyDescent="0.3">
      <c r="A45" s="179"/>
      <c r="B45" s="181" t="s">
        <v>891</v>
      </c>
      <c r="C45" s="179" t="s">
        <v>680</v>
      </c>
      <c r="D45" s="179" t="s">
        <v>531</v>
      </c>
      <c r="E45" s="41"/>
      <c r="F45" s="30"/>
      <c r="G45" s="30"/>
      <c r="H45" s="57"/>
      <c r="I45" s="24"/>
      <c r="J45" s="57"/>
      <c r="K45" s="57"/>
      <c r="L45" s="57"/>
      <c r="M45" s="57"/>
      <c r="N45" s="57"/>
      <c r="O45" s="24"/>
      <c r="P45" s="24"/>
      <c r="Q45" s="24"/>
      <c r="R45" s="24"/>
      <c r="S45" s="24"/>
      <c r="T45" s="24"/>
      <c r="U45" s="137"/>
      <c r="V45" s="24"/>
      <c r="W45" s="24"/>
      <c r="X45" s="24"/>
      <c r="Y45" s="137"/>
      <c r="Z45" s="24"/>
      <c r="AA45" s="24"/>
      <c r="AB45" s="24"/>
      <c r="AC45" s="166"/>
      <c r="AD45" s="166"/>
      <c r="AE45" s="166"/>
      <c r="AF45" s="166"/>
      <c r="AG45" s="166"/>
      <c r="AH45" s="166"/>
      <c r="AI45" s="166"/>
      <c r="AJ45" s="166"/>
      <c r="AK45" s="166"/>
      <c r="AL45" s="166"/>
      <c r="AM45" s="166"/>
      <c r="AN45" s="166"/>
      <c r="AO45" s="166"/>
      <c r="AP45" s="198" t="e">
        <f t="shared" si="1"/>
        <v>#VALUE!</v>
      </c>
      <c r="AQ45" s="137"/>
      <c r="AR45" s="151">
        <f>IF(B45="","",COUNTIF('Rel.Conjunts-Sistemes'!$B:$B,$B45))</f>
        <v>1</v>
      </c>
      <c r="AS45" s="151">
        <f>IF(B45="","",COUNTIF('Dominis de dades'!$B:$B,$D45))</f>
        <v>1</v>
      </c>
    </row>
    <row r="46" spans="1:45" s="19" customFormat="1" ht="33.75" thickBot="1" x14ac:dyDescent="0.3">
      <c r="A46" s="179"/>
      <c r="B46" s="181" t="s">
        <v>892</v>
      </c>
      <c r="C46" s="179" t="s">
        <v>682</v>
      </c>
      <c r="D46" s="179" t="s">
        <v>121</v>
      </c>
      <c r="E46" s="41"/>
      <c r="F46" s="30"/>
      <c r="G46" s="30"/>
      <c r="H46" s="57"/>
      <c r="I46" s="24"/>
      <c r="J46" s="57"/>
      <c r="K46" s="57"/>
      <c r="L46" s="57"/>
      <c r="M46" s="57"/>
      <c r="N46" s="57"/>
      <c r="O46" s="24"/>
      <c r="P46" s="24"/>
      <c r="Q46" s="24"/>
      <c r="R46" s="24"/>
      <c r="S46" s="24"/>
      <c r="T46" s="24"/>
      <c r="U46" s="137"/>
      <c r="V46" s="24"/>
      <c r="W46" s="24"/>
      <c r="X46" s="24"/>
      <c r="Y46" s="137"/>
      <c r="Z46" s="24"/>
      <c r="AA46" s="24"/>
      <c r="AB46" s="24"/>
      <c r="AC46" s="166"/>
      <c r="AD46" s="166"/>
      <c r="AE46" s="166"/>
      <c r="AF46" s="166"/>
      <c r="AG46" s="166"/>
      <c r="AH46" s="166"/>
      <c r="AI46" s="166"/>
      <c r="AJ46" s="166"/>
      <c r="AK46" s="166"/>
      <c r="AL46" s="166"/>
      <c r="AM46" s="166"/>
      <c r="AN46" s="166"/>
      <c r="AO46" s="166"/>
      <c r="AP46" s="198" t="e">
        <f t="shared" si="1"/>
        <v>#VALUE!</v>
      </c>
      <c r="AQ46" s="137"/>
      <c r="AR46" s="151">
        <f>IF(B46="","",COUNTIF('Rel.Conjunts-Sistemes'!$B:$B,$B46))</f>
        <v>1</v>
      </c>
      <c r="AS46" s="151">
        <f>IF(B46="","",COUNTIF('Dominis de dades'!$B:$B,$D46))</f>
        <v>1</v>
      </c>
    </row>
    <row r="47" spans="1:45" s="19" customFormat="1" ht="50.25" thickBot="1" x14ac:dyDescent="0.3">
      <c r="A47" s="179"/>
      <c r="B47" s="181" t="s">
        <v>893</v>
      </c>
      <c r="C47" s="179" t="s">
        <v>683</v>
      </c>
      <c r="D47" s="179" t="s">
        <v>121</v>
      </c>
      <c r="E47" s="41"/>
      <c r="F47" s="30"/>
      <c r="G47" s="30"/>
      <c r="H47" s="57"/>
      <c r="I47" s="24"/>
      <c r="J47" s="57"/>
      <c r="K47" s="57"/>
      <c r="L47" s="57"/>
      <c r="M47" s="57"/>
      <c r="N47" s="57"/>
      <c r="O47" s="24"/>
      <c r="P47" s="24"/>
      <c r="Q47" s="24"/>
      <c r="R47" s="24"/>
      <c r="S47" s="24"/>
      <c r="T47" s="24"/>
      <c r="U47" s="137"/>
      <c r="V47" s="24"/>
      <c r="W47" s="24"/>
      <c r="X47" s="24"/>
      <c r="Y47" s="137"/>
      <c r="Z47" s="24"/>
      <c r="AA47" s="24"/>
      <c r="AB47" s="24"/>
      <c r="AC47" s="166"/>
      <c r="AD47" s="166"/>
      <c r="AE47" s="166"/>
      <c r="AF47" s="166"/>
      <c r="AG47" s="166"/>
      <c r="AH47" s="166"/>
      <c r="AI47" s="166"/>
      <c r="AJ47" s="166"/>
      <c r="AK47" s="166"/>
      <c r="AL47" s="166"/>
      <c r="AM47" s="166"/>
      <c r="AN47" s="166"/>
      <c r="AO47" s="166"/>
      <c r="AP47" s="198" t="e">
        <f t="shared" si="1"/>
        <v>#VALUE!</v>
      </c>
      <c r="AQ47" s="137"/>
      <c r="AR47" s="151">
        <f>IF(B47="","",COUNTIF('Rel.Conjunts-Sistemes'!$B:$B,$B47))</f>
        <v>1</v>
      </c>
      <c r="AS47" s="151">
        <f>IF(B47="","",COUNTIF('Dominis de dades'!$B:$B,$D47))</f>
        <v>1</v>
      </c>
    </row>
    <row r="48" spans="1:45" s="19" customFormat="1" ht="33.75" thickBot="1" x14ac:dyDescent="0.3">
      <c r="A48" s="179"/>
      <c r="B48" s="181" t="s">
        <v>877</v>
      </c>
      <c r="C48" s="179" t="s">
        <v>685</v>
      </c>
      <c r="D48" s="179" t="s">
        <v>124</v>
      </c>
      <c r="E48" s="41"/>
      <c r="F48" s="30"/>
      <c r="G48" s="30"/>
      <c r="H48" s="57"/>
      <c r="I48" s="24"/>
      <c r="J48" s="57"/>
      <c r="K48" s="57"/>
      <c r="L48" s="57"/>
      <c r="M48" s="57"/>
      <c r="N48" s="57"/>
      <c r="O48" s="24"/>
      <c r="P48" s="24"/>
      <c r="Q48" s="24"/>
      <c r="R48" s="24"/>
      <c r="S48" s="24"/>
      <c r="T48" s="24"/>
      <c r="U48" s="137"/>
      <c r="V48" s="24"/>
      <c r="W48" s="24"/>
      <c r="X48" s="24"/>
      <c r="Y48" s="137"/>
      <c r="Z48" s="24"/>
      <c r="AA48" s="24"/>
      <c r="AB48" s="24"/>
      <c r="AC48" s="166"/>
      <c r="AD48" s="166"/>
      <c r="AE48" s="166"/>
      <c r="AF48" s="166"/>
      <c r="AG48" s="166"/>
      <c r="AH48" s="166"/>
      <c r="AI48" s="166"/>
      <c r="AJ48" s="166"/>
      <c r="AK48" s="166"/>
      <c r="AL48" s="166"/>
      <c r="AM48" s="166"/>
      <c r="AN48" s="166"/>
      <c r="AO48" s="166"/>
      <c r="AP48" s="198" t="e">
        <f t="shared" si="1"/>
        <v>#VALUE!</v>
      </c>
      <c r="AQ48" s="137"/>
      <c r="AR48" s="151">
        <f>IF(B48="","",COUNTIF('Rel.Conjunts-Sistemes'!$B:$B,$B48))</f>
        <v>1</v>
      </c>
      <c r="AS48" s="151">
        <f>IF(B48="","",COUNTIF('Dominis de dades'!$B:$B,$D48))</f>
        <v>1</v>
      </c>
    </row>
    <row r="49" spans="1:45" s="19" customFormat="1" ht="50.25" thickBot="1" x14ac:dyDescent="0.3">
      <c r="A49" s="179"/>
      <c r="B49" s="181" t="s">
        <v>894</v>
      </c>
      <c r="C49" s="179" t="s">
        <v>687</v>
      </c>
      <c r="D49" s="179" t="s">
        <v>126</v>
      </c>
      <c r="E49" s="41"/>
      <c r="F49" s="30"/>
      <c r="G49" s="30"/>
      <c r="H49" s="57"/>
      <c r="I49" s="24"/>
      <c r="J49" s="57"/>
      <c r="K49" s="57"/>
      <c r="L49" s="57"/>
      <c r="M49" s="57"/>
      <c r="N49" s="57"/>
      <c r="O49" s="24"/>
      <c r="P49" s="24"/>
      <c r="Q49" s="24"/>
      <c r="R49" s="24"/>
      <c r="S49" s="24"/>
      <c r="T49" s="24"/>
      <c r="U49" s="137"/>
      <c r="V49" s="24"/>
      <c r="W49" s="24"/>
      <c r="X49" s="24"/>
      <c r="Y49" s="137"/>
      <c r="Z49" s="24"/>
      <c r="AA49" s="24"/>
      <c r="AB49" s="24"/>
      <c r="AC49" s="166"/>
      <c r="AD49" s="166"/>
      <c r="AE49" s="166"/>
      <c r="AF49" s="166"/>
      <c r="AG49" s="166"/>
      <c r="AH49" s="166"/>
      <c r="AI49" s="166"/>
      <c r="AJ49" s="166"/>
      <c r="AK49" s="166"/>
      <c r="AL49" s="166"/>
      <c r="AM49" s="166"/>
      <c r="AN49" s="166"/>
      <c r="AO49" s="166"/>
      <c r="AP49" s="198" t="e">
        <f t="shared" si="1"/>
        <v>#VALUE!</v>
      </c>
      <c r="AQ49" s="137"/>
      <c r="AR49" s="151">
        <f>IF(B49="","",COUNTIF('Rel.Conjunts-Sistemes'!$B:$B,$B49))</f>
        <v>1</v>
      </c>
      <c r="AS49" s="151">
        <f>IF(B49="","",COUNTIF('Dominis de dades'!$B:$B,$D49))</f>
        <v>1</v>
      </c>
    </row>
    <row r="50" spans="1:45" s="19" customFormat="1" ht="50.25" thickBot="1" x14ac:dyDescent="0.3">
      <c r="A50" s="179"/>
      <c r="B50" s="181" t="s">
        <v>895</v>
      </c>
      <c r="C50" s="179" t="s">
        <v>689</v>
      </c>
      <c r="D50" s="179" t="s">
        <v>126</v>
      </c>
      <c r="E50" s="41"/>
      <c r="F50" s="30"/>
      <c r="G50" s="30"/>
      <c r="H50" s="57"/>
      <c r="I50" s="24"/>
      <c r="J50" s="57"/>
      <c r="K50" s="57"/>
      <c r="L50" s="57"/>
      <c r="M50" s="57"/>
      <c r="N50" s="57"/>
      <c r="O50" s="24"/>
      <c r="P50" s="24"/>
      <c r="Q50" s="24"/>
      <c r="R50" s="24"/>
      <c r="S50" s="24"/>
      <c r="T50" s="24"/>
      <c r="U50" s="137"/>
      <c r="V50" s="24"/>
      <c r="W50" s="24"/>
      <c r="X50" s="24"/>
      <c r="Y50" s="137"/>
      <c r="Z50" s="24"/>
      <c r="AA50" s="24"/>
      <c r="AB50" s="24"/>
      <c r="AC50" s="166"/>
      <c r="AD50" s="166"/>
      <c r="AE50" s="166"/>
      <c r="AF50" s="166"/>
      <c r="AG50" s="166"/>
      <c r="AH50" s="166"/>
      <c r="AI50" s="166"/>
      <c r="AJ50" s="166"/>
      <c r="AK50" s="166"/>
      <c r="AL50" s="166"/>
      <c r="AM50" s="166"/>
      <c r="AN50" s="166"/>
      <c r="AO50" s="166"/>
      <c r="AP50" s="198" t="e">
        <f t="shared" si="1"/>
        <v>#VALUE!</v>
      </c>
      <c r="AQ50" s="137"/>
      <c r="AR50" s="151">
        <f>IF(B50="","",COUNTIF('Rel.Conjunts-Sistemes'!$B:$B,$B50))</f>
        <v>1</v>
      </c>
      <c r="AS50" s="151">
        <f>IF(B50="","",COUNTIF('Dominis de dades'!$B:$B,$D50))</f>
        <v>1</v>
      </c>
    </row>
    <row r="51" spans="1:45" s="19" customFormat="1" ht="33.75" thickBot="1" x14ac:dyDescent="0.3">
      <c r="A51" s="179"/>
      <c r="B51" s="181" t="s">
        <v>896</v>
      </c>
      <c r="C51" s="179" t="s">
        <v>691</v>
      </c>
      <c r="D51" s="179" t="s">
        <v>126</v>
      </c>
      <c r="E51" s="41"/>
      <c r="F51" s="30"/>
      <c r="G51" s="30"/>
      <c r="H51" s="57"/>
      <c r="I51" s="24"/>
      <c r="J51" s="57"/>
      <c r="K51" s="57"/>
      <c r="L51" s="57"/>
      <c r="M51" s="57"/>
      <c r="N51" s="57"/>
      <c r="O51" s="24"/>
      <c r="P51" s="24"/>
      <c r="Q51" s="24"/>
      <c r="R51" s="24"/>
      <c r="S51" s="24"/>
      <c r="T51" s="24"/>
      <c r="U51" s="137"/>
      <c r="V51" s="24"/>
      <c r="W51" s="24"/>
      <c r="X51" s="24"/>
      <c r="Y51" s="137"/>
      <c r="Z51" s="24"/>
      <c r="AA51" s="24"/>
      <c r="AB51" s="24"/>
      <c r="AC51" s="166"/>
      <c r="AD51" s="166"/>
      <c r="AE51" s="166"/>
      <c r="AF51" s="166"/>
      <c r="AG51" s="166"/>
      <c r="AH51" s="166"/>
      <c r="AI51" s="166"/>
      <c r="AJ51" s="166"/>
      <c r="AK51" s="166"/>
      <c r="AL51" s="166"/>
      <c r="AM51" s="166"/>
      <c r="AN51" s="166"/>
      <c r="AO51" s="166"/>
      <c r="AP51" s="198" t="e">
        <f t="shared" si="1"/>
        <v>#VALUE!</v>
      </c>
      <c r="AQ51" s="137"/>
      <c r="AR51" s="151">
        <f>IF(B51="","",COUNTIF('Rel.Conjunts-Sistemes'!$B:$B,$B51))</f>
        <v>0</v>
      </c>
      <c r="AS51" s="151">
        <f>IF(B51="","",COUNTIF('Dominis de dades'!$B:$B,$D51))</f>
        <v>1</v>
      </c>
    </row>
    <row r="52" spans="1:45" s="19" customFormat="1" ht="33.75" thickBot="1" x14ac:dyDescent="0.3">
      <c r="A52" s="179"/>
      <c r="B52" s="181" t="s">
        <v>897</v>
      </c>
      <c r="C52" s="179" t="s">
        <v>802</v>
      </c>
      <c r="D52" s="179" t="s">
        <v>126</v>
      </c>
      <c r="E52" s="41"/>
      <c r="F52" s="30"/>
      <c r="G52" s="30"/>
      <c r="H52" s="57"/>
      <c r="I52" s="24"/>
      <c r="J52" s="57"/>
      <c r="K52" s="57"/>
      <c r="L52" s="57"/>
      <c r="M52" s="57"/>
      <c r="N52" s="57"/>
      <c r="O52" s="24"/>
      <c r="P52" s="24"/>
      <c r="Q52" s="24"/>
      <c r="R52" s="24"/>
      <c r="S52" s="24"/>
      <c r="T52" s="24"/>
      <c r="U52" s="137"/>
      <c r="V52" s="24"/>
      <c r="W52" s="24"/>
      <c r="X52" s="24"/>
      <c r="Y52" s="137"/>
      <c r="Z52" s="24"/>
      <c r="AA52" s="24"/>
      <c r="AB52" s="24"/>
      <c r="AC52" s="166"/>
      <c r="AD52" s="166"/>
      <c r="AE52" s="166"/>
      <c r="AF52" s="166"/>
      <c r="AG52" s="166"/>
      <c r="AH52" s="166"/>
      <c r="AI52" s="166"/>
      <c r="AJ52" s="166"/>
      <c r="AK52" s="166"/>
      <c r="AL52" s="166"/>
      <c r="AM52" s="166"/>
      <c r="AN52" s="166"/>
      <c r="AO52" s="166"/>
      <c r="AP52" s="198" t="e">
        <f t="shared" si="1"/>
        <v>#VALUE!</v>
      </c>
      <c r="AQ52" s="137"/>
      <c r="AR52" s="151">
        <f>IF(B52="","",COUNTIF('Rel.Conjunts-Sistemes'!$B:$B,$B52))</f>
        <v>1</v>
      </c>
      <c r="AS52" s="151">
        <f>IF(B52="","",COUNTIF('Dominis de dades'!$B:$B,$D52))</f>
        <v>1</v>
      </c>
    </row>
    <row r="53" spans="1:45" s="19" customFormat="1" ht="50.25" thickBot="1" x14ac:dyDescent="0.3">
      <c r="A53" s="179"/>
      <c r="B53" s="181" t="s">
        <v>898</v>
      </c>
      <c r="C53" s="179" t="s">
        <v>694</v>
      </c>
      <c r="D53" s="179" t="s">
        <v>108</v>
      </c>
      <c r="E53" s="41"/>
      <c r="F53" s="30"/>
      <c r="G53" s="30"/>
      <c r="H53" s="57"/>
      <c r="I53" s="24"/>
      <c r="J53" s="57"/>
      <c r="K53" s="57"/>
      <c r="L53" s="57"/>
      <c r="M53" s="57"/>
      <c r="N53" s="57"/>
      <c r="O53" s="24"/>
      <c r="P53" s="24"/>
      <c r="Q53" s="24"/>
      <c r="R53" s="24"/>
      <c r="S53" s="24"/>
      <c r="T53" s="24"/>
      <c r="U53" s="137"/>
      <c r="V53" s="24"/>
      <c r="W53" s="24"/>
      <c r="X53" s="24"/>
      <c r="Y53" s="137"/>
      <c r="Z53" s="24"/>
      <c r="AA53" s="24"/>
      <c r="AB53" s="24"/>
      <c r="AC53" s="166"/>
      <c r="AD53" s="166"/>
      <c r="AE53" s="166"/>
      <c r="AF53" s="166"/>
      <c r="AG53" s="166"/>
      <c r="AH53" s="166"/>
      <c r="AI53" s="166"/>
      <c r="AJ53" s="166"/>
      <c r="AK53" s="166"/>
      <c r="AL53" s="166"/>
      <c r="AM53" s="166"/>
      <c r="AN53" s="166"/>
      <c r="AO53" s="166"/>
      <c r="AP53" s="198" t="e">
        <f t="shared" si="1"/>
        <v>#VALUE!</v>
      </c>
      <c r="AQ53" s="137"/>
      <c r="AR53" s="151">
        <f>IF(B53="","",COUNTIF('Rel.Conjunts-Sistemes'!$B:$B,$B53))</f>
        <v>1</v>
      </c>
      <c r="AS53" s="151">
        <f>IF(B53="","",COUNTIF('Dominis de dades'!$B:$B,$D53))</f>
        <v>1</v>
      </c>
    </row>
    <row r="54" spans="1:45" s="19" customFormat="1" ht="33.75" thickBot="1" x14ac:dyDescent="0.3">
      <c r="A54" s="179"/>
      <c r="B54" s="181" t="s">
        <v>899</v>
      </c>
      <c r="C54" s="179" t="s">
        <v>696</v>
      </c>
      <c r="D54" s="179" t="s">
        <v>127</v>
      </c>
      <c r="E54" s="41"/>
      <c r="F54" s="30"/>
      <c r="G54" s="30"/>
      <c r="H54" s="57"/>
      <c r="I54" s="24"/>
      <c r="J54" s="57"/>
      <c r="K54" s="57"/>
      <c r="L54" s="57"/>
      <c r="M54" s="57"/>
      <c r="N54" s="57"/>
      <c r="O54" s="24"/>
      <c r="P54" s="24"/>
      <c r="Q54" s="24"/>
      <c r="R54" s="24"/>
      <c r="S54" s="24"/>
      <c r="T54" s="24"/>
      <c r="U54" s="137"/>
      <c r="V54" s="24"/>
      <c r="W54" s="24"/>
      <c r="X54" s="24"/>
      <c r="Y54" s="137"/>
      <c r="Z54" s="24"/>
      <c r="AA54" s="24"/>
      <c r="AB54" s="24"/>
      <c r="AC54" s="166"/>
      <c r="AD54" s="166"/>
      <c r="AE54" s="166"/>
      <c r="AF54" s="166"/>
      <c r="AG54" s="166"/>
      <c r="AH54" s="166"/>
      <c r="AI54" s="166"/>
      <c r="AJ54" s="166"/>
      <c r="AK54" s="166"/>
      <c r="AL54" s="166"/>
      <c r="AM54" s="166"/>
      <c r="AN54" s="166"/>
      <c r="AO54" s="166"/>
      <c r="AP54" s="198" t="e">
        <f t="shared" si="1"/>
        <v>#VALUE!</v>
      </c>
      <c r="AQ54" s="137"/>
      <c r="AR54" s="151">
        <f>IF(B54="","",COUNTIF('Rel.Conjunts-Sistemes'!$B:$B,$B54))</f>
        <v>1</v>
      </c>
      <c r="AS54" s="151">
        <f>IF(B54="","",COUNTIF('Dominis de dades'!$B:$B,$D54))</f>
        <v>1</v>
      </c>
    </row>
    <row r="55" spans="1:45" s="19" customFormat="1" ht="50.25" thickBot="1" x14ac:dyDescent="0.3">
      <c r="A55" s="179"/>
      <c r="B55" s="181" t="s">
        <v>900</v>
      </c>
      <c r="C55" s="179" t="s">
        <v>697</v>
      </c>
      <c r="D55" s="179" t="s">
        <v>409</v>
      </c>
      <c r="E55" s="41"/>
      <c r="F55" s="30"/>
      <c r="G55" s="30"/>
      <c r="H55" s="57"/>
      <c r="I55" s="24"/>
      <c r="J55" s="57"/>
      <c r="K55" s="57"/>
      <c r="L55" s="57"/>
      <c r="M55" s="57"/>
      <c r="N55" s="57"/>
      <c r="O55" s="24"/>
      <c r="P55" s="24"/>
      <c r="Q55" s="24"/>
      <c r="R55" s="24"/>
      <c r="S55" s="24"/>
      <c r="T55" s="24"/>
      <c r="U55" s="137"/>
      <c r="V55" s="24"/>
      <c r="W55" s="24"/>
      <c r="X55" s="24"/>
      <c r="Y55" s="137"/>
      <c r="Z55" s="24"/>
      <c r="AA55" s="24"/>
      <c r="AB55" s="24"/>
      <c r="AC55" s="166"/>
      <c r="AD55" s="166"/>
      <c r="AE55" s="166"/>
      <c r="AF55" s="166"/>
      <c r="AG55" s="166"/>
      <c r="AH55" s="166"/>
      <c r="AI55" s="166"/>
      <c r="AJ55" s="166"/>
      <c r="AK55" s="166"/>
      <c r="AL55" s="166"/>
      <c r="AM55" s="166"/>
      <c r="AN55" s="166"/>
      <c r="AO55" s="166"/>
      <c r="AP55" s="198" t="e">
        <f t="shared" si="1"/>
        <v>#VALUE!</v>
      </c>
      <c r="AQ55" s="137"/>
      <c r="AR55" s="151">
        <f>IF(B55="","",COUNTIF('Rel.Conjunts-Sistemes'!$B:$B,$B55))</f>
        <v>1</v>
      </c>
      <c r="AS55" s="151">
        <f>IF(B55="","",COUNTIF('Dominis de dades'!$B:$B,$D55))</f>
        <v>1</v>
      </c>
    </row>
    <row r="56" spans="1:45" s="19" customFormat="1" ht="33.75" thickBot="1" x14ac:dyDescent="0.3">
      <c r="A56" s="179"/>
      <c r="B56" s="181" t="s">
        <v>901</v>
      </c>
      <c r="C56" s="179" t="s">
        <v>753</v>
      </c>
      <c r="D56" s="179" t="s">
        <v>409</v>
      </c>
      <c r="E56" s="41"/>
      <c r="F56" s="30"/>
      <c r="G56" s="30"/>
      <c r="H56" s="57"/>
      <c r="I56" s="24"/>
      <c r="J56" s="57"/>
      <c r="K56" s="57"/>
      <c r="L56" s="57"/>
      <c r="M56" s="57"/>
      <c r="N56" s="57"/>
      <c r="O56" s="24"/>
      <c r="P56" s="24"/>
      <c r="Q56" s="24"/>
      <c r="R56" s="24"/>
      <c r="S56" s="24"/>
      <c r="T56" s="24"/>
      <c r="U56" s="137"/>
      <c r="V56" s="24"/>
      <c r="W56" s="24"/>
      <c r="X56" s="24"/>
      <c r="Y56" s="137"/>
      <c r="Z56" s="24"/>
      <c r="AA56" s="24"/>
      <c r="AB56" s="24"/>
      <c r="AC56" s="166"/>
      <c r="AD56" s="166"/>
      <c r="AE56" s="166"/>
      <c r="AF56" s="166"/>
      <c r="AG56" s="166"/>
      <c r="AH56" s="166"/>
      <c r="AI56" s="166"/>
      <c r="AJ56" s="166"/>
      <c r="AK56" s="166"/>
      <c r="AL56" s="166"/>
      <c r="AM56" s="166"/>
      <c r="AN56" s="166"/>
      <c r="AO56" s="166"/>
      <c r="AP56" s="198" t="e">
        <f t="shared" si="1"/>
        <v>#VALUE!</v>
      </c>
      <c r="AQ56" s="137"/>
      <c r="AR56" s="151">
        <f>IF(B56="","",COUNTIF('Rel.Conjunts-Sistemes'!$B:$B,$B56))</f>
        <v>1</v>
      </c>
      <c r="AS56" s="151">
        <f>IF(B56="","",COUNTIF('Dominis de dades'!$B:$B,$D56))</f>
        <v>1</v>
      </c>
    </row>
    <row r="57" spans="1:45" s="19" customFormat="1" ht="33.75" thickBot="1" x14ac:dyDescent="0.3">
      <c r="A57" s="179"/>
      <c r="B57" s="181" t="s">
        <v>653</v>
      </c>
      <c r="C57" s="179" t="s">
        <v>756</v>
      </c>
      <c r="D57" s="179" t="s">
        <v>108</v>
      </c>
      <c r="E57" s="41"/>
      <c r="F57" s="30"/>
      <c r="G57" s="30"/>
      <c r="H57" s="57"/>
      <c r="I57" s="24"/>
      <c r="J57" s="57"/>
      <c r="K57" s="57"/>
      <c r="L57" s="57"/>
      <c r="M57" s="57"/>
      <c r="N57" s="57"/>
      <c r="O57" s="24"/>
      <c r="P57" s="24"/>
      <c r="Q57" s="24"/>
      <c r="R57" s="24"/>
      <c r="S57" s="24"/>
      <c r="T57" s="24"/>
      <c r="U57" s="137"/>
      <c r="V57" s="24"/>
      <c r="W57" s="24"/>
      <c r="X57" s="24"/>
      <c r="Y57" s="137"/>
      <c r="Z57" s="24"/>
      <c r="AA57" s="24"/>
      <c r="AB57" s="24"/>
      <c r="AC57" s="166"/>
      <c r="AD57" s="166"/>
      <c r="AE57" s="166"/>
      <c r="AF57" s="166"/>
      <c r="AG57" s="166"/>
      <c r="AH57" s="166"/>
      <c r="AI57" s="166"/>
      <c r="AJ57" s="166"/>
      <c r="AK57" s="166"/>
      <c r="AL57" s="166"/>
      <c r="AM57" s="166"/>
      <c r="AN57" s="166"/>
      <c r="AO57" s="166"/>
      <c r="AP57" s="198" t="e">
        <f t="shared" si="1"/>
        <v>#VALUE!</v>
      </c>
      <c r="AQ57" s="137"/>
      <c r="AR57" s="151">
        <f>IF(B57="","",COUNTIF('Rel.Conjunts-Sistemes'!$B:$B,$B57))</f>
        <v>1</v>
      </c>
      <c r="AS57" s="151">
        <f>IF(B57="","",COUNTIF('Dominis de dades'!$B:$B,$D57))</f>
        <v>1</v>
      </c>
    </row>
    <row r="58" spans="1:45" s="19" customFormat="1" ht="50.25" thickBot="1" x14ac:dyDescent="0.3">
      <c r="A58" s="179"/>
      <c r="B58" s="181" t="s">
        <v>902</v>
      </c>
      <c r="C58" s="179" t="s">
        <v>791</v>
      </c>
      <c r="D58" s="179" t="s">
        <v>108</v>
      </c>
      <c r="E58" s="41"/>
      <c r="F58" s="30"/>
      <c r="G58" s="30"/>
      <c r="H58" s="57"/>
      <c r="I58" s="24"/>
      <c r="J58" s="57"/>
      <c r="K58" s="57"/>
      <c r="L58" s="57"/>
      <c r="M58" s="57"/>
      <c r="N58" s="57"/>
      <c r="O58" s="24"/>
      <c r="P58" s="24"/>
      <c r="Q58" s="24"/>
      <c r="R58" s="24"/>
      <c r="S58" s="24"/>
      <c r="T58" s="24"/>
      <c r="U58" s="137"/>
      <c r="V58" s="24"/>
      <c r="W58" s="24"/>
      <c r="X58" s="24"/>
      <c r="Y58" s="137"/>
      <c r="Z58" s="24"/>
      <c r="AA58" s="24"/>
      <c r="AB58" s="24"/>
      <c r="AC58" s="166"/>
      <c r="AD58" s="166"/>
      <c r="AE58" s="166"/>
      <c r="AF58" s="166"/>
      <c r="AG58" s="166"/>
      <c r="AH58" s="166"/>
      <c r="AI58" s="166"/>
      <c r="AJ58" s="166"/>
      <c r="AK58" s="166"/>
      <c r="AL58" s="166"/>
      <c r="AM58" s="166"/>
      <c r="AN58" s="166"/>
      <c r="AO58" s="166"/>
      <c r="AP58" s="198" t="e">
        <f t="shared" si="1"/>
        <v>#VALUE!</v>
      </c>
      <c r="AQ58" s="137"/>
      <c r="AR58" s="151">
        <f>IF(B58="","",COUNTIF('Rel.Conjunts-Sistemes'!$B:$B,$B58))</f>
        <v>1</v>
      </c>
      <c r="AS58" s="151">
        <f>IF(B58="","",COUNTIF('Dominis de dades'!$B:$B,$D58))</f>
        <v>1</v>
      </c>
    </row>
    <row r="59" spans="1:45" s="19" customFormat="1" ht="33.75" thickBot="1" x14ac:dyDescent="0.3">
      <c r="A59" s="179"/>
      <c r="B59" s="181" t="s">
        <v>903</v>
      </c>
      <c r="C59" s="179" t="s">
        <v>792</v>
      </c>
      <c r="D59" s="179" t="s">
        <v>108</v>
      </c>
      <c r="E59" s="41"/>
      <c r="F59" s="30"/>
      <c r="G59" s="30"/>
      <c r="H59" s="57"/>
      <c r="I59" s="24"/>
      <c r="J59" s="57"/>
      <c r="K59" s="57"/>
      <c r="L59" s="57"/>
      <c r="M59" s="57"/>
      <c r="N59" s="57"/>
      <c r="O59" s="24"/>
      <c r="P59" s="24"/>
      <c r="Q59" s="24"/>
      <c r="R59" s="24"/>
      <c r="S59" s="24"/>
      <c r="T59" s="24"/>
      <c r="U59" s="137"/>
      <c r="V59" s="24"/>
      <c r="W59" s="24"/>
      <c r="X59" s="24"/>
      <c r="Y59" s="137"/>
      <c r="Z59" s="24"/>
      <c r="AA59" s="24"/>
      <c r="AB59" s="24"/>
      <c r="AC59" s="166"/>
      <c r="AD59" s="166"/>
      <c r="AE59" s="166"/>
      <c r="AF59" s="166"/>
      <c r="AG59" s="166"/>
      <c r="AH59" s="166"/>
      <c r="AI59" s="166"/>
      <c r="AJ59" s="166"/>
      <c r="AK59" s="166"/>
      <c r="AL59" s="166"/>
      <c r="AM59" s="166"/>
      <c r="AN59" s="166"/>
      <c r="AO59" s="166"/>
      <c r="AP59" s="198" t="e">
        <f t="shared" si="1"/>
        <v>#VALUE!</v>
      </c>
      <c r="AQ59" s="137"/>
      <c r="AR59" s="151">
        <f>IF(B59="","",COUNTIF('Rel.Conjunts-Sistemes'!$B:$B,$B59))</f>
        <v>0</v>
      </c>
      <c r="AS59" s="151">
        <f>IF(B59="","",COUNTIF('Dominis de dades'!$B:$B,$D59))</f>
        <v>1</v>
      </c>
    </row>
    <row r="60" spans="1:45" s="19" customFormat="1" ht="33.75" thickBot="1" x14ac:dyDescent="0.3">
      <c r="A60" s="179"/>
      <c r="B60" s="181" t="s">
        <v>883</v>
      </c>
      <c r="C60" s="179" t="s">
        <v>699</v>
      </c>
      <c r="D60" s="179" t="s">
        <v>409</v>
      </c>
      <c r="E60" s="41"/>
      <c r="F60" s="30"/>
      <c r="G60" s="30"/>
      <c r="H60" s="57"/>
      <c r="I60" s="24"/>
      <c r="J60" s="57"/>
      <c r="K60" s="57"/>
      <c r="L60" s="57"/>
      <c r="M60" s="57"/>
      <c r="N60" s="57"/>
      <c r="O60" s="24"/>
      <c r="P60" s="24"/>
      <c r="Q60" s="24"/>
      <c r="R60" s="24"/>
      <c r="S60" s="24"/>
      <c r="T60" s="24"/>
      <c r="U60" s="137"/>
      <c r="V60" s="24"/>
      <c r="W60" s="24"/>
      <c r="X60" s="24"/>
      <c r="Y60" s="137"/>
      <c r="Z60" s="24"/>
      <c r="AA60" s="24"/>
      <c r="AB60" s="24"/>
      <c r="AC60" s="166"/>
      <c r="AD60" s="166"/>
      <c r="AE60" s="166"/>
      <c r="AF60" s="166"/>
      <c r="AG60" s="166"/>
      <c r="AH60" s="166"/>
      <c r="AI60" s="166"/>
      <c r="AJ60" s="166"/>
      <c r="AK60" s="166"/>
      <c r="AL60" s="166"/>
      <c r="AM60" s="166"/>
      <c r="AN60" s="166"/>
      <c r="AO60" s="166"/>
      <c r="AP60" s="198" t="e">
        <f t="shared" si="1"/>
        <v>#VALUE!</v>
      </c>
      <c r="AQ60" s="137"/>
      <c r="AR60" s="151">
        <f>IF(B60="","",COUNTIF('Rel.Conjunts-Sistemes'!$B:$B,$B60))</f>
        <v>1</v>
      </c>
      <c r="AS60" s="151">
        <f>IF(B60="","",COUNTIF('Dominis de dades'!$B:$B,$D60))</f>
        <v>1</v>
      </c>
    </row>
    <row r="61" spans="1:45" s="19" customFormat="1" ht="33.75" thickBot="1" x14ac:dyDescent="0.3">
      <c r="A61" s="179"/>
      <c r="B61" s="181" t="s">
        <v>884</v>
      </c>
      <c r="C61" s="179" t="s">
        <v>701</v>
      </c>
      <c r="D61" s="179" t="s">
        <v>409</v>
      </c>
      <c r="E61" s="41"/>
      <c r="F61" s="30"/>
      <c r="G61" s="30"/>
      <c r="H61" s="57"/>
      <c r="I61" s="24"/>
      <c r="J61" s="57"/>
      <c r="K61" s="57"/>
      <c r="L61" s="57"/>
      <c r="M61" s="57"/>
      <c r="N61" s="57"/>
      <c r="O61" s="24"/>
      <c r="P61" s="24"/>
      <c r="Q61" s="24"/>
      <c r="R61" s="24"/>
      <c r="S61" s="24"/>
      <c r="T61" s="24"/>
      <c r="U61" s="137"/>
      <c r="V61" s="24"/>
      <c r="W61" s="24"/>
      <c r="X61" s="24"/>
      <c r="Y61" s="137"/>
      <c r="Z61" s="24"/>
      <c r="AA61" s="24"/>
      <c r="AB61" s="24"/>
      <c r="AC61" s="166"/>
      <c r="AD61" s="166"/>
      <c r="AE61" s="166"/>
      <c r="AF61" s="166"/>
      <c r="AG61" s="166"/>
      <c r="AH61" s="166"/>
      <c r="AI61" s="166"/>
      <c r="AJ61" s="166"/>
      <c r="AK61" s="166"/>
      <c r="AL61" s="166"/>
      <c r="AM61" s="166"/>
      <c r="AN61" s="166"/>
      <c r="AO61" s="166"/>
      <c r="AP61" s="198" t="e">
        <f t="shared" si="1"/>
        <v>#VALUE!</v>
      </c>
      <c r="AQ61" s="137"/>
      <c r="AR61" s="151">
        <f>IF(B61="","",COUNTIF('Rel.Conjunts-Sistemes'!$B:$B,$B61))</f>
        <v>1</v>
      </c>
      <c r="AS61" s="151">
        <f>IF(B61="","",COUNTIF('Dominis de dades'!$B:$B,$D61))</f>
        <v>1</v>
      </c>
    </row>
    <row r="62" spans="1:45" s="19" customFormat="1" ht="33.75" thickBot="1" x14ac:dyDescent="0.3">
      <c r="A62" s="179"/>
      <c r="B62" s="181" t="s">
        <v>878</v>
      </c>
      <c r="C62" s="179" t="s">
        <v>703</v>
      </c>
      <c r="D62" s="179" t="s">
        <v>409</v>
      </c>
      <c r="E62" s="41"/>
      <c r="F62" s="30"/>
      <c r="G62" s="30"/>
      <c r="H62" s="57"/>
      <c r="I62" s="24"/>
      <c r="J62" s="57"/>
      <c r="K62" s="57"/>
      <c r="L62" s="57"/>
      <c r="M62" s="57"/>
      <c r="N62" s="57"/>
      <c r="O62" s="24"/>
      <c r="P62" s="24"/>
      <c r="Q62" s="24"/>
      <c r="R62" s="24"/>
      <c r="S62" s="24"/>
      <c r="T62" s="24"/>
      <c r="U62" s="137"/>
      <c r="V62" s="24"/>
      <c r="W62" s="24"/>
      <c r="X62" s="24"/>
      <c r="Y62" s="137"/>
      <c r="Z62" s="24"/>
      <c r="AA62" s="24"/>
      <c r="AB62" s="24"/>
      <c r="AC62" s="166"/>
      <c r="AD62" s="166"/>
      <c r="AE62" s="166"/>
      <c r="AF62" s="166"/>
      <c r="AG62" s="166"/>
      <c r="AH62" s="166"/>
      <c r="AI62" s="166"/>
      <c r="AJ62" s="166"/>
      <c r="AK62" s="166"/>
      <c r="AL62" s="166"/>
      <c r="AM62" s="166"/>
      <c r="AN62" s="166"/>
      <c r="AO62" s="166"/>
      <c r="AP62" s="198" t="e">
        <f t="shared" si="1"/>
        <v>#VALUE!</v>
      </c>
      <c r="AQ62" s="137"/>
      <c r="AR62" s="151">
        <f>IF(B62="","",COUNTIF('Rel.Conjunts-Sistemes'!$B:$B,$B62))</f>
        <v>1</v>
      </c>
      <c r="AS62" s="151">
        <f>IF(B62="","",COUNTIF('Dominis de dades'!$B:$B,$D62))</f>
        <v>1</v>
      </c>
    </row>
    <row r="63" spans="1:45" s="19" customFormat="1" ht="50.25" thickBot="1" x14ac:dyDescent="0.3">
      <c r="A63" s="179"/>
      <c r="B63" s="181" t="s">
        <v>904</v>
      </c>
      <c r="C63" s="179" t="s">
        <v>705</v>
      </c>
      <c r="D63" s="179" t="s">
        <v>409</v>
      </c>
      <c r="E63" s="41"/>
      <c r="F63" s="30"/>
      <c r="G63" s="30"/>
      <c r="H63" s="57"/>
      <c r="I63" s="24"/>
      <c r="J63" s="57"/>
      <c r="K63" s="57"/>
      <c r="L63" s="57"/>
      <c r="M63" s="57"/>
      <c r="N63" s="57"/>
      <c r="O63" s="24"/>
      <c r="P63" s="24"/>
      <c r="Q63" s="24"/>
      <c r="R63" s="24"/>
      <c r="S63" s="24"/>
      <c r="T63" s="24"/>
      <c r="U63" s="137"/>
      <c r="V63" s="24"/>
      <c r="W63" s="24"/>
      <c r="X63" s="24"/>
      <c r="Y63" s="137"/>
      <c r="Z63" s="24"/>
      <c r="AA63" s="24"/>
      <c r="AB63" s="24"/>
      <c r="AC63" s="166"/>
      <c r="AD63" s="166"/>
      <c r="AE63" s="166"/>
      <c r="AF63" s="166"/>
      <c r="AG63" s="166"/>
      <c r="AH63" s="166"/>
      <c r="AI63" s="166"/>
      <c r="AJ63" s="166"/>
      <c r="AK63" s="166"/>
      <c r="AL63" s="166"/>
      <c r="AM63" s="166"/>
      <c r="AN63" s="166"/>
      <c r="AO63" s="166"/>
      <c r="AP63" s="198" t="e">
        <f t="shared" si="1"/>
        <v>#VALUE!</v>
      </c>
      <c r="AQ63" s="137"/>
      <c r="AR63" s="151">
        <f>IF(B63="","",COUNTIF('Rel.Conjunts-Sistemes'!$B:$B,$B63))</f>
        <v>1</v>
      </c>
      <c r="AS63" s="151">
        <f>IF(B63="","",COUNTIF('Dominis de dades'!$B:$B,$D63))</f>
        <v>1</v>
      </c>
    </row>
    <row r="64" spans="1:45" s="19" customFormat="1" ht="50.25" thickBot="1" x14ac:dyDescent="0.3">
      <c r="A64" s="179"/>
      <c r="B64" s="181" t="s">
        <v>905</v>
      </c>
      <c r="C64" s="179" t="s">
        <v>707</v>
      </c>
      <c r="D64" s="179" t="s">
        <v>526</v>
      </c>
      <c r="E64" s="41"/>
      <c r="F64" s="30"/>
      <c r="G64" s="30"/>
      <c r="H64" s="57"/>
      <c r="I64" s="24"/>
      <c r="J64" s="57"/>
      <c r="K64" s="57"/>
      <c r="L64" s="57"/>
      <c r="M64" s="57"/>
      <c r="N64" s="57"/>
      <c r="O64" s="24"/>
      <c r="P64" s="24"/>
      <c r="Q64" s="24"/>
      <c r="R64" s="24"/>
      <c r="S64" s="24"/>
      <c r="T64" s="24"/>
      <c r="U64" s="137"/>
      <c r="V64" s="24"/>
      <c r="W64" s="24"/>
      <c r="X64" s="24"/>
      <c r="Y64" s="137"/>
      <c r="Z64" s="24"/>
      <c r="AA64" s="24"/>
      <c r="AB64" s="24"/>
      <c r="AC64" s="166"/>
      <c r="AD64" s="166"/>
      <c r="AE64" s="166"/>
      <c r="AF64" s="166"/>
      <c r="AG64" s="166"/>
      <c r="AH64" s="166"/>
      <c r="AI64" s="166"/>
      <c r="AJ64" s="166"/>
      <c r="AK64" s="166"/>
      <c r="AL64" s="166"/>
      <c r="AM64" s="166"/>
      <c r="AN64" s="166"/>
      <c r="AO64" s="166"/>
      <c r="AP64" s="198" t="e">
        <f t="shared" si="1"/>
        <v>#VALUE!</v>
      </c>
      <c r="AQ64" s="137"/>
      <c r="AR64" s="151">
        <f>IF(B64="","",COUNTIF('Rel.Conjunts-Sistemes'!$B:$B,$B64))</f>
        <v>0</v>
      </c>
      <c r="AS64" s="151">
        <f>IF(B64="","",COUNTIF('Dominis de dades'!$B:$B,$D64))</f>
        <v>1</v>
      </c>
    </row>
    <row r="65" spans="1:45" s="19" customFormat="1" ht="50.25" thickBot="1" x14ac:dyDescent="0.3">
      <c r="A65" s="179"/>
      <c r="B65" s="181" t="s">
        <v>906</v>
      </c>
      <c r="C65" s="179" t="s">
        <v>709</v>
      </c>
      <c r="D65" s="179" t="s">
        <v>526</v>
      </c>
      <c r="E65" s="41"/>
      <c r="F65" s="30"/>
      <c r="G65" s="30"/>
      <c r="H65" s="57"/>
      <c r="I65" s="24"/>
      <c r="J65" s="57"/>
      <c r="K65" s="57"/>
      <c r="L65" s="57"/>
      <c r="M65" s="57"/>
      <c r="N65" s="57"/>
      <c r="O65" s="24"/>
      <c r="P65" s="24"/>
      <c r="Q65" s="24"/>
      <c r="R65" s="24"/>
      <c r="S65" s="24"/>
      <c r="T65" s="24"/>
      <c r="U65" s="137"/>
      <c r="V65" s="24"/>
      <c r="W65" s="24"/>
      <c r="X65" s="24"/>
      <c r="Y65" s="137"/>
      <c r="Z65" s="24"/>
      <c r="AA65" s="24"/>
      <c r="AB65" s="24"/>
      <c r="AC65" s="166"/>
      <c r="AD65" s="166"/>
      <c r="AE65" s="166"/>
      <c r="AF65" s="166"/>
      <c r="AG65" s="166"/>
      <c r="AH65" s="166"/>
      <c r="AI65" s="166"/>
      <c r="AJ65" s="166"/>
      <c r="AK65" s="166"/>
      <c r="AL65" s="166"/>
      <c r="AM65" s="166"/>
      <c r="AN65" s="166"/>
      <c r="AO65" s="166"/>
      <c r="AP65" s="198" t="e">
        <f t="shared" si="1"/>
        <v>#VALUE!</v>
      </c>
      <c r="AQ65" s="137"/>
      <c r="AR65" s="151">
        <f>IF(B65="","",COUNTIF('Rel.Conjunts-Sistemes'!$B:$B,$B65))</f>
        <v>1</v>
      </c>
      <c r="AS65" s="151">
        <f>IF(B65="","",COUNTIF('Dominis de dades'!$B:$B,$D65))</f>
        <v>1</v>
      </c>
    </row>
    <row r="66" spans="1:45" s="19" customFormat="1" ht="50.25" thickBot="1" x14ac:dyDescent="0.3">
      <c r="A66" s="179"/>
      <c r="B66" s="181" t="s">
        <v>907</v>
      </c>
      <c r="C66" s="179" t="s">
        <v>711</v>
      </c>
      <c r="D66" s="179" t="s">
        <v>526</v>
      </c>
      <c r="E66" s="41"/>
      <c r="F66" s="30"/>
      <c r="G66" s="30"/>
      <c r="H66" s="57"/>
      <c r="I66" s="24"/>
      <c r="J66" s="57"/>
      <c r="K66" s="57"/>
      <c r="L66" s="57"/>
      <c r="M66" s="57"/>
      <c r="N66" s="57"/>
      <c r="O66" s="24"/>
      <c r="P66" s="24"/>
      <c r="Q66" s="24"/>
      <c r="R66" s="24"/>
      <c r="S66" s="24"/>
      <c r="T66" s="24"/>
      <c r="U66" s="137"/>
      <c r="V66" s="24"/>
      <c r="W66" s="24"/>
      <c r="X66" s="24"/>
      <c r="Y66" s="137"/>
      <c r="Z66" s="24"/>
      <c r="AA66" s="24"/>
      <c r="AB66" s="24"/>
      <c r="AC66" s="166"/>
      <c r="AD66" s="166"/>
      <c r="AE66" s="166"/>
      <c r="AF66" s="166"/>
      <c r="AG66" s="166"/>
      <c r="AH66" s="166"/>
      <c r="AI66" s="166"/>
      <c r="AJ66" s="166"/>
      <c r="AK66" s="166"/>
      <c r="AL66" s="166"/>
      <c r="AM66" s="166"/>
      <c r="AN66" s="166"/>
      <c r="AO66" s="166"/>
      <c r="AP66" s="198" t="e">
        <f t="shared" si="1"/>
        <v>#VALUE!</v>
      </c>
      <c r="AQ66" s="137"/>
      <c r="AR66" s="151">
        <f>IF(B66="","",COUNTIF('Rel.Conjunts-Sistemes'!$B:$B,$B66))</f>
        <v>1</v>
      </c>
      <c r="AS66" s="151">
        <f>IF(B66="","",COUNTIF('Dominis de dades'!$B:$B,$D66))</f>
        <v>1</v>
      </c>
    </row>
    <row r="67" spans="1:45" s="19" customFormat="1" ht="33.75" thickBot="1" x14ac:dyDescent="0.3">
      <c r="A67" s="179"/>
      <c r="B67" s="181" t="s">
        <v>880</v>
      </c>
      <c r="C67" s="179" t="s">
        <v>713</v>
      </c>
      <c r="D67" s="179" t="s">
        <v>531</v>
      </c>
      <c r="E67" s="41"/>
      <c r="F67" s="30"/>
      <c r="G67" s="30"/>
      <c r="H67" s="57"/>
      <c r="I67" s="24"/>
      <c r="J67" s="57"/>
      <c r="K67" s="57"/>
      <c r="L67" s="57"/>
      <c r="M67" s="57"/>
      <c r="N67" s="57"/>
      <c r="O67" s="24"/>
      <c r="P67" s="24"/>
      <c r="Q67" s="24"/>
      <c r="R67" s="24"/>
      <c r="S67" s="24"/>
      <c r="T67" s="24"/>
      <c r="U67" s="137"/>
      <c r="V67" s="24"/>
      <c r="W67" s="24"/>
      <c r="X67" s="24"/>
      <c r="Y67" s="137"/>
      <c r="Z67" s="24"/>
      <c r="AA67" s="24"/>
      <c r="AB67" s="24"/>
      <c r="AC67" s="166"/>
      <c r="AD67" s="166"/>
      <c r="AE67" s="166"/>
      <c r="AF67" s="166"/>
      <c r="AG67" s="166"/>
      <c r="AH67" s="166"/>
      <c r="AI67" s="166"/>
      <c r="AJ67" s="166"/>
      <c r="AK67" s="166"/>
      <c r="AL67" s="166"/>
      <c r="AM67" s="166"/>
      <c r="AN67" s="166"/>
      <c r="AO67" s="166"/>
      <c r="AP67" s="198" t="e">
        <f t="shared" si="1"/>
        <v>#VALUE!</v>
      </c>
      <c r="AQ67" s="137"/>
      <c r="AR67" s="151">
        <f>IF(B67="","",COUNTIF('Rel.Conjunts-Sistemes'!$B:$B,$B67))</f>
        <v>1</v>
      </c>
      <c r="AS67" s="151">
        <f>IF(B67="","",COUNTIF('Dominis de dades'!$B:$B,$D67))</f>
        <v>1</v>
      </c>
    </row>
    <row r="68" spans="1:45" s="19" customFormat="1" ht="33.75" thickBot="1" x14ac:dyDescent="0.3">
      <c r="A68" s="179"/>
      <c r="B68" s="181" t="s">
        <v>908</v>
      </c>
      <c r="C68" s="179" t="s">
        <v>714</v>
      </c>
      <c r="D68" s="179" t="s">
        <v>531</v>
      </c>
      <c r="E68" s="41"/>
      <c r="F68" s="30"/>
      <c r="G68" s="30"/>
      <c r="H68" s="57"/>
      <c r="I68" s="24"/>
      <c r="J68" s="57"/>
      <c r="K68" s="57"/>
      <c r="L68" s="57"/>
      <c r="M68" s="57"/>
      <c r="N68" s="57"/>
      <c r="O68" s="24"/>
      <c r="P68" s="24"/>
      <c r="Q68" s="24"/>
      <c r="R68" s="24"/>
      <c r="S68" s="24"/>
      <c r="T68" s="24"/>
      <c r="U68" s="137"/>
      <c r="V68" s="24"/>
      <c r="W68" s="24"/>
      <c r="X68" s="24"/>
      <c r="Y68" s="137"/>
      <c r="Z68" s="24"/>
      <c r="AA68" s="24"/>
      <c r="AB68" s="24"/>
      <c r="AC68" s="166"/>
      <c r="AD68" s="166"/>
      <c r="AE68" s="166"/>
      <c r="AF68" s="166"/>
      <c r="AG68" s="166"/>
      <c r="AH68" s="166"/>
      <c r="AI68" s="166"/>
      <c r="AJ68" s="166"/>
      <c r="AK68" s="166"/>
      <c r="AL68" s="166"/>
      <c r="AM68" s="166"/>
      <c r="AN68" s="166"/>
      <c r="AO68" s="166"/>
      <c r="AP68" s="198" t="e">
        <f t="shared" si="1"/>
        <v>#VALUE!</v>
      </c>
      <c r="AQ68" s="137"/>
      <c r="AR68" s="151">
        <f>IF(B68="","",COUNTIF('Rel.Conjunts-Sistemes'!$B:$B,$B68))</f>
        <v>1</v>
      </c>
      <c r="AS68" s="151">
        <f>IF(B68="","",COUNTIF('Dominis de dades'!$B:$B,$D68))</f>
        <v>1</v>
      </c>
    </row>
    <row r="69" spans="1:45" s="19" customFormat="1" ht="50.25" thickBot="1" x14ac:dyDescent="0.3">
      <c r="A69" s="179"/>
      <c r="B69" s="181" t="s">
        <v>879</v>
      </c>
      <c r="C69" s="179" t="s">
        <v>716</v>
      </c>
      <c r="D69" s="179" t="s">
        <v>409</v>
      </c>
      <c r="E69" s="41"/>
      <c r="F69" s="30"/>
      <c r="G69" s="30"/>
      <c r="H69" s="57"/>
      <c r="I69" s="24"/>
      <c r="J69" s="57"/>
      <c r="K69" s="57"/>
      <c r="L69" s="57"/>
      <c r="M69" s="57"/>
      <c r="N69" s="57"/>
      <c r="O69" s="24"/>
      <c r="P69" s="24"/>
      <c r="Q69" s="24"/>
      <c r="R69" s="24"/>
      <c r="S69" s="24"/>
      <c r="T69" s="24"/>
      <c r="U69" s="137"/>
      <c r="V69" s="24"/>
      <c r="W69" s="24"/>
      <c r="X69" s="24"/>
      <c r="Y69" s="137"/>
      <c r="Z69" s="24"/>
      <c r="AA69" s="24"/>
      <c r="AB69" s="24"/>
      <c r="AC69" s="166"/>
      <c r="AD69" s="166"/>
      <c r="AE69" s="166"/>
      <c r="AF69" s="166"/>
      <c r="AG69" s="166"/>
      <c r="AH69" s="166"/>
      <c r="AI69" s="166"/>
      <c r="AJ69" s="166"/>
      <c r="AK69" s="166"/>
      <c r="AL69" s="166"/>
      <c r="AM69" s="166"/>
      <c r="AN69" s="166"/>
      <c r="AO69" s="166"/>
      <c r="AP69" s="198" t="e">
        <f t="shared" si="1"/>
        <v>#VALUE!</v>
      </c>
      <c r="AQ69" s="137"/>
      <c r="AR69" s="151">
        <f>IF(B69="","",COUNTIF('Rel.Conjunts-Sistemes'!$B:$B,$B69))</f>
        <v>1</v>
      </c>
      <c r="AS69" s="151">
        <f>IF(B69="","",COUNTIF('Dominis de dades'!$B:$B,$D69))</f>
        <v>1</v>
      </c>
    </row>
    <row r="70" spans="1:45" s="19" customFormat="1" ht="33.75" thickBot="1" x14ac:dyDescent="0.3">
      <c r="A70" s="179"/>
      <c r="B70" s="181" t="s">
        <v>881</v>
      </c>
      <c r="C70" s="179" t="s">
        <v>718</v>
      </c>
      <c r="D70" s="179" t="s">
        <v>859</v>
      </c>
      <c r="E70" s="41"/>
      <c r="F70" s="30"/>
      <c r="G70" s="30"/>
      <c r="H70" s="57"/>
      <c r="I70" s="24"/>
      <c r="J70" s="57"/>
      <c r="K70" s="57"/>
      <c r="L70" s="57"/>
      <c r="M70" s="57"/>
      <c r="N70" s="57"/>
      <c r="O70" s="24"/>
      <c r="P70" s="24"/>
      <c r="Q70" s="24"/>
      <c r="R70" s="24"/>
      <c r="S70" s="24"/>
      <c r="T70" s="24"/>
      <c r="U70" s="137"/>
      <c r="V70" s="24"/>
      <c r="W70" s="24"/>
      <c r="X70" s="24"/>
      <c r="Y70" s="137"/>
      <c r="Z70" s="24"/>
      <c r="AA70" s="24"/>
      <c r="AB70" s="24"/>
      <c r="AC70" s="166"/>
      <c r="AD70" s="166"/>
      <c r="AE70" s="166"/>
      <c r="AF70" s="166"/>
      <c r="AG70" s="166"/>
      <c r="AH70" s="166"/>
      <c r="AI70" s="166"/>
      <c r="AJ70" s="166"/>
      <c r="AK70" s="166"/>
      <c r="AL70" s="166"/>
      <c r="AM70" s="166"/>
      <c r="AN70" s="166"/>
      <c r="AO70" s="166"/>
      <c r="AP70" s="198" t="e">
        <f t="shared" si="1"/>
        <v>#VALUE!</v>
      </c>
      <c r="AQ70" s="137"/>
      <c r="AR70" s="151">
        <f>IF(B70="","",COUNTIF('Rel.Conjunts-Sistemes'!$B:$B,$B70))</f>
        <v>1</v>
      </c>
      <c r="AS70" s="151">
        <f>IF(B70="","",COUNTIF('Dominis de dades'!$B:$B,$D70))</f>
        <v>1</v>
      </c>
    </row>
    <row r="71" spans="1:45" s="19" customFormat="1" ht="33.75" thickBot="1" x14ac:dyDescent="0.3">
      <c r="A71" s="179"/>
      <c r="B71" s="181" t="s">
        <v>909</v>
      </c>
      <c r="C71" s="179" t="s">
        <v>720</v>
      </c>
      <c r="D71" s="179" t="s">
        <v>859</v>
      </c>
      <c r="E71" s="41"/>
      <c r="F71" s="30"/>
      <c r="G71" s="30"/>
      <c r="H71" s="57"/>
      <c r="I71" s="24"/>
      <c r="J71" s="57"/>
      <c r="K71" s="57"/>
      <c r="L71" s="57"/>
      <c r="M71" s="57"/>
      <c r="N71" s="57"/>
      <c r="O71" s="24"/>
      <c r="P71" s="24"/>
      <c r="Q71" s="24"/>
      <c r="R71" s="24"/>
      <c r="S71" s="24"/>
      <c r="T71" s="24"/>
      <c r="U71" s="137"/>
      <c r="V71" s="24"/>
      <c r="W71" s="24"/>
      <c r="X71" s="24"/>
      <c r="Y71" s="137"/>
      <c r="Z71" s="24"/>
      <c r="AA71" s="24"/>
      <c r="AB71" s="24"/>
      <c r="AC71" s="166"/>
      <c r="AD71" s="166"/>
      <c r="AE71" s="166"/>
      <c r="AF71" s="166"/>
      <c r="AG71" s="166"/>
      <c r="AH71" s="166"/>
      <c r="AI71" s="166"/>
      <c r="AJ71" s="166"/>
      <c r="AK71" s="166"/>
      <c r="AL71" s="166"/>
      <c r="AM71" s="166"/>
      <c r="AN71" s="166"/>
      <c r="AO71" s="166"/>
      <c r="AP71" s="198" t="e">
        <f t="shared" si="1"/>
        <v>#VALUE!</v>
      </c>
      <c r="AQ71" s="137"/>
      <c r="AR71" s="151">
        <f>IF(B71="","",COUNTIF('Rel.Conjunts-Sistemes'!$B:$B,$B71))</f>
        <v>1</v>
      </c>
      <c r="AS71" s="151">
        <f>IF(B71="","",COUNTIF('Dominis de dades'!$B:$B,$D71))</f>
        <v>1</v>
      </c>
    </row>
    <row r="72" spans="1:45" s="19" customFormat="1" ht="50.25" thickBot="1" x14ac:dyDescent="0.3">
      <c r="A72" s="179"/>
      <c r="B72" s="181" t="s">
        <v>910</v>
      </c>
      <c r="C72" s="179" t="s">
        <v>722</v>
      </c>
      <c r="D72" s="179" t="s">
        <v>859</v>
      </c>
      <c r="E72" s="41"/>
      <c r="F72" s="30"/>
      <c r="G72" s="30"/>
      <c r="H72" s="57"/>
      <c r="I72" s="24"/>
      <c r="J72" s="57"/>
      <c r="K72" s="57"/>
      <c r="L72" s="57"/>
      <c r="M72" s="57"/>
      <c r="N72" s="57"/>
      <c r="O72" s="24"/>
      <c r="P72" s="24"/>
      <c r="Q72" s="24"/>
      <c r="R72" s="24"/>
      <c r="S72" s="24"/>
      <c r="T72" s="24"/>
      <c r="U72" s="137"/>
      <c r="V72" s="24"/>
      <c r="W72" s="24"/>
      <c r="X72" s="24"/>
      <c r="Y72" s="137"/>
      <c r="Z72" s="24"/>
      <c r="AA72" s="24"/>
      <c r="AB72" s="24"/>
      <c r="AC72" s="166"/>
      <c r="AD72" s="166"/>
      <c r="AE72" s="166"/>
      <c r="AF72" s="166"/>
      <c r="AG72" s="166"/>
      <c r="AH72" s="166"/>
      <c r="AI72" s="166"/>
      <c r="AJ72" s="166"/>
      <c r="AK72" s="166"/>
      <c r="AL72" s="166"/>
      <c r="AM72" s="166"/>
      <c r="AN72" s="166"/>
      <c r="AO72" s="166"/>
      <c r="AP72" s="198" t="e">
        <f t="shared" si="1"/>
        <v>#VALUE!</v>
      </c>
      <c r="AQ72" s="137"/>
      <c r="AR72" s="151">
        <f>IF(B72="","",COUNTIF('Rel.Conjunts-Sistemes'!$B:$B,$B72))</f>
        <v>1</v>
      </c>
      <c r="AS72" s="151">
        <f>IF(B72="","",COUNTIF('Dominis de dades'!$B:$B,$D72))</f>
        <v>1</v>
      </c>
    </row>
    <row r="73" spans="1:45" s="19" customFormat="1" ht="33.75" thickBot="1" x14ac:dyDescent="0.3">
      <c r="A73" s="179"/>
      <c r="B73" s="181" t="s">
        <v>911</v>
      </c>
      <c r="C73" s="179" t="s">
        <v>724</v>
      </c>
      <c r="D73" s="179" t="s">
        <v>859</v>
      </c>
      <c r="E73" s="41"/>
      <c r="F73" s="30"/>
      <c r="G73" s="30"/>
      <c r="H73" s="57"/>
      <c r="I73" s="24"/>
      <c r="J73" s="57"/>
      <c r="K73" s="57"/>
      <c r="L73" s="57"/>
      <c r="M73" s="57"/>
      <c r="N73" s="57"/>
      <c r="O73" s="24"/>
      <c r="P73" s="24"/>
      <c r="Q73" s="24"/>
      <c r="R73" s="24"/>
      <c r="S73" s="24"/>
      <c r="T73" s="24"/>
      <c r="U73" s="137"/>
      <c r="V73" s="24"/>
      <c r="W73" s="24"/>
      <c r="X73" s="24"/>
      <c r="Y73" s="137"/>
      <c r="Z73" s="24"/>
      <c r="AA73" s="24"/>
      <c r="AB73" s="24"/>
      <c r="AC73" s="166"/>
      <c r="AD73" s="166"/>
      <c r="AE73" s="166"/>
      <c r="AF73" s="166"/>
      <c r="AG73" s="166"/>
      <c r="AH73" s="166"/>
      <c r="AI73" s="166"/>
      <c r="AJ73" s="166"/>
      <c r="AK73" s="166"/>
      <c r="AL73" s="166"/>
      <c r="AM73" s="166"/>
      <c r="AN73" s="166"/>
      <c r="AO73" s="166"/>
      <c r="AP73" s="198" t="e">
        <f t="shared" ref="AP73:AP104" si="2">AVERAGE(SUMIF(AnàlisiRiscos,AC73,AnàlisiRiscosGrau),SUMIF(AnàlisiRiscos,AD73,AnàlisiRiscosGrau),SUMIF(AnàlisiRiscos,AE73,AnàlisiRiscosGrau),SUMIF(AnàlisiRiscos,AF73,AnàlisiRiscosGrau),SUMIF(AnàlisiRiscos,AG73,AnàlisiRiscosGrau),SUMIF(AnàlisiRiscos,AH73,AnàlisiRiscosGrau),SUMIF(AnàlisiRiscos,AI73,AnàlisiRiscosGrau),SUMIF(AnàlisiRiscos,AJ73,AnàlisiRiscosGrau),SUMIF(AnàlisiRiscos,AK73,AnàlisiRiscosGrau),SUMIF(AnàlisiRiscos,AL73,AnàlisiRiscosGrau),SUMIF(AnàlisiRiscos,AM73,AnàlisiRiscosGrau),SUMIF(AnàlisiRiscos,AN73,AnàlisiRiscosGrau),SUMIF(AnàlisiRiscos,AO73,AnàlisiRiscosGrau))</f>
        <v>#VALUE!</v>
      </c>
      <c r="AQ73" s="137"/>
      <c r="AR73" s="151">
        <f>IF(B73="","",COUNTIF('Rel.Conjunts-Sistemes'!$B:$B,$B73))</f>
        <v>1</v>
      </c>
      <c r="AS73" s="151">
        <f>IF(B73="","",COUNTIF('Dominis de dades'!$B:$B,$D73))</f>
        <v>1</v>
      </c>
    </row>
    <row r="74" spans="1:45" s="19" customFormat="1" ht="33.75" thickBot="1" x14ac:dyDescent="0.3">
      <c r="A74" s="179"/>
      <c r="B74" s="181" t="s">
        <v>912</v>
      </c>
      <c r="C74" s="179" t="s">
        <v>726</v>
      </c>
      <c r="D74" s="179" t="s">
        <v>859</v>
      </c>
      <c r="E74" s="41"/>
      <c r="F74" s="30"/>
      <c r="G74" s="30"/>
      <c r="H74" s="57"/>
      <c r="I74" s="24"/>
      <c r="J74" s="57"/>
      <c r="K74" s="57"/>
      <c r="L74" s="57"/>
      <c r="M74" s="57"/>
      <c r="N74" s="57"/>
      <c r="O74" s="24"/>
      <c r="P74" s="24"/>
      <c r="Q74" s="24"/>
      <c r="R74" s="24"/>
      <c r="S74" s="24"/>
      <c r="T74" s="24"/>
      <c r="U74" s="137"/>
      <c r="V74" s="24"/>
      <c r="W74" s="24"/>
      <c r="X74" s="24"/>
      <c r="Y74" s="137"/>
      <c r="Z74" s="24"/>
      <c r="AA74" s="24"/>
      <c r="AB74" s="24"/>
      <c r="AC74" s="166"/>
      <c r="AD74" s="166"/>
      <c r="AE74" s="166"/>
      <c r="AF74" s="166"/>
      <c r="AG74" s="166"/>
      <c r="AH74" s="166"/>
      <c r="AI74" s="166"/>
      <c r="AJ74" s="166"/>
      <c r="AK74" s="166"/>
      <c r="AL74" s="166"/>
      <c r="AM74" s="166"/>
      <c r="AN74" s="166"/>
      <c r="AO74" s="166"/>
      <c r="AP74" s="198" t="e">
        <f t="shared" si="2"/>
        <v>#VALUE!</v>
      </c>
      <c r="AQ74" s="137"/>
      <c r="AR74" s="151">
        <f>IF(B74="","",COUNTIF('Rel.Conjunts-Sistemes'!$B:$B,$B74))</f>
        <v>1</v>
      </c>
      <c r="AS74" s="151">
        <f>IF(B74="","",COUNTIF('Dominis de dades'!$B:$B,$D74))</f>
        <v>1</v>
      </c>
    </row>
    <row r="75" spans="1:45" s="19" customFormat="1" ht="50.25" thickBot="1" x14ac:dyDescent="0.3">
      <c r="A75" s="179"/>
      <c r="B75" s="181" t="s">
        <v>913</v>
      </c>
      <c r="C75" s="179" t="s">
        <v>728</v>
      </c>
      <c r="D75" s="179" t="s">
        <v>859</v>
      </c>
      <c r="E75" s="41"/>
      <c r="F75" s="30"/>
      <c r="G75" s="30"/>
      <c r="H75" s="57"/>
      <c r="I75" s="24"/>
      <c r="J75" s="57"/>
      <c r="K75" s="57"/>
      <c r="L75" s="57"/>
      <c r="M75" s="57"/>
      <c r="N75" s="57"/>
      <c r="O75" s="24"/>
      <c r="P75" s="24"/>
      <c r="Q75" s="24"/>
      <c r="R75" s="24"/>
      <c r="S75" s="24"/>
      <c r="T75" s="24"/>
      <c r="U75" s="137"/>
      <c r="V75" s="24"/>
      <c r="W75" s="24"/>
      <c r="X75" s="24"/>
      <c r="Y75" s="137"/>
      <c r="Z75" s="24"/>
      <c r="AA75" s="24"/>
      <c r="AB75" s="24"/>
      <c r="AC75" s="166"/>
      <c r="AD75" s="166"/>
      <c r="AE75" s="166"/>
      <c r="AF75" s="166"/>
      <c r="AG75" s="166"/>
      <c r="AH75" s="166"/>
      <c r="AI75" s="166"/>
      <c r="AJ75" s="166"/>
      <c r="AK75" s="166"/>
      <c r="AL75" s="166"/>
      <c r="AM75" s="166"/>
      <c r="AN75" s="166"/>
      <c r="AO75" s="166"/>
      <c r="AP75" s="198" t="e">
        <f t="shared" si="2"/>
        <v>#VALUE!</v>
      </c>
      <c r="AQ75" s="137"/>
      <c r="AR75" s="151">
        <f>IF(B75="","",COUNTIF('Rel.Conjunts-Sistemes'!$B:$B,$B75))</f>
        <v>0</v>
      </c>
      <c r="AS75" s="151">
        <f>IF(B75="","",COUNTIF('Dominis de dades'!$B:$B,$D75))</f>
        <v>1</v>
      </c>
    </row>
    <row r="76" spans="1:45" s="19" customFormat="1" ht="50.25" thickBot="1" x14ac:dyDescent="0.3">
      <c r="A76" s="179"/>
      <c r="B76" s="181" t="s">
        <v>914</v>
      </c>
      <c r="C76" s="179" t="s">
        <v>758</v>
      </c>
      <c r="D76" s="179" t="s">
        <v>63</v>
      </c>
      <c r="E76" s="41"/>
      <c r="F76" s="30"/>
      <c r="G76" s="30"/>
      <c r="H76" s="57"/>
      <c r="I76" s="24"/>
      <c r="J76" s="57"/>
      <c r="K76" s="57"/>
      <c r="L76" s="57"/>
      <c r="M76" s="57"/>
      <c r="N76" s="57"/>
      <c r="O76" s="24"/>
      <c r="P76" s="24"/>
      <c r="Q76" s="24"/>
      <c r="R76" s="24"/>
      <c r="S76" s="24"/>
      <c r="T76" s="24"/>
      <c r="U76" s="137"/>
      <c r="V76" s="24"/>
      <c r="W76" s="24"/>
      <c r="X76" s="24"/>
      <c r="Y76" s="137"/>
      <c r="Z76" s="24"/>
      <c r="AA76" s="24"/>
      <c r="AB76" s="24"/>
      <c r="AC76" s="166"/>
      <c r="AD76" s="166"/>
      <c r="AE76" s="166"/>
      <c r="AF76" s="166"/>
      <c r="AG76" s="166"/>
      <c r="AH76" s="166"/>
      <c r="AI76" s="166"/>
      <c r="AJ76" s="166"/>
      <c r="AK76" s="166"/>
      <c r="AL76" s="166"/>
      <c r="AM76" s="166"/>
      <c r="AN76" s="166"/>
      <c r="AO76" s="166"/>
      <c r="AP76" s="198" t="e">
        <f t="shared" si="2"/>
        <v>#VALUE!</v>
      </c>
      <c r="AQ76" s="137"/>
      <c r="AR76" s="151">
        <f>IF(B76="","",COUNTIF('Rel.Conjunts-Sistemes'!$B:$B,$B76))</f>
        <v>1</v>
      </c>
      <c r="AS76" s="151">
        <f>IF(B76="","",COUNTIF('Dominis de dades'!$B:$B,$D76))</f>
        <v>1</v>
      </c>
    </row>
    <row r="77" spans="1:45" s="19" customFormat="1" ht="33.75" thickBot="1" x14ac:dyDescent="0.3">
      <c r="A77" s="179"/>
      <c r="B77" s="181" t="s">
        <v>915</v>
      </c>
      <c r="C77" s="179" t="s">
        <v>730</v>
      </c>
      <c r="D77" s="179" t="s">
        <v>138</v>
      </c>
      <c r="E77" s="41"/>
      <c r="F77" s="30"/>
      <c r="G77" s="30"/>
      <c r="H77" s="57"/>
      <c r="I77" s="24"/>
      <c r="J77" s="57"/>
      <c r="K77" s="57"/>
      <c r="L77" s="57"/>
      <c r="M77" s="57"/>
      <c r="N77" s="57"/>
      <c r="O77" s="24"/>
      <c r="P77" s="24"/>
      <c r="Q77" s="24"/>
      <c r="R77" s="24"/>
      <c r="S77" s="24"/>
      <c r="T77" s="24"/>
      <c r="U77" s="137"/>
      <c r="V77" s="24"/>
      <c r="W77" s="24"/>
      <c r="X77" s="24"/>
      <c r="Y77" s="137"/>
      <c r="Z77" s="24"/>
      <c r="AA77" s="24"/>
      <c r="AB77" s="24"/>
      <c r="AC77" s="166"/>
      <c r="AD77" s="166"/>
      <c r="AE77" s="166"/>
      <c r="AF77" s="166"/>
      <c r="AG77" s="166"/>
      <c r="AH77" s="166"/>
      <c r="AI77" s="166"/>
      <c r="AJ77" s="166"/>
      <c r="AK77" s="166"/>
      <c r="AL77" s="166"/>
      <c r="AM77" s="166"/>
      <c r="AN77" s="166"/>
      <c r="AO77" s="166"/>
      <c r="AP77" s="198" t="e">
        <f t="shared" si="2"/>
        <v>#VALUE!</v>
      </c>
      <c r="AQ77" s="137"/>
      <c r="AR77" s="151">
        <f>IF(B77="","",COUNTIF('Rel.Conjunts-Sistemes'!$B:$B,$B77))</f>
        <v>1</v>
      </c>
      <c r="AS77" s="151">
        <f>IF(B77="","",COUNTIF('Dominis de dades'!$B:$B,$D77))</f>
        <v>1</v>
      </c>
    </row>
    <row r="78" spans="1:45" s="19" customFormat="1" ht="33.75" thickBot="1" x14ac:dyDescent="0.3">
      <c r="A78" s="179"/>
      <c r="B78" s="181" t="s">
        <v>916</v>
      </c>
      <c r="C78" s="179" t="s">
        <v>732</v>
      </c>
      <c r="D78" s="179" t="s">
        <v>138</v>
      </c>
      <c r="E78" s="41"/>
      <c r="F78" s="30"/>
      <c r="G78" s="30"/>
      <c r="H78" s="57"/>
      <c r="I78" s="24"/>
      <c r="J78" s="57"/>
      <c r="K78" s="57"/>
      <c r="L78" s="57"/>
      <c r="M78" s="57"/>
      <c r="N78" s="57"/>
      <c r="O78" s="24"/>
      <c r="P78" s="24"/>
      <c r="Q78" s="24"/>
      <c r="R78" s="24"/>
      <c r="S78" s="24"/>
      <c r="T78" s="24"/>
      <c r="U78" s="137"/>
      <c r="V78" s="24"/>
      <c r="W78" s="24"/>
      <c r="X78" s="24"/>
      <c r="Y78" s="137"/>
      <c r="Z78" s="24"/>
      <c r="AA78" s="24"/>
      <c r="AB78" s="24"/>
      <c r="AC78" s="166"/>
      <c r="AD78" s="166"/>
      <c r="AE78" s="166"/>
      <c r="AF78" s="166"/>
      <c r="AG78" s="166"/>
      <c r="AH78" s="166"/>
      <c r="AI78" s="166"/>
      <c r="AJ78" s="166"/>
      <c r="AK78" s="166"/>
      <c r="AL78" s="166"/>
      <c r="AM78" s="166"/>
      <c r="AN78" s="166"/>
      <c r="AO78" s="166"/>
      <c r="AP78" s="198" t="e">
        <f t="shared" si="2"/>
        <v>#VALUE!</v>
      </c>
      <c r="AQ78" s="137"/>
      <c r="AR78" s="151">
        <f>IF(B78="","",COUNTIF('Rel.Conjunts-Sistemes'!$B:$B,$B78))</f>
        <v>1</v>
      </c>
      <c r="AS78" s="151">
        <f>IF(B78="","",COUNTIF('Dominis de dades'!$B:$B,$D78))</f>
        <v>1</v>
      </c>
    </row>
    <row r="79" spans="1:45" s="19" customFormat="1" ht="33.75" thickBot="1" x14ac:dyDescent="0.3">
      <c r="A79" s="179"/>
      <c r="B79" s="181" t="s">
        <v>917</v>
      </c>
      <c r="C79" s="179" t="s">
        <v>734</v>
      </c>
      <c r="D79" s="179" t="s">
        <v>85</v>
      </c>
      <c r="E79" s="41"/>
      <c r="F79" s="30"/>
      <c r="G79" s="30"/>
      <c r="H79" s="57"/>
      <c r="I79" s="24"/>
      <c r="J79" s="57"/>
      <c r="K79" s="57"/>
      <c r="L79" s="57"/>
      <c r="M79" s="57"/>
      <c r="N79" s="57"/>
      <c r="O79" s="24"/>
      <c r="P79" s="24"/>
      <c r="Q79" s="24"/>
      <c r="R79" s="24"/>
      <c r="S79" s="24"/>
      <c r="T79" s="24"/>
      <c r="U79" s="137"/>
      <c r="V79" s="24"/>
      <c r="W79" s="24"/>
      <c r="X79" s="24"/>
      <c r="Y79" s="137"/>
      <c r="Z79" s="24"/>
      <c r="AA79" s="24"/>
      <c r="AB79" s="24"/>
      <c r="AC79" s="166"/>
      <c r="AD79" s="166"/>
      <c r="AE79" s="166"/>
      <c r="AF79" s="166"/>
      <c r="AG79" s="166"/>
      <c r="AH79" s="166"/>
      <c r="AI79" s="166"/>
      <c r="AJ79" s="166"/>
      <c r="AK79" s="166"/>
      <c r="AL79" s="166"/>
      <c r="AM79" s="166"/>
      <c r="AN79" s="166"/>
      <c r="AO79" s="166"/>
      <c r="AP79" s="198" t="e">
        <f t="shared" si="2"/>
        <v>#VALUE!</v>
      </c>
      <c r="AQ79" s="137"/>
      <c r="AR79" s="151">
        <f>IF(B79="","",COUNTIF('Rel.Conjunts-Sistemes'!$B:$B,$B79))</f>
        <v>0</v>
      </c>
      <c r="AS79" s="151">
        <f>IF(B79="","",COUNTIF('Dominis de dades'!$B:$B,$D79))</f>
        <v>1</v>
      </c>
    </row>
    <row r="80" spans="1:45" s="19" customFormat="1" ht="33.75" thickBot="1" x14ac:dyDescent="0.3">
      <c r="A80" s="179"/>
      <c r="B80" s="181" t="s">
        <v>918</v>
      </c>
      <c r="C80" s="179" t="s">
        <v>804</v>
      </c>
      <c r="D80" s="179" t="s">
        <v>85</v>
      </c>
      <c r="E80" s="41"/>
      <c r="F80" s="30"/>
      <c r="G80" s="30"/>
      <c r="H80" s="57"/>
      <c r="I80" s="24"/>
      <c r="J80" s="57"/>
      <c r="K80" s="57"/>
      <c r="L80" s="57"/>
      <c r="M80" s="57"/>
      <c r="N80" s="57"/>
      <c r="O80" s="24"/>
      <c r="P80" s="24"/>
      <c r="Q80" s="24"/>
      <c r="R80" s="24"/>
      <c r="S80" s="24"/>
      <c r="T80" s="24"/>
      <c r="U80" s="137"/>
      <c r="V80" s="24"/>
      <c r="W80" s="24"/>
      <c r="X80" s="24"/>
      <c r="Y80" s="137"/>
      <c r="Z80" s="24"/>
      <c r="AA80" s="24"/>
      <c r="AB80" s="24"/>
      <c r="AC80" s="166"/>
      <c r="AD80" s="166"/>
      <c r="AE80" s="166"/>
      <c r="AF80" s="166"/>
      <c r="AG80" s="166"/>
      <c r="AH80" s="166"/>
      <c r="AI80" s="166"/>
      <c r="AJ80" s="166"/>
      <c r="AK80" s="166"/>
      <c r="AL80" s="166"/>
      <c r="AM80" s="166"/>
      <c r="AN80" s="166"/>
      <c r="AO80" s="166"/>
      <c r="AP80" s="198" t="e">
        <f t="shared" si="2"/>
        <v>#VALUE!</v>
      </c>
      <c r="AQ80" s="137"/>
      <c r="AR80" s="151">
        <f>IF(B80="","",COUNTIF('Rel.Conjunts-Sistemes'!$B:$B,$B80))</f>
        <v>1</v>
      </c>
      <c r="AS80" s="151">
        <f>IF(B80="","",COUNTIF('Dominis de dades'!$B:$B,$D80))</f>
        <v>1</v>
      </c>
    </row>
    <row r="81" spans="1:45" s="19" customFormat="1" ht="33.75" thickBot="1" x14ac:dyDescent="0.3">
      <c r="A81" s="179"/>
      <c r="B81" s="181" t="s">
        <v>919</v>
      </c>
      <c r="C81" s="179" t="s">
        <v>737</v>
      </c>
      <c r="D81" s="179" t="s">
        <v>67</v>
      </c>
      <c r="E81" s="41"/>
      <c r="F81" s="30"/>
      <c r="G81" s="30"/>
      <c r="H81" s="57"/>
      <c r="I81" s="24"/>
      <c r="J81" s="57"/>
      <c r="K81" s="57"/>
      <c r="L81" s="57"/>
      <c r="M81" s="57"/>
      <c r="N81" s="57"/>
      <c r="O81" s="24"/>
      <c r="P81" s="24"/>
      <c r="Q81" s="24"/>
      <c r="R81" s="24"/>
      <c r="S81" s="24"/>
      <c r="T81" s="24"/>
      <c r="U81" s="137"/>
      <c r="V81" s="24"/>
      <c r="W81" s="24"/>
      <c r="X81" s="24"/>
      <c r="Y81" s="137"/>
      <c r="Z81" s="24"/>
      <c r="AA81" s="24"/>
      <c r="AB81" s="24"/>
      <c r="AC81" s="166"/>
      <c r="AD81" s="166"/>
      <c r="AE81" s="166"/>
      <c r="AF81" s="166"/>
      <c r="AG81" s="166"/>
      <c r="AH81" s="166"/>
      <c r="AI81" s="166"/>
      <c r="AJ81" s="166"/>
      <c r="AK81" s="166"/>
      <c r="AL81" s="166"/>
      <c r="AM81" s="166"/>
      <c r="AN81" s="166"/>
      <c r="AO81" s="166"/>
      <c r="AP81" s="198" t="e">
        <f t="shared" si="2"/>
        <v>#VALUE!</v>
      </c>
      <c r="AQ81" s="137"/>
      <c r="AR81" s="151">
        <f>IF(B81="","",COUNTIF('Rel.Conjunts-Sistemes'!$B:$B,$B81))</f>
        <v>1</v>
      </c>
      <c r="AS81" s="151">
        <f>IF(B81="","",COUNTIF('Dominis de dades'!$B:$B,$D81))</f>
        <v>1</v>
      </c>
    </row>
    <row r="82" spans="1:45" s="19" customFormat="1" ht="33.75" thickBot="1" x14ac:dyDescent="0.3">
      <c r="A82" s="179"/>
      <c r="B82" s="181" t="s">
        <v>920</v>
      </c>
      <c r="C82" s="179" t="s">
        <v>739</v>
      </c>
      <c r="D82" s="179" t="s">
        <v>63</v>
      </c>
      <c r="E82" s="41"/>
      <c r="F82" s="30"/>
      <c r="G82" s="30"/>
      <c r="H82" s="57"/>
      <c r="I82" s="24"/>
      <c r="J82" s="57"/>
      <c r="K82" s="57"/>
      <c r="L82" s="57"/>
      <c r="M82" s="57"/>
      <c r="N82" s="57"/>
      <c r="O82" s="24"/>
      <c r="P82" s="24"/>
      <c r="Q82" s="24"/>
      <c r="R82" s="24"/>
      <c r="S82" s="24"/>
      <c r="T82" s="24"/>
      <c r="U82" s="137"/>
      <c r="V82" s="24"/>
      <c r="W82" s="24"/>
      <c r="X82" s="24"/>
      <c r="Y82" s="137"/>
      <c r="Z82" s="24"/>
      <c r="AA82" s="24"/>
      <c r="AB82" s="24"/>
      <c r="AC82" s="166"/>
      <c r="AD82" s="166"/>
      <c r="AE82" s="166"/>
      <c r="AF82" s="166"/>
      <c r="AG82" s="166"/>
      <c r="AH82" s="166"/>
      <c r="AI82" s="166"/>
      <c r="AJ82" s="166"/>
      <c r="AK82" s="166"/>
      <c r="AL82" s="166"/>
      <c r="AM82" s="166"/>
      <c r="AN82" s="166"/>
      <c r="AO82" s="166"/>
      <c r="AP82" s="198" t="e">
        <f t="shared" si="2"/>
        <v>#VALUE!</v>
      </c>
      <c r="AQ82" s="137"/>
      <c r="AR82" s="151">
        <f>IF(B82="","",COUNTIF('Rel.Conjunts-Sistemes'!$B:$B,$B82))</f>
        <v>1</v>
      </c>
      <c r="AS82" s="151">
        <f>IF(B82="","",COUNTIF('Dominis de dades'!$B:$B,$D82))</f>
        <v>1</v>
      </c>
    </row>
    <row r="83" spans="1:45" s="19" customFormat="1" ht="33.75" thickBot="1" x14ac:dyDescent="0.3">
      <c r="A83" s="179"/>
      <c r="B83" s="181" t="s">
        <v>921</v>
      </c>
      <c r="C83" s="179" t="s">
        <v>741</v>
      </c>
      <c r="D83" s="179" t="s">
        <v>63</v>
      </c>
      <c r="E83" s="41"/>
      <c r="F83" s="30"/>
      <c r="G83" s="30"/>
      <c r="H83" s="57"/>
      <c r="I83" s="24"/>
      <c r="J83" s="57"/>
      <c r="K83" s="57"/>
      <c r="L83" s="57"/>
      <c r="M83" s="57"/>
      <c r="N83" s="57"/>
      <c r="O83" s="24"/>
      <c r="P83" s="24"/>
      <c r="Q83" s="24"/>
      <c r="R83" s="24"/>
      <c r="S83" s="24"/>
      <c r="T83" s="24"/>
      <c r="U83" s="137"/>
      <c r="V83" s="24"/>
      <c r="W83" s="24"/>
      <c r="X83" s="24"/>
      <c r="Y83" s="137"/>
      <c r="Z83" s="24"/>
      <c r="AA83" s="24"/>
      <c r="AB83" s="24"/>
      <c r="AC83" s="166"/>
      <c r="AD83" s="166"/>
      <c r="AE83" s="166"/>
      <c r="AF83" s="166"/>
      <c r="AG83" s="166"/>
      <c r="AH83" s="166"/>
      <c r="AI83" s="166"/>
      <c r="AJ83" s="166"/>
      <c r="AK83" s="166"/>
      <c r="AL83" s="166"/>
      <c r="AM83" s="166"/>
      <c r="AN83" s="166"/>
      <c r="AO83" s="166"/>
      <c r="AP83" s="198" t="e">
        <f t="shared" si="2"/>
        <v>#VALUE!</v>
      </c>
      <c r="AQ83" s="137"/>
      <c r="AR83" s="151">
        <f>IF(B83="","",COUNTIF('Rel.Conjunts-Sistemes'!$B:$B,$B83))</f>
        <v>1</v>
      </c>
      <c r="AS83" s="151">
        <f>IF(B83="","",COUNTIF('Dominis de dades'!$B:$B,$D83))</f>
        <v>1</v>
      </c>
    </row>
    <row r="84" spans="1:45" s="19" customFormat="1" ht="33.75" thickBot="1" x14ac:dyDescent="0.3">
      <c r="A84" s="179"/>
      <c r="B84" s="181" t="s">
        <v>922</v>
      </c>
      <c r="C84" s="179" t="s">
        <v>743</v>
      </c>
      <c r="D84" s="179" t="s">
        <v>63</v>
      </c>
      <c r="E84" s="41"/>
      <c r="F84" s="30"/>
      <c r="G84" s="30"/>
      <c r="H84" s="57"/>
      <c r="I84" s="24"/>
      <c r="J84" s="57"/>
      <c r="K84" s="57"/>
      <c r="L84" s="57"/>
      <c r="M84" s="57"/>
      <c r="N84" s="57"/>
      <c r="O84" s="24"/>
      <c r="P84" s="24"/>
      <c r="Q84" s="24"/>
      <c r="R84" s="24"/>
      <c r="S84" s="24"/>
      <c r="T84" s="24"/>
      <c r="U84" s="137"/>
      <c r="V84" s="24"/>
      <c r="W84" s="24"/>
      <c r="X84" s="24"/>
      <c r="Y84" s="137"/>
      <c r="Z84" s="24"/>
      <c r="AA84" s="24"/>
      <c r="AB84" s="24"/>
      <c r="AC84" s="166"/>
      <c r="AD84" s="166"/>
      <c r="AE84" s="166"/>
      <c r="AF84" s="166"/>
      <c r="AG84" s="166"/>
      <c r="AH84" s="166"/>
      <c r="AI84" s="166"/>
      <c r="AJ84" s="166"/>
      <c r="AK84" s="166"/>
      <c r="AL84" s="166"/>
      <c r="AM84" s="166"/>
      <c r="AN84" s="166"/>
      <c r="AO84" s="166"/>
      <c r="AP84" s="198" t="e">
        <f t="shared" si="2"/>
        <v>#VALUE!</v>
      </c>
      <c r="AQ84" s="137"/>
      <c r="AR84" s="151">
        <f>IF(B84="","",COUNTIF('Rel.Conjunts-Sistemes'!$B:$B,$B84))</f>
        <v>1</v>
      </c>
      <c r="AS84" s="151">
        <f>IF(B84="","",COUNTIF('Dominis de dades'!$B:$B,$D84))</f>
        <v>1</v>
      </c>
    </row>
    <row r="85" spans="1:45" s="19" customFormat="1" ht="33.75" thickBot="1" x14ac:dyDescent="0.3">
      <c r="A85" s="179"/>
      <c r="B85" s="181" t="s">
        <v>923</v>
      </c>
      <c r="C85" s="179" t="s">
        <v>745</v>
      </c>
      <c r="D85" s="179" t="s">
        <v>63</v>
      </c>
      <c r="E85" s="41"/>
      <c r="F85" s="30"/>
      <c r="G85" s="30"/>
      <c r="H85" s="57"/>
      <c r="I85" s="24"/>
      <c r="J85" s="57"/>
      <c r="K85" s="57"/>
      <c r="L85" s="57"/>
      <c r="M85" s="57"/>
      <c r="N85" s="57"/>
      <c r="O85" s="24"/>
      <c r="P85" s="24"/>
      <c r="Q85" s="24"/>
      <c r="R85" s="24"/>
      <c r="S85" s="24"/>
      <c r="T85" s="24"/>
      <c r="U85" s="137"/>
      <c r="V85" s="24"/>
      <c r="W85" s="24"/>
      <c r="X85" s="24"/>
      <c r="Y85" s="137"/>
      <c r="Z85" s="24"/>
      <c r="AA85" s="24"/>
      <c r="AB85" s="24"/>
      <c r="AC85" s="166"/>
      <c r="AD85" s="166"/>
      <c r="AE85" s="166"/>
      <c r="AF85" s="166"/>
      <c r="AG85" s="166"/>
      <c r="AH85" s="166"/>
      <c r="AI85" s="166"/>
      <c r="AJ85" s="166"/>
      <c r="AK85" s="166"/>
      <c r="AL85" s="166"/>
      <c r="AM85" s="166"/>
      <c r="AN85" s="166"/>
      <c r="AO85" s="166"/>
      <c r="AP85" s="198" t="e">
        <f t="shared" si="2"/>
        <v>#VALUE!</v>
      </c>
      <c r="AQ85" s="137"/>
      <c r="AR85" s="151">
        <f>IF(B85="","",COUNTIF('Rel.Conjunts-Sistemes'!$B:$B,$B85))</f>
        <v>1</v>
      </c>
      <c r="AS85" s="151">
        <f>IF(B85="","",COUNTIF('Dominis de dades'!$B:$B,$D85))</f>
        <v>1</v>
      </c>
    </row>
    <row r="86" spans="1:45" s="19" customFormat="1" ht="33.75" thickBot="1" x14ac:dyDescent="0.3">
      <c r="A86" s="179"/>
      <c r="B86" s="181" t="s">
        <v>882</v>
      </c>
      <c r="C86" s="179" t="s">
        <v>806</v>
      </c>
      <c r="D86" s="179" t="s">
        <v>63</v>
      </c>
      <c r="E86" s="41"/>
      <c r="F86" s="30"/>
      <c r="G86" s="30"/>
      <c r="H86" s="57"/>
      <c r="I86" s="24"/>
      <c r="J86" s="57"/>
      <c r="K86" s="57"/>
      <c r="L86" s="57"/>
      <c r="M86" s="57"/>
      <c r="N86" s="57"/>
      <c r="O86" s="24"/>
      <c r="P86" s="24"/>
      <c r="Q86" s="24"/>
      <c r="R86" s="24"/>
      <c r="S86" s="24"/>
      <c r="T86" s="24"/>
      <c r="U86" s="137"/>
      <c r="V86" s="24"/>
      <c r="W86" s="24"/>
      <c r="X86" s="24"/>
      <c r="Y86" s="137"/>
      <c r="Z86" s="24"/>
      <c r="AA86" s="24"/>
      <c r="AB86" s="24"/>
      <c r="AC86" s="166"/>
      <c r="AD86" s="166"/>
      <c r="AE86" s="166"/>
      <c r="AF86" s="166"/>
      <c r="AG86" s="166"/>
      <c r="AH86" s="166"/>
      <c r="AI86" s="166"/>
      <c r="AJ86" s="166"/>
      <c r="AK86" s="166"/>
      <c r="AL86" s="166"/>
      <c r="AM86" s="166"/>
      <c r="AN86" s="166"/>
      <c r="AO86" s="166"/>
      <c r="AP86" s="198" t="e">
        <f t="shared" si="2"/>
        <v>#VALUE!</v>
      </c>
      <c r="AQ86" s="137"/>
      <c r="AR86" s="151">
        <f>IF(B86="","",COUNTIF('Rel.Conjunts-Sistemes'!$B:$B,$B86))</f>
        <v>1</v>
      </c>
      <c r="AS86" s="151">
        <f>IF(B86="","",COUNTIF('Dominis de dades'!$B:$B,$D86))</f>
        <v>1</v>
      </c>
    </row>
    <row r="87" spans="1:45" s="19" customFormat="1" ht="33.75" thickBot="1" x14ac:dyDescent="0.3">
      <c r="A87" s="179"/>
      <c r="B87" s="181" t="s">
        <v>924</v>
      </c>
      <c r="C87" s="179" t="s">
        <v>766</v>
      </c>
      <c r="D87" s="179" t="s">
        <v>63</v>
      </c>
      <c r="E87" s="41"/>
      <c r="F87" s="30"/>
      <c r="G87" s="30"/>
      <c r="H87" s="57"/>
      <c r="I87" s="24"/>
      <c r="J87" s="57"/>
      <c r="K87" s="57"/>
      <c r="L87" s="57"/>
      <c r="M87" s="57"/>
      <c r="N87" s="57"/>
      <c r="O87" s="24"/>
      <c r="P87" s="24"/>
      <c r="Q87" s="24"/>
      <c r="R87" s="24"/>
      <c r="S87" s="24"/>
      <c r="T87" s="24"/>
      <c r="U87" s="137"/>
      <c r="V87" s="24"/>
      <c r="W87" s="24"/>
      <c r="X87" s="24"/>
      <c r="Y87" s="137"/>
      <c r="Z87" s="24"/>
      <c r="AA87" s="24"/>
      <c r="AB87" s="24"/>
      <c r="AC87" s="166"/>
      <c r="AD87" s="166"/>
      <c r="AE87" s="166"/>
      <c r="AF87" s="166"/>
      <c r="AG87" s="166"/>
      <c r="AH87" s="166"/>
      <c r="AI87" s="166"/>
      <c r="AJ87" s="166"/>
      <c r="AK87" s="166"/>
      <c r="AL87" s="166"/>
      <c r="AM87" s="166"/>
      <c r="AN87" s="166"/>
      <c r="AO87" s="166"/>
      <c r="AP87" s="198" t="e">
        <f t="shared" si="2"/>
        <v>#VALUE!</v>
      </c>
      <c r="AQ87" s="137"/>
      <c r="AR87" s="151">
        <f>IF(B87="","",COUNTIF('Rel.Conjunts-Sistemes'!$B:$B,$B87))</f>
        <v>1</v>
      </c>
      <c r="AS87" s="151">
        <f>IF(B87="","",COUNTIF('Dominis de dades'!$B:$B,$D87))</f>
        <v>1</v>
      </c>
    </row>
    <row r="88" spans="1:45" s="19" customFormat="1" ht="33.75" thickBot="1" x14ac:dyDescent="0.3">
      <c r="A88" s="179"/>
      <c r="B88" s="181" t="s">
        <v>925</v>
      </c>
      <c r="C88" s="179" t="s">
        <v>749</v>
      </c>
      <c r="D88" s="179" t="s">
        <v>129</v>
      </c>
      <c r="E88" s="41"/>
      <c r="F88" s="30"/>
      <c r="G88" s="30"/>
      <c r="H88" s="57"/>
      <c r="I88" s="24"/>
      <c r="J88" s="57"/>
      <c r="K88" s="57"/>
      <c r="L88" s="57"/>
      <c r="M88" s="57"/>
      <c r="N88" s="57"/>
      <c r="O88" s="24"/>
      <c r="P88" s="24"/>
      <c r="Q88" s="24"/>
      <c r="R88" s="24"/>
      <c r="S88" s="24"/>
      <c r="T88" s="24"/>
      <c r="U88" s="137"/>
      <c r="V88" s="24"/>
      <c r="W88" s="24"/>
      <c r="X88" s="24"/>
      <c r="Y88" s="137"/>
      <c r="Z88" s="24"/>
      <c r="AA88" s="24"/>
      <c r="AB88" s="24"/>
      <c r="AC88" s="166"/>
      <c r="AD88" s="166"/>
      <c r="AE88" s="166"/>
      <c r="AF88" s="166"/>
      <c r="AG88" s="166"/>
      <c r="AH88" s="166"/>
      <c r="AI88" s="166"/>
      <c r="AJ88" s="166"/>
      <c r="AK88" s="166"/>
      <c r="AL88" s="166"/>
      <c r="AM88" s="166"/>
      <c r="AN88" s="166"/>
      <c r="AO88" s="166"/>
      <c r="AP88" s="198" t="e">
        <f t="shared" si="2"/>
        <v>#VALUE!</v>
      </c>
      <c r="AQ88" s="137"/>
      <c r="AR88" s="151">
        <f>IF(B88="","",COUNTIF('Rel.Conjunts-Sistemes'!$B:$B,$B88))</f>
        <v>1</v>
      </c>
      <c r="AS88" s="151">
        <f>IF(B88="","",COUNTIF('Dominis de dades'!$B:$B,$D88))</f>
        <v>1</v>
      </c>
    </row>
    <row r="89" spans="1:45" s="19" customFormat="1" ht="33.75" thickBot="1" x14ac:dyDescent="0.3">
      <c r="A89" s="179"/>
      <c r="B89" s="181" t="s">
        <v>926</v>
      </c>
      <c r="C89" s="179" t="s">
        <v>751</v>
      </c>
      <c r="D89" s="179" t="s">
        <v>129</v>
      </c>
      <c r="E89" s="41"/>
      <c r="F89" s="30"/>
      <c r="G89" s="30"/>
      <c r="H89" s="57"/>
      <c r="I89" s="24"/>
      <c r="J89" s="57"/>
      <c r="K89" s="57"/>
      <c r="L89" s="57"/>
      <c r="M89" s="57"/>
      <c r="N89" s="57"/>
      <c r="O89" s="24"/>
      <c r="P89" s="24"/>
      <c r="Q89" s="24"/>
      <c r="R89" s="24"/>
      <c r="S89" s="24"/>
      <c r="T89" s="24"/>
      <c r="U89" s="137"/>
      <c r="V89" s="24"/>
      <c r="W89" s="24"/>
      <c r="X89" s="24"/>
      <c r="Y89" s="137"/>
      <c r="Z89" s="24"/>
      <c r="AA89" s="24"/>
      <c r="AB89" s="24"/>
      <c r="AC89" s="166"/>
      <c r="AD89" s="166"/>
      <c r="AE89" s="166"/>
      <c r="AF89" s="166"/>
      <c r="AG89" s="166"/>
      <c r="AH89" s="166"/>
      <c r="AI89" s="166"/>
      <c r="AJ89" s="166"/>
      <c r="AK89" s="166"/>
      <c r="AL89" s="166"/>
      <c r="AM89" s="166"/>
      <c r="AN89" s="166"/>
      <c r="AO89" s="166"/>
      <c r="AP89" s="198" t="e">
        <f t="shared" si="2"/>
        <v>#VALUE!</v>
      </c>
      <c r="AQ89" s="137"/>
      <c r="AR89" s="151">
        <f>IF(B89="","",COUNTIF('Rel.Conjunts-Sistemes'!$B:$B,$B89))</f>
        <v>0</v>
      </c>
      <c r="AS89" s="151">
        <f>IF(B89="","",COUNTIF('Dominis de dades'!$B:$B,$D89))</f>
        <v>1</v>
      </c>
    </row>
    <row r="90" spans="1:45" s="19" customFormat="1" ht="33.75" thickBot="1" x14ac:dyDescent="0.3">
      <c r="A90" s="179"/>
      <c r="B90" s="181" t="s">
        <v>927</v>
      </c>
      <c r="C90" s="179" t="s">
        <v>789</v>
      </c>
      <c r="D90" s="179" t="s">
        <v>59</v>
      </c>
      <c r="E90" s="41"/>
      <c r="F90" s="30"/>
      <c r="G90" s="30"/>
      <c r="H90" s="57"/>
      <c r="I90" s="24"/>
      <c r="J90" s="57"/>
      <c r="K90" s="57"/>
      <c r="L90" s="57"/>
      <c r="M90" s="57"/>
      <c r="N90" s="57"/>
      <c r="O90" s="24"/>
      <c r="P90" s="24"/>
      <c r="Q90" s="24"/>
      <c r="R90" s="24"/>
      <c r="S90" s="24"/>
      <c r="T90" s="24"/>
      <c r="U90" s="137"/>
      <c r="V90" s="24"/>
      <c r="W90" s="24"/>
      <c r="X90" s="24"/>
      <c r="Y90" s="137"/>
      <c r="Z90" s="24"/>
      <c r="AA90" s="24"/>
      <c r="AB90" s="24"/>
      <c r="AC90" s="166"/>
      <c r="AD90" s="166"/>
      <c r="AE90" s="166"/>
      <c r="AF90" s="166"/>
      <c r="AG90" s="166"/>
      <c r="AH90" s="166"/>
      <c r="AI90" s="166"/>
      <c r="AJ90" s="166"/>
      <c r="AK90" s="166"/>
      <c r="AL90" s="166"/>
      <c r="AM90" s="166"/>
      <c r="AN90" s="166"/>
      <c r="AO90" s="166"/>
      <c r="AP90" s="198" t="e">
        <f t="shared" si="2"/>
        <v>#VALUE!</v>
      </c>
      <c r="AQ90" s="137"/>
      <c r="AR90" s="151">
        <f>IF(B90="","",COUNTIF('Rel.Conjunts-Sistemes'!$B:$B,$B90))</f>
        <v>1</v>
      </c>
      <c r="AS90" s="151">
        <f>IF(B90="","",COUNTIF('Dominis de dades'!$B:$B,$D90))</f>
        <v>1</v>
      </c>
    </row>
    <row r="91" spans="1:45" s="19" customFormat="1" ht="33.75" thickBot="1" x14ac:dyDescent="0.3">
      <c r="A91" s="179"/>
      <c r="B91" s="181" t="s">
        <v>928</v>
      </c>
      <c r="C91" s="179" t="s">
        <v>760</v>
      </c>
      <c r="D91" s="179" t="s">
        <v>860</v>
      </c>
      <c r="E91" s="41"/>
      <c r="F91" s="30"/>
      <c r="G91" s="30"/>
      <c r="H91" s="57"/>
      <c r="I91" s="24"/>
      <c r="J91" s="57"/>
      <c r="K91" s="57"/>
      <c r="L91" s="57"/>
      <c r="M91" s="57"/>
      <c r="N91" s="57"/>
      <c r="O91" s="24"/>
      <c r="P91" s="24"/>
      <c r="Q91" s="24"/>
      <c r="R91" s="24"/>
      <c r="S91" s="24"/>
      <c r="T91" s="24"/>
      <c r="U91" s="137"/>
      <c r="V91" s="24"/>
      <c r="W91" s="24"/>
      <c r="X91" s="24"/>
      <c r="Y91" s="137"/>
      <c r="Z91" s="24"/>
      <c r="AA91" s="24"/>
      <c r="AB91" s="24"/>
      <c r="AC91" s="166"/>
      <c r="AD91" s="166"/>
      <c r="AE91" s="166"/>
      <c r="AF91" s="166"/>
      <c r="AG91" s="166"/>
      <c r="AH91" s="166"/>
      <c r="AI91" s="166"/>
      <c r="AJ91" s="166"/>
      <c r="AK91" s="166"/>
      <c r="AL91" s="166"/>
      <c r="AM91" s="166"/>
      <c r="AN91" s="166"/>
      <c r="AO91" s="166"/>
      <c r="AP91" s="198" t="e">
        <f t="shared" si="2"/>
        <v>#VALUE!</v>
      </c>
      <c r="AQ91" s="137"/>
      <c r="AR91" s="151">
        <f>IF(B91="","",COUNTIF('Rel.Conjunts-Sistemes'!$B:$B,$B91))</f>
        <v>1</v>
      </c>
      <c r="AS91" s="151">
        <f>IF(B91="","",COUNTIF('Dominis de dades'!$B:$B,$D91))</f>
        <v>1</v>
      </c>
    </row>
    <row r="92" spans="1:45" s="19" customFormat="1" ht="50.25" thickBot="1" x14ac:dyDescent="0.3">
      <c r="A92" s="179"/>
      <c r="B92" s="181" t="s">
        <v>929</v>
      </c>
      <c r="C92" s="179" t="s">
        <v>762</v>
      </c>
      <c r="D92" s="179" t="s">
        <v>860</v>
      </c>
      <c r="E92" s="41"/>
      <c r="F92" s="30"/>
      <c r="G92" s="30"/>
      <c r="H92" s="57"/>
      <c r="I92" s="24"/>
      <c r="J92" s="57"/>
      <c r="K92" s="57"/>
      <c r="L92" s="57"/>
      <c r="M92" s="57"/>
      <c r="N92" s="57"/>
      <c r="O92" s="24"/>
      <c r="P92" s="24"/>
      <c r="Q92" s="24"/>
      <c r="R92" s="24"/>
      <c r="S92" s="24"/>
      <c r="T92" s="24"/>
      <c r="U92" s="137"/>
      <c r="V92" s="24"/>
      <c r="W92" s="24"/>
      <c r="X92" s="24"/>
      <c r="Y92" s="137"/>
      <c r="Z92" s="24"/>
      <c r="AA92" s="24"/>
      <c r="AB92" s="24"/>
      <c r="AC92" s="166"/>
      <c r="AD92" s="166"/>
      <c r="AE92" s="166"/>
      <c r="AF92" s="166"/>
      <c r="AG92" s="166"/>
      <c r="AH92" s="166"/>
      <c r="AI92" s="166"/>
      <c r="AJ92" s="166"/>
      <c r="AK92" s="166"/>
      <c r="AL92" s="166"/>
      <c r="AM92" s="166"/>
      <c r="AN92" s="166"/>
      <c r="AO92" s="166"/>
      <c r="AP92" s="198" t="e">
        <f t="shared" si="2"/>
        <v>#VALUE!</v>
      </c>
      <c r="AQ92" s="137"/>
      <c r="AR92" s="151">
        <f>IF(B92="","",COUNTIF('Rel.Conjunts-Sistemes'!$B:$B,$B92))</f>
        <v>1</v>
      </c>
      <c r="AS92" s="151">
        <f>IF(B92="","",COUNTIF('Dominis de dades'!$B:$B,$D92))</f>
        <v>1</v>
      </c>
    </row>
    <row r="93" spans="1:45" s="19" customFormat="1" ht="33.75" thickBot="1" x14ac:dyDescent="0.3">
      <c r="A93" s="179"/>
      <c r="B93" s="181" t="s">
        <v>930</v>
      </c>
      <c r="C93" s="179" t="s">
        <v>764</v>
      </c>
      <c r="D93" s="179" t="s">
        <v>860</v>
      </c>
      <c r="E93" s="41"/>
      <c r="F93" s="30"/>
      <c r="G93" s="30"/>
      <c r="H93" s="57"/>
      <c r="I93" s="24"/>
      <c r="J93" s="57"/>
      <c r="K93" s="57"/>
      <c r="L93" s="57"/>
      <c r="M93" s="57"/>
      <c r="N93" s="57"/>
      <c r="O93" s="24"/>
      <c r="P93" s="24"/>
      <c r="Q93" s="24"/>
      <c r="R93" s="24"/>
      <c r="S93" s="24"/>
      <c r="T93" s="24"/>
      <c r="U93" s="137"/>
      <c r="V93" s="24"/>
      <c r="W93" s="24"/>
      <c r="X93" s="24"/>
      <c r="Y93" s="137"/>
      <c r="Z93" s="24"/>
      <c r="AA93" s="24"/>
      <c r="AB93" s="24"/>
      <c r="AC93" s="166"/>
      <c r="AD93" s="166"/>
      <c r="AE93" s="166"/>
      <c r="AF93" s="166"/>
      <c r="AG93" s="166"/>
      <c r="AH93" s="166"/>
      <c r="AI93" s="166"/>
      <c r="AJ93" s="166"/>
      <c r="AK93" s="166"/>
      <c r="AL93" s="166"/>
      <c r="AM93" s="166"/>
      <c r="AN93" s="166"/>
      <c r="AO93" s="166"/>
      <c r="AP93" s="198" t="e">
        <f t="shared" si="2"/>
        <v>#VALUE!</v>
      </c>
      <c r="AQ93" s="137"/>
      <c r="AR93" s="151">
        <f>IF(B93="","",COUNTIF('Rel.Conjunts-Sistemes'!$B:$B,$B93))</f>
        <v>0</v>
      </c>
      <c r="AS93" s="151">
        <f>IF(B93="","",COUNTIF('Dominis de dades'!$B:$B,$D93))</f>
        <v>1</v>
      </c>
    </row>
    <row r="94" spans="1:45" s="19" customFormat="1" ht="33.75" thickBot="1" x14ac:dyDescent="0.3">
      <c r="A94" s="179"/>
      <c r="B94" s="181" t="s">
        <v>931</v>
      </c>
      <c r="C94" s="179" t="s">
        <v>768</v>
      </c>
      <c r="D94" s="179" t="s">
        <v>532</v>
      </c>
      <c r="E94" s="41"/>
      <c r="F94" s="30"/>
      <c r="G94" s="30"/>
      <c r="H94" s="57"/>
      <c r="I94" s="24"/>
      <c r="J94" s="57"/>
      <c r="K94" s="57"/>
      <c r="L94" s="57"/>
      <c r="M94" s="57"/>
      <c r="N94" s="57"/>
      <c r="O94" s="24"/>
      <c r="P94" s="24"/>
      <c r="Q94" s="24"/>
      <c r="R94" s="24"/>
      <c r="S94" s="24"/>
      <c r="T94" s="24"/>
      <c r="U94" s="137"/>
      <c r="V94" s="24"/>
      <c r="W94" s="24"/>
      <c r="X94" s="24"/>
      <c r="Y94" s="137"/>
      <c r="Z94" s="24"/>
      <c r="AA94" s="24"/>
      <c r="AB94" s="24"/>
      <c r="AC94" s="166"/>
      <c r="AD94" s="166"/>
      <c r="AE94" s="166"/>
      <c r="AF94" s="166"/>
      <c r="AG94" s="166"/>
      <c r="AH94" s="166"/>
      <c r="AI94" s="166"/>
      <c r="AJ94" s="166"/>
      <c r="AK94" s="166"/>
      <c r="AL94" s="166"/>
      <c r="AM94" s="166"/>
      <c r="AN94" s="166"/>
      <c r="AO94" s="166"/>
      <c r="AP94" s="198" t="e">
        <f t="shared" si="2"/>
        <v>#VALUE!</v>
      </c>
      <c r="AQ94" s="137"/>
      <c r="AR94" s="151">
        <f>IF(B94="","",COUNTIF('Rel.Conjunts-Sistemes'!$B:$B,$B94))</f>
        <v>1</v>
      </c>
      <c r="AS94" s="151">
        <f>IF(B94="","",COUNTIF('Dominis de dades'!$B:$B,$D94))</f>
        <v>1</v>
      </c>
    </row>
    <row r="95" spans="1:45" s="19" customFormat="1" ht="50.25" thickBot="1" x14ac:dyDescent="0.3">
      <c r="A95" s="179"/>
      <c r="B95" s="181" t="s">
        <v>932</v>
      </c>
      <c r="C95" s="179" t="s">
        <v>936</v>
      </c>
      <c r="D95" s="179" t="s">
        <v>532</v>
      </c>
      <c r="E95" s="41"/>
      <c r="F95" s="30"/>
      <c r="G95" s="30"/>
      <c r="H95" s="57"/>
      <c r="I95" s="24"/>
      <c r="J95" s="57"/>
      <c r="K95" s="57"/>
      <c r="L95" s="57"/>
      <c r="M95" s="57"/>
      <c r="N95" s="57"/>
      <c r="O95" s="24"/>
      <c r="P95" s="24"/>
      <c r="Q95" s="24"/>
      <c r="R95" s="24"/>
      <c r="S95" s="24"/>
      <c r="T95" s="24"/>
      <c r="U95" s="137"/>
      <c r="V95" s="24"/>
      <c r="W95" s="24"/>
      <c r="X95" s="24"/>
      <c r="Y95" s="137"/>
      <c r="Z95" s="24"/>
      <c r="AA95" s="24"/>
      <c r="AB95" s="24"/>
      <c r="AC95" s="166"/>
      <c r="AD95" s="166"/>
      <c r="AE95" s="166"/>
      <c r="AF95" s="166"/>
      <c r="AG95" s="166"/>
      <c r="AH95" s="166"/>
      <c r="AI95" s="166"/>
      <c r="AJ95" s="166"/>
      <c r="AK95" s="166"/>
      <c r="AL95" s="166"/>
      <c r="AM95" s="166"/>
      <c r="AN95" s="166"/>
      <c r="AO95" s="166"/>
      <c r="AP95" s="198" t="e">
        <f t="shared" si="2"/>
        <v>#VALUE!</v>
      </c>
      <c r="AQ95" s="137"/>
      <c r="AR95" s="151">
        <f>IF(B95="","",COUNTIF('Rel.Conjunts-Sistemes'!$B:$B,$B95))</f>
        <v>1</v>
      </c>
      <c r="AS95" s="151">
        <f>IF(B95="","",COUNTIF('Dominis de dades'!$B:$B,$D95))</f>
        <v>1</v>
      </c>
    </row>
    <row r="96" spans="1:45" s="19" customFormat="1" ht="33.75" thickBot="1" x14ac:dyDescent="0.3">
      <c r="A96" s="179"/>
      <c r="B96" s="181" t="s">
        <v>933</v>
      </c>
      <c r="C96" s="179" t="s">
        <v>771</v>
      </c>
      <c r="D96" s="179" t="s">
        <v>532</v>
      </c>
      <c r="E96" s="41"/>
      <c r="F96" s="30"/>
      <c r="G96" s="30"/>
      <c r="H96" s="57"/>
      <c r="I96" s="24"/>
      <c r="J96" s="57"/>
      <c r="K96" s="57"/>
      <c r="L96" s="57"/>
      <c r="M96" s="57"/>
      <c r="N96" s="57"/>
      <c r="O96" s="24"/>
      <c r="P96" s="24"/>
      <c r="Q96" s="24"/>
      <c r="R96" s="24"/>
      <c r="S96" s="24"/>
      <c r="T96" s="24"/>
      <c r="U96" s="137"/>
      <c r="V96" s="24"/>
      <c r="W96" s="24"/>
      <c r="X96" s="24"/>
      <c r="Y96" s="137"/>
      <c r="Z96" s="24"/>
      <c r="AA96" s="24"/>
      <c r="AB96" s="24"/>
      <c r="AC96" s="166"/>
      <c r="AD96" s="166"/>
      <c r="AE96" s="166"/>
      <c r="AF96" s="166"/>
      <c r="AG96" s="166"/>
      <c r="AH96" s="166"/>
      <c r="AI96" s="166"/>
      <c r="AJ96" s="166"/>
      <c r="AK96" s="166"/>
      <c r="AL96" s="166"/>
      <c r="AM96" s="166"/>
      <c r="AN96" s="166"/>
      <c r="AO96" s="166"/>
      <c r="AP96" s="198" t="e">
        <f t="shared" si="2"/>
        <v>#VALUE!</v>
      </c>
      <c r="AQ96" s="137"/>
      <c r="AR96" s="151">
        <f>IF(B96="","",COUNTIF('Rel.Conjunts-Sistemes'!$B:$B,$B96))</f>
        <v>1</v>
      </c>
      <c r="AS96" s="151">
        <f>IF(B96="","",COUNTIF('Dominis de dades'!$B:$B,$D96))</f>
        <v>1</v>
      </c>
    </row>
    <row r="97" spans="1:45" s="19" customFormat="1" ht="50.25" thickBot="1" x14ac:dyDescent="0.3">
      <c r="A97" s="179"/>
      <c r="B97" s="181" t="s">
        <v>934</v>
      </c>
      <c r="C97" s="179" t="s">
        <v>773</v>
      </c>
      <c r="D97" s="179" t="s">
        <v>532</v>
      </c>
      <c r="E97" s="41"/>
      <c r="F97" s="30"/>
      <c r="G97" s="30"/>
      <c r="H97" s="57"/>
      <c r="I97" s="24"/>
      <c r="J97" s="57"/>
      <c r="K97" s="57"/>
      <c r="L97" s="57"/>
      <c r="M97" s="57"/>
      <c r="N97" s="57"/>
      <c r="O97" s="24"/>
      <c r="P97" s="24"/>
      <c r="Q97" s="24"/>
      <c r="R97" s="24"/>
      <c r="S97" s="24"/>
      <c r="T97" s="24"/>
      <c r="U97" s="137"/>
      <c r="V97" s="24"/>
      <c r="W97" s="24"/>
      <c r="X97" s="24"/>
      <c r="Y97" s="137"/>
      <c r="Z97" s="24"/>
      <c r="AA97" s="24"/>
      <c r="AB97" s="24"/>
      <c r="AC97" s="166"/>
      <c r="AD97" s="166"/>
      <c r="AE97" s="166"/>
      <c r="AF97" s="166"/>
      <c r="AG97" s="166"/>
      <c r="AH97" s="166"/>
      <c r="AI97" s="166"/>
      <c r="AJ97" s="166"/>
      <c r="AK97" s="166"/>
      <c r="AL97" s="166"/>
      <c r="AM97" s="166"/>
      <c r="AN97" s="166"/>
      <c r="AO97" s="166"/>
      <c r="AP97" s="198" t="e">
        <f t="shared" si="2"/>
        <v>#VALUE!</v>
      </c>
      <c r="AQ97" s="137"/>
      <c r="AR97" s="151">
        <f>IF(B97="","",COUNTIF('Rel.Conjunts-Sistemes'!$B:$B,$B97))</f>
        <v>1</v>
      </c>
      <c r="AS97" s="151">
        <f>IF(B97="","",COUNTIF('Dominis de dades'!$B:$B,$D97))</f>
        <v>1</v>
      </c>
    </row>
    <row r="98" spans="1:45" s="19" customFormat="1" ht="50.25" thickBot="1" x14ac:dyDescent="0.3">
      <c r="A98" s="179"/>
      <c r="B98" s="181" t="s">
        <v>935</v>
      </c>
      <c r="C98" s="179" t="s">
        <v>797</v>
      </c>
      <c r="D98" s="179" t="s">
        <v>532</v>
      </c>
      <c r="E98" s="41"/>
      <c r="F98" s="30"/>
      <c r="G98" s="30"/>
      <c r="H98" s="57"/>
      <c r="I98" s="24"/>
      <c r="J98" s="57"/>
      <c r="K98" s="57"/>
      <c r="L98" s="57"/>
      <c r="M98" s="57"/>
      <c r="N98" s="57"/>
      <c r="O98" s="24"/>
      <c r="P98" s="24"/>
      <c r="Q98" s="24"/>
      <c r="R98" s="24"/>
      <c r="S98" s="24"/>
      <c r="T98" s="24"/>
      <c r="U98" s="137"/>
      <c r="V98" s="24"/>
      <c r="W98" s="24"/>
      <c r="X98" s="24"/>
      <c r="Y98" s="137"/>
      <c r="Z98" s="24"/>
      <c r="AA98" s="24"/>
      <c r="AB98" s="24"/>
      <c r="AC98" s="166"/>
      <c r="AD98" s="166"/>
      <c r="AE98" s="166"/>
      <c r="AF98" s="166"/>
      <c r="AG98" s="166"/>
      <c r="AH98" s="166"/>
      <c r="AI98" s="166"/>
      <c r="AJ98" s="166"/>
      <c r="AK98" s="166"/>
      <c r="AL98" s="166"/>
      <c r="AM98" s="166"/>
      <c r="AN98" s="166"/>
      <c r="AO98" s="166"/>
      <c r="AP98" s="198" t="e">
        <f t="shared" si="2"/>
        <v>#VALUE!</v>
      </c>
      <c r="AQ98" s="137"/>
      <c r="AR98" s="151">
        <f>IF(B98="","",COUNTIF('Rel.Conjunts-Sistemes'!$B:$B,$B98))</f>
        <v>1</v>
      </c>
      <c r="AS98" s="151">
        <f>IF(B98="","",COUNTIF('Dominis de dades'!$B:$B,$D98))</f>
        <v>1</v>
      </c>
    </row>
    <row r="99" spans="1:45" s="19" customFormat="1" ht="50.25" thickBot="1" x14ac:dyDescent="0.3">
      <c r="A99" s="179"/>
      <c r="B99" s="181" t="s">
        <v>937</v>
      </c>
      <c r="C99" s="179" t="s">
        <v>938</v>
      </c>
      <c r="D99" s="179" t="s">
        <v>532</v>
      </c>
      <c r="E99" s="41"/>
      <c r="F99" s="30"/>
      <c r="G99" s="30"/>
      <c r="H99" s="57"/>
      <c r="I99" s="24"/>
      <c r="J99" s="57"/>
      <c r="K99" s="57"/>
      <c r="L99" s="57"/>
      <c r="M99" s="57"/>
      <c r="N99" s="57"/>
      <c r="O99" s="24"/>
      <c r="P99" s="24"/>
      <c r="Q99" s="24"/>
      <c r="R99" s="24"/>
      <c r="S99" s="24"/>
      <c r="T99" s="24"/>
      <c r="U99" s="137"/>
      <c r="V99" s="24"/>
      <c r="W99" s="24"/>
      <c r="X99" s="24"/>
      <c r="Y99" s="137"/>
      <c r="Z99" s="24"/>
      <c r="AA99" s="24"/>
      <c r="AB99" s="24"/>
      <c r="AC99" s="166"/>
      <c r="AD99" s="166"/>
      <c r="AE99" s="166"/>
      <c r="AF99" s="166"/>
      <c r="AG99" s="166"/>
      <c r="AH99" s="166"/>
      <c r="AI99" s="166"/>
      <c r="AJ99" s="166"/>
      <c r="AK99" s="166"/>
      <c r="AL99" s="166"/>
      <c r="AM99" s="166"/>
      <c r="AN99" s="166"/>
      <c r="AO99" s="166"/>
      <c r="AP99" s="198" t="e">
        <f t="shared" si="2"/>
        <v>#VALUE!</v>
      </c>
      <c r="AQ99" s="137"/>
      <c r="AR99" s="151">
        <f>IF(B99="","",COUNTIF('Rel.Conjunts-Sistemes'!$B:$B,$B99))</f>
        <v>1</v>
      </c>
      <c r="AS99" s="151">
        <f>IF(B99="","",COUNTIF('Dominis de dades'!$B:$B,$D99))</f>
        <v>1</v>
      </c>
    </row>
    <row r="100" spans="1:45" s="19" customFormat="1" ht="33.75" thickBot="1" x14ac:dyDescent="0.3">
      <c r="A100" s="179"/>
      <c r="B100" s="181" t="s">
        <v>939</v>
      </c>
      <c r="C100" s="179" t="s">
        <v>775</v>
      </c>
      <c r="D100" s="179" t="s">
        <v>579</v>
      </c>
      <c r="E100" s="41"/>
      <c r="F100" s="30"/>
      <c r="G100" s="30"/>
      <c r="H100" s="57"/>
      <c r="I100" s="24"/>
      <c r="J100" s="57"/>
      <c r="K100" s="57"/>
      <c r="L100" s="57"/>
      <c r="M100" s="57"/>
      <c r="N100" s="57"/>
      <c r="O100" s="24"/>
      <c r="P100" s="24"/>
      <c r="Q100" s="24"/>
      <c r="R100" s="24"/>
      <c r="S100" s="24"/>
      <c r="T100" s="24"/>
      <c r="U100" s="137"/>
      <c r="V100" s="24"/>
      <c r="W100" s="24"/>
      <c r="X100" s="24"/>
      <c r="Y100" s="137"/>
      <c r="Z100" s="24"/>
      <c r="AA100" s="24"/>
      <c r="AB100" s="24"/>
      <c r="AC100" s="166"/>
      <c r="AD100" s="166"/>
      <c r="AE100" s="166"/>
      <c r="AF100" s="166"/>
      <c r="AG100" s="166"/>
      <c r="AH100" s="166"/>
      <c r="AI100" s="166"/>
      <c r="AJ100" s="166"/>
      <c r="AK100" s="166"/>
      <c r="AL100" s="166"/>
      <c r="AM100" s="166"/>
      <c r="AN100" s="166"/>
      <c r="AO100" s="166"/>
      <c r="AP100" s="198" t="e">
        <f t="shared" si="2"/>
        <v>#VALUE!</v>
      </c>
      <c r="AQ100" s="137"/>
      <c r="AR100" s="151">
        <f>IF(B100="","",COUNTIF('Rel.Conjunts-Sistemes'!$B:$B,$B100))</f>
        <v>1</v>
      </c>
      <c r="AS100" s="151">
        <f>IF(B100="","",COUNTIF('Dominis de dades'!$B:$B,$D100))</f>
        <v>1</v>
      </c>
    </row>
    <row r="101" spans="1:45" s="19" customFormat="1" ht="33.75" thickBot="1" x14ac:dyDescent="0.3">
      <c r="A101" s="179"/>
      <c r="B101" s="181" t="s">
        <v>940</v>
      </c>
      <c r="C101" s="179" t="s">
        <v>782</v>
      </c>
      <c r="D101" s="179" t="s">
        <v>579</v>
      </c>
      <c r="E101" s="41"/>
      <c r="F101" s="30"/>
      <c r="G101" s="30"/>
      <c r="H101" s="57"/>
      <c r="I101" s="24"/>
      <c r="J101" s="57"/>
      <c r="K101" s="57"/>
      <c r="L101" s="57"/>
      <c r="M101" s="57"/>
      <c r="N101" s="57"/>
      <c r="O101" s="24"/>
      <c r="P101" s="24"/>
      <c r="Q101" s="24"/>
      <c r="R101" s="24"/>
      <c r="S101" s="24"/>
      <c r="T101" s="24"/>
      <c r="U101" s="137"/>
      <c r="V101" s="24"/>
      <c r="W101" s="24"/>
      <c r="X101" s="24"/>
      <c r="Y101" s="137"/>
      <c r="Z101" s="24"/>
      <c r="AA101" s="24"/>
      <c r="AB101" s="24"/>
      <c r="AC101" s="166"/>
      <c r="AD101" s="166"/>
      <c r="AE101" s="166"/>
      <c r="AF101" s="166"/>
      <c r="AG101" s="166"/>
      <c r="AH101" s="166"/>
      <c r="AI101" s="166"/>
      <c r="AJ101" s="166"/>
      <c r="AK101" s="166"/>
      <c r="AL101" s="166"/>
      <c r="AM101" s="166"/>
      <c r="AN101" s="166"/>
      <c r="AO101" s="166"/>
      <c r="AP101" s="198" t="e">
        <f t="shared" si="2"/>
        <v>#VALUE!</v>
      </c>
      <c r="AQ101" s="137"/>
      <c r="AR101" s="151">
        <f>IF(B101="","",COUNTIF('Rel.Conjunts-Sistemes'!$B:$B,$B101))</f>
        <v>1</v>
      </c>
      <c r="AS101" s="151">
        <f>IF(B101="","",COUNTIF('Dominis de dades'!$B:$B,$D101))</f>
        <v>1</v>
      </c>
    </row>
    <row r="102" spans="1:45" s="19" customFormat="1" ht="33.75" thickBot="1" x14ac:dyDescent="0.3">
      <c r="A102" s="179"/>
      <c r="B102" s="181" t="s">
        <v>941</v>
      </c>
      <c r="C102" s="179" t="s">
        <v>784</v>
      </c>
      <c r="D102" s="179" t="s">
        <v>409</v>
      </c>
      <c r="E102" s="41"/>
      <c r="F102" s="30"/>
      <c r="G102" s="30"/>
      <c r="H102" s="57"/>
      <c r="I102" s="24"/>
      <c r="J102" s="57"/>
      <c r="K102" s="57"/>
      <c r="L102" s="57"/>
      <c r="M102" s="57"/>
      <c r="N102" s="57"/>
      <c r="O102" s="24"/>
      <c r="P102" s="24"/>
      <c r="Q102" s="24"/>
      <c r="R102" s="24"/>
      <c r="S102" s="24"/>
      <c r="T102" s="24"/>
      <c r="U102" s="137"/>
      <c r="V102" s="24"/>
      <c r="W102" s="24"/>
      <c r="X102" s="24"/>
      <c r="Y102" s="137"/>
      <c r="Z102" s="24"/>
      <c r="AA102" s="24"/>
      <c r="AB102" s="24"/>
      <c r="AC102" s="166"/>
      <c r="AD102" s="166"/>
      <c r="AE102" s="166"/>
      <c r="AF102" s="166"/>
      <c r="AG102" s="166"/>
      <c r="AH102" s="166"/>
      <c r="AI102" s="166"/>
      <c r="AJ102" s="166"/>
      <c r="AK102" s="166"/>
      <c r="AL102" s="166"/>
      <c r="AM102" s="166"/>
      <c r="AN102" s="166"/>
      <c r="AO102" s="166"/>
      <c r="AP102" s="198" t="e">
        <f t="shared" si="2"/>
        <v>#VALUE!</v>
      </c>
      <c r="AQ102" s="137"/>
      <c r="AR102" s="151">
        <f>IF(B102="","",COUNTIF('Rel.Conjunts-Sistemes'!$B:$B,$B102))</f>
        <v>1</v>
      </c>
      <c r="AS102" s="151">
        <f>IF(B102="","",COUNTIF('Dominis de dades'!$B:$B,$D102))</f>
        <v>1</v>
      </c>
    </row>
    <row r="103" spans="1:45" s="19" customFormat="1" ht="33.75" thickBot="1" x14ac:dyDescent="0.3">
      <c r="A103" s="179"/>
      <c r="B103" s="181" t="s">
        <v>942</v>
      </c>
      <c r="C103" s="179" t="s">
        <v>943</v>
      </c>
      <c r="D103" s="179" t="s">
        <v>579</v>
      </c>
      <c r="E103" s="41"/>
      <c r="F103" s="30"/>
      <c r="G103" s="30"/>
      <c r="H103" s="57"/>
      <c r="I103" s="24"/>
      <c r="J103" s="57"/>
      <c r="K103" s="57"/>
      <c r="L103" s="57"/>
      <c r="M103" s="57"/>
      <c r="N103" s="57"/>
      <c r="O103" s="24"/>
      <c r="P103" s="24"/>
      <c r="Q103" s="24"/>
      <c r="R103" s="24"/>
      <c r="S103" s="24"/>
      <c r="T103" s="24"/>
      <c r="U103" s="137"/>
      <c r="V103" s="24"/>
      <c r="W103" s="24"/>
      <c r="X103" s="24"/>
      <c r="Y103" s="137"/>
      <c r="Z103" s="24"/>
      <c r="AA103" s="24"/>
      <c r="AB103" s="24"/>
      <c r="AC103" s="166"/>
      <c r="AD103" s="166"/>
      <c r="AE103" s="166"/>
      <c r="AF103" s="166"/>
      <c r="AG103" s="166"/>
      <c r="AH103" s="166"/>
      <c r="AI103" s="166"/>
      <c r="AJ103" s="166"/>
      <c r="AK103" s="166"/>
      <c r="AL103" s="166"/>
      <c r="AM103" s="166"/>
      <c r="AN103" s="166"/>
      <c r="AO103" s="166"/>
      <c r="AP103" s="198" t="e">
        <f t="shared" si="2"/>
        <v>#VALUE!</v>
      </c>
      <c r="AQ103" s="137"/>
      <c r="AR103" s="151">
        <f>IF(B103="","",COUNTIF('Rel.Conjunts-Sistemes'!$B:$B,$B103))</f>
        <v>1</v>
      </c>
      <c r="AS103" s="151">
        <f>IF(B103="","",COUNTIF('Dominis de dades'!$B:$B,$D103))</f>
        <v>1</v>
      </c>
    </row>
    <row r="104" spans="1:45" s="19" customFormat="1" ht="33.75" thickBot="1" x14ac:dyDescent="0.3">
      <c r="A104" s="179"/>
      <c r="B104" s="181" t="s">
        <v>944</v>
      </c>
      <c r="C104" s="179" t="s">
        <v>786</v>
      </c>
      <c r="D104" s="179" t="s">
        <v>409</v>
      </c>
      <c r="E104" s="41"/>
      <c r="F104" s="30"/>
      <c r="G104" s="30"/>
      <c r="H104" s="57"/>
      <c r="I104" s="24"/>
      <c r="J104" s="57"/>
      <c r="K104" s="57"/>
      <c r="L104" s="57"/>
      <c r="M104" s="57"/>
      <c r="N104" s="57"/>
      <c r="O104" s="24"/>
      <c r="P104" s="24"/>
      <c r="Q104" s="24"/>
      <c r="R104" s="24"/>
      <c r="S104" s="24"/>
      <c r="T104" s="24"/>
      <c r="U104" s="137"/>
      <c r="V104" s="24"/>
      <c r="W104" s="24"/>
      <c r="X104" s="24"/>
      <c r="Y104" s="137"/>
      <c r="Z104" s="24"/>
      <c r="AA104" s="24"/>
      <c r="AB104" s="24"/>
      <c r="AC104" s="166"/>
      <c r="AD104" s="166"/>
      <c r="AE104" s="166"/>
      <c r="AF104" s="166"/>
      <c r="AG104" s="166"/>
      <c r="AH104" s="166"/>
      <c r="AI104" s="166"/>
      <c r="AJ104" s="166"/>
      <c r="AK104" s="166"/>
      <c r="AL104" s="166"/>
      <c r="AM104" s="166"/>
      <c r="AN104" s="166"/>
      <c r="AO104" s="166"/>
      <c r="AP104" s="198" t="e">
        <f t="shared" si="2"/>
        <v>#VALUE!</v>
      </c>
      <c r="AQ104" s="137"/>
      <c r="AR104" s="151">
        <f>IF(B104="","",COUNTIF('Rel.Conjunts-Sistemes'!$B:$B,$B104))</f>
        <v>1</v>
      </c>
      <c r="AS104" s="151">
        <f>IF(B104="","",COUNTIF('Dominis de dades'!$B:$B,$D104))</f>
        <v>1</v>
      </c>
    </row>
    <row r="105" spans="1:45" s="19" customFormat="1" ht="33.75" thickBot="1" x14ac:dyDescent="0.3">
      <c r="A105" s="179"/>
      <c r="B105" s="181" t="s">
        <v>951</v>
      </c>
      <c r="C105" s="179" t="s">
        <v>809</v>
      </c>
      <c r="D105" s="179" t="s">
        <v>409</v>
      </c>
      <c r="E105" s="41"/>
      <c r="F105" s="30"/>
      <c r="G105" s="30"/>
      <c r="H105" s="57"/>
      <c r="I105" s="24"/>
      <c r="J105" s="57"/>
      <c r="K105" s="57"/>
      <c r="L105" s="57"/>
      <c r="M105" s="57"/>
      <c r="N105" s="57"/>
      <c r="O105" s="24"/>
      <c r="P105" s="24"/>
      <c r="Q105" s="24"/>
      <c r="R105" s="24"/>
      <c r="S105" s="24"/>
      <c r="T105" s="24"/>
      <c r="U105" s="137"/>
      <c r="V105" s="24"/>
      <c r="W105" s="24"/>
      <c r="X105" s="24"/>
      <c r="Y105" s="137"/>
      <c r="Z105" s="24"/>
      <c r="AA105" s="24"/>
      <c r="AB105" s="24"/>
      <c r="AC105" s="166"/>
      <c r="AD105" s="166"/>
      <c r="AE105" s="166"/>
      <c r="AF105" s="166"/>
      <c r="AG105" s="166"/>
      <c r="AH105" s="166"/>
      <c r="AI105" s="166"/>
      <c r="AJ105" s="166"/>
      <c r="AK105" s="166"/>
      <c r="AL105" s="166"/>
      <c r="AM105" s="166"/>
      <c r="AN105" s="166"/>
      <c r="AO105" s="166"/>
      <c r="AP105" s="198" t="e">
        <f t="shared" ref="AP105:AP112" si="3">AVERAGE(SUMIF(AnàlisiRiscos,AC105,AnàlisiRiscosGrau),SUMIF(AnàlisiRiscos,AD105,AnàlisiRiscosGrau),SUMIF(AnàlisiRiscos,AE105,AnàlisiRiscosGrau),SUMIF(AnàlisiRiscos,AF105,AnàlisiRiscosGrau),SUMIF(AnàlisiRiscos,AG105,AnàlisiRiscosGrau),SUMIF(AnàlisiRiscos,AH105,AnàlisiRiscosGrau),SUMIF(AnàlisiRiscos,AI105,AnàlisiRiscosGrau),SUMIF(AnàlisiRiscos,AJ105,AnàlisiRiscosGrau),SUMIF(AnàlisiRiscos,AK105,AnàlisiRiscosGrau),SUMIF(AnàlisiRiscos,AL105,AnàlisiRiscosGrau),SUMIF(AnàlisiRiscos,AM105,AnàlisiRiscosGrau),SUMIF(AnàlisiRiscos,AN105,AnàlisiRiscosGrau),SUMIF(AnàlisiRiscos,AO105,AnàlisiRiscosGrau))</f>
        <v>#VALUE!</v>
      </c>
      <c r="AQ105" s="137"/>
      <c r="AR105" s="151">
        <f>IF(B105="","",COUNTIF('Rel.Conjunts-Sistemes'!$B:$B,$B105))</f>
        <v>0</v>
      </c>
      <c r="AS105" s="151">
        <f>IF(B105="","",COUNTIF('Dominis de dades'!$B:$B,$D105))</f>
        <v>1</v>
      </c>
    </row>
    <row r="106" spans="1:45" s="19" customFormat="1" ht="50.25" thickBot="1" x14ac:dyDescent="0.3">
      <c r="A106" s="179"/>
      <c r="B106" s="181" t="s">
        <v>950</v>
      </c>
      <c r="C106" s="179" t="s">
        <v>778</v>
      </c>
      <c r="D106" s="179" t="s">
        <v>87</v>
      </c>
      <c r="E106" s="41"/>
      <c r="F106" s="30"/>
      <c r="G106" s="30"/>
      <c r="H106" s="57"/>
      <c r="I106" s="24"/>
      <c r="J106" s="57"/>
      <c r="K106" s="57"/>
      <c r="L106" s="57"/>
      <c r="M106" s="57"/>
      <c r="N106" s="57"/>
      <c r="O106" s="24"/>
      <c r="P106" s="24"/>
      <c r="Q106" s="24"/>
      <c r="R106" s="24"/>
      <c r="S106" s="24"/>
      <c r="T106" s="24"/>
      <c r="U106" s="137"/>
      <c r="V106" s="24"/>
      <c r="W106" s="24"/>
      <c r="X106" s="24"/>
      <c r="Y106" s="137"/>
      <c r="Z106" s="24"/>
      <c r="AA106" s="24"/>
      <c r="AB106" s="24"/>
      <c r="AC106" s="166"/>
      <c r="AD106" s="166"/>
      <c r="AE106" s="166"/>
      <c r="AF106" s="166"/>
      <c r="AG106" s="166"/>
      <c r="AH106" s="166"/>
      <c r="AI106" s="166"/>
      <c r="AJ106" s="166"/>
      <c r="AK106" s="166"/>
      <c r="AL106" s="166"/>
      <c r="AM106" s="166"/>
      <c r="AN106" s="166"/>
      <c r="AO106" s="166"/>
      <c r="AP106" s="198" t="e">
        <f t="shared" si="3"/>
        <v>#VALUE!</v>
      </c>
      <c r="AQ106" s="137"/>
      <c r="AR106" s="151">
        <f>IF(B106="","",COUNTIF('Rel.Conjunts-Sistemes'!$B:$B,$B106))</f>
        <v>1</v>
      </c>
      <c r="AS106" s="151">
        <f>IF(B106="","",COUNTIF('Dominis de dades'!$B:$B,$D106))</f>
        <v>1</v>
      </c>
    </row>
    <row r="107" spans="1:45" s="19" customFormat="1" ht="33.75" thickBot="1" x14ac:dyDescent="0.3">
      <c r="A107" s="179"/>
      <c r="B107" s="181" t="s">
        <v>949</v>
      </c>
      <c r="C107" s="179" t="s">
        <v>780</v>
      </c>
      <c r="D107" s="179" t="s">
        <v>87</v>
      </c>
      <c r="E107" s="41"/>
      <c r="F107" s="30"/>
      <c r="G107" s="30"/>
      <c r="H107" s="57"/>
      <c r="I107" s="24"/>
      <c r="J107" s="57"/>
      <c r="K107" s="57"/>
      <c r="L107" s="57"/>
      <c r="M107" s="57"/>
      <c r="N107" s="57"/>
      <c r="O107" s="24"/>
      <c r="P107" s="24"/>
      <c r="Q107" s="24"/>
      <c r="R107" s="24"/>
      <c r="S107" s="24"/>
      <c r="T107" s="24"/>
      <c r="U107" s="137"/>
      <c r="V107" s="24"/>
      <c r="W107" s="24"/>
      <c r="X107" s="24"/>
      <c r="Y107" s="137"/>
      <c r="Z107" s="24"/>
      <c r="AA107" s="24"/>
      <c r="AB107" s="24"/>
      <c r="AC107" s="166"/>
      <c r="AD107" s="166"/>
      <c r="AE107" s="166"/>
      <c r="AF107" s="166"/>
      <c r="AG107" s="166"/>
      <c r="AH107" s="166"/>
      <c r="AI107" s="166"/>
      <c r="AJ107" s="166"/>
      <c r="AK107" s="166"/>
      <c r="AL107" s="166"/>
      <c r="AM107" s="166"/>
      <c r="AN107" s="166"/>
      <c r="AO107" s="166"/>
      <c r="AP107" s="198" t="e">
        <f t="shared" si="3"/>
        <v>#VALUE!</v>
      </c>
      <c r="AQ107" s="137"/>
      <c r="AR107" s="151">
        <f>IF(B107="","",COUNTIF('Rel.Conjunts-Sistemes'!$B:$B,$B107))</f>
        <v>1</v>
      </c>
      <c r="AS107" s="151">
        <f>IF(B107="","",COUNTIF('Dominis de dades'!$B:$B,$D107))</f>
        <v>1</v>
      </c>
    </row>
    <row r="108" spans="1:45" s="19" customFormat="1" ht="33.75" thickBot="1" x14ac:dyDescent="0.3">
      <c r="A108" s="179"/>
      <c r="B108" s="181" t="s">
        <v>948</v>
      </c>
      <c r="C108" s="179" t="s">
        <v>811</v>
      </c>
      <c r="D108" s="179" t="s">
        <v>87</v>
      </c>
      <c r="E108" s="41"/>
      <c r="F108" s="30"/>
      <c r="G108" s="30"/>
      <c r="H108" s="57"/>
      <c r="I108" s="24"/>
      <c r="J108" s="57"/>
      <c r="K108" s="57"/>
      <c r="L108" s="57"/>
      <c r="M108" s="57"/>
      <c r="N108" s="57"/>
      <c r="O108" s="24"/>
      <c r="P108" s="24"/>
      <c r="Q108" s="24"/>
      <c r="R108" s="24"/>
      <c r="S108" s="24"/>
      <c r="T108" s="24"/>
      <c r="U108" s="137"/>
      <c r="V108" s="24"/>
      <c r="W108" s="24"/>
      <c r="X108" s="24"/>
      <c r="Y108" s="137"/>
      <c r="Z108" s="24"/>
      <c r="AA108" s="24"/>
      <c r="AB108" s="24"/>
      <c r="AC108" s="166"/>
      <c r="AD108" s="166"/>
      <c r="AE108" s="166"/>
      <c r="AF108" s="166"/>
      <c r="AG108" s="166"/>
      <c r="AH108" s="166"/>
      <c r="AI108" s="166"/>
      <c r="AJ108" s="166"/>
      <c r="AK108" s="166"/>
      <c r="AL108" s="166"/>
      <c r="AM108" s="166"/>
      <c r="AN108" s="166"/>
      <c r="AO108" s="166"/>
      <c r="AP108" s="198" t="e">
        <f t="shared" si="3"/>
        <v>#VALUE!</v>
      </c>
      <c r="AQ108" s="137"/>
      <c r="AR108" s="151">
        <f>IF(B108="","",COUNTIF('Rel.Conjunts-Sistemes'!$B:$B,$B108))</f>
        <v>0</v>
      </c>
      <c r="AS108" s="151">
        <f>IF(B108="","",COUNTIF('Dominis de dades'!$B:$B,$D108))</f>
        <v>1</v>
      </c>
    </row>
    <row r="109" spans="1:45" s="19" customFormat="1" ht="50.25" thickBot="1" x14ac:dyDescent="0.3">
      <c r="A109" s="179"/>
      <c r="B109" s="181" t="s">
        <v>947</v>
      </c>
      <c r="C109" s="179" t="s">
        <v>794</v>
      </c>
      <c r="D109" s="179" t="s">
        <v>129</v>
      </c>
      <c r="E109" s="41"/>
      <c r="F109" s="30"/>
      <c r="G109" s="30"/>
      <c r="H109" s="57"/>
      <c r="I109" s="24"/>
      <c r="J109" s="57"/>
      <c r="K109" s="57"/>
      <c r="L109" s="57"/>
      <c r="M109" s="57"/>
      <c r="N109" s="57"/>
      <c r="O109" s="24"/>
      <c r="P109" s="24"/>
      <c r="Q109" s="24"/>
      <c r="R109" s="24"/>
      <c r="S109" s="24"/>
      <c r="T109" s="24"/>
      <c r="U109" s="137"/>
      <c r="V109" s="24"/>
      <c r="W109" s="24"/>
      <c r="X109" s="24"/>
      <c r="Y109" s="137"/>
      <c r="Z109" s="24"/>
      <c r="AA109" s="24"/>
      <c r="AB109" s="24"/>
      <c r="AC109" s="166"/>
      <c r="AD109" s="166"/>
      <c r="AE109" s="166"/>
      <c r="AF109" s="166"/>
      <c r="AG109" s="166"/>
      <c r="AH109" s="166"/>
      <c r="AI109" s="166"/>
      <c r="AJ109" s="166"/>
      <c r="AK109" s="166"/>
      <c r="AL109" s="166"/>
      <c r="AM109" s="166"/>
      <c r="AN109" s="166"/>
      <c r="AO109" s="166"/>
      <c r="AP109" s="198" t="e">
        <f t="shared" si="3"/>
        <v>#VALUE!</v>
      </c>
      <c r="AQ109" s="137"/>
      <c r="AR109" s="151">
        <f>IF(B109="","",COUNTIF('Rel.Conjunts-Sistemes'!$B:$B,$B109))</f>
        <v>1</v>
      </c>
      <c r="AS109" s="151">
        <f>IF(B109="","",COUNTIF('Dominis de dades'!$B:$B,$D109))</f>
        <v>1</v>
      </c>
    </row>
    <row r="110" spans="1:45" s="19" customFormat="1" ht="33.75" thickBot="1" x14ac:dyDescent="0.3">
      <c r="A110" s="179"/>
      <c r="B110" s="181" t="s">
        <v>946</v>
      </c>
      <c r="C110" s="179" t="s">
        <v>813</v>
      </c>
      <c r="D110" s="179" t="s">
        <v>129</v>
      </c>
      <c r="E110" s="41"/>
      <c r="F110" s="30"/>
      <c r="G110" s="30"/>
      <c r="H110" s="57"/>
      <c r="I110" s="24"/>
      <c r="J110" s="57"/>
      <c r="K110" s="57"/>
      <c r="L110" s="57"/>
      <c r="M110" s="57"/>
      <c r="N110" s="57"/>
      <c r="O110" s="24"/>
      <c r="P110" s="24"/>
      <c r="Q110" s="24"/>
      <c r="R110" s="24"/>
      <c r="S110" s="24"/>
      <c r="T110" s="24"/>
      <c r="U110" s="137"/>
      <c r="V110" s="24"/>
      <c r="W110" s="24"/>
      <c r="X110" s="24"/>
      <c r="Y110" s="137"/>
      <c r="Z110" s="24"/>
      <c r="AA110" s="24"/>
      <c r="AB110" s="24"/>
      <c r="AC110" s="166"/>
      <c r="AD110" s="166"/>
      <c r="AE110" s="166"/>
      <c r="AF110" s="166"/>
      <c r="AG110" s="166"/>
      <c r="AH110" s="166"/>
      <c r="AI110" s="166"/>
      <c r="AJ110" s="166"/>
      <c r="AK110" s="166"/>
      <c r="AL110" s="166"/>
      <c r="AM110" s="166"/>
      <c r="AN110" s="166"/>
      <c r="AO110" s="166"/>
      <c r="AP110" s="198" t="e">
        <f t="shared" si="3"/>
        <v>#VALUE!</v>
      </c>
      <c r="AQ110" s="137"/>
      <c r="AR110" s="151">
        <f>IF(B110="","",COUNTIF('Rel.Conjunts-Sistemes'!$B:$B,$B110))</f>
        <v>1</v>
      </c>
      <c r="AS110" s="151">
        <f>IF(B110="","",COUNTIF('Dominis de dades'!$B:$B,$D110))</f>
        <v>1</v>
      </c>
    </row>
    <row r="111" spans="1:45" s="19" customFormat="1" ht="50.25" thickBot="1" x14ac:dyDescent="0.3">
      <c r="A111" s="179"/>
      <c r="B111" s="181" t="s">
        <v>945</v>
      </c>
      <c r="C111" s="179" t="s">
        <v>815</v>
      </c>
      <c r="D111" s="179" t="s">
        <v>129</v>
      </c>
      <c r="E111" s="41"/>
      <c r="F111" s="30"/>
      <c r="G111" s="30"/>
      <c r="H111" s="57"/>
      <c r="I111" s="24"/>
      <c r="J111" s="57"/>
      <c r="K111" s="57"/>
      <c r="L111" s="57"/>
      <c r="M111" s="57"/>
      <c r="N111" s="57"/>
      <c r="O111" s="24"/>
      <c r="P111" s="24"/>
      <c r="Q111" s="24"/>
      <c r="R111" s="24"/>
      <c r="S111" s="24"/>
      <c r="T111" s="24"/>
      <c r="U111" s="137"/>
      <c r="V111" s="24"/>
      <c r="W111" s="24"/>
      <c r="X111" s="24"/>
      <c r="Y111" s="137"/>
      <c r="Z111" s="24"/>
      <c r="AA111" s="24"/>
      <c r="AB111" s="24"/>
      <c r="AC111" s="166"/>
      <c r="AD111" s="166"/>
      <c r="AE111" s="166"/>
      <c r="AF111" s="166"/>
      <c r="AG111" s="166"/>
      <c r="AH111" s="166"/>
      <c r="AI111" s="166"/>
      <c r="AJ111" s="166"/>
      <c r="AK111" s="166"/>
      <c r="AL111" s="166"/>
      <c r="AM111" s="166"/>
      <c r="AN111" s="166"/>
      <c r="AO111" s="166"/>
      <c r="AP111" s="198" t="e">
        <f t="shared" si="3"/>
        <v>#VALUE!</v>
      </c>
      <c r="AQ111" s="137"/>
      <c r="AR111" s="151">
        <f>IF(B111="","",COUNTIF('Rel.Conjunts-Sistemes'!$B:$B,$B111))</f>
        <v>0</v>
      </c>
      <c r="AS111" s="151">
        <f>IF(B111="","",COUNTIF('Dominis de dades'!$B:$B,$D111))</f>
        <v>1</v>
      </c>
    </row>
    <row r="112" spans="1:45" s="19" customFormat="1" ht="50.25" thickBot="1" x14ac:dyDescent="0.3">
      <c r="A112" s="179"/>
      <c r="B112" s="181" t="s">
        <v>861</v>
      </c>
      <c r="C112" s="179" t="s">
        <v>862</v>
      </c>
      <c r="D112" s="179" t="s">
        <v>71</v>
      </c>
      <c r="E112" s="41"/>
      <c r="F112" s="30"/>
      <c r="G112" s="30"/>
      <c r="H112" s="57"/>
      <c r="I112" s="24"/>
      <c r="J112" s="57"/>
      <c r="K112" s="57"/>
      <c r="L112" s="57"/>
      <c r="M112" s="57"/>
      <c r="N112" s="57"/>
      <c r="O112" s="24"/>
      <c r="P112" s="24"/>
      <c r="Q112" s="24"/>
      <c r="R112" s="24"/>
      <c r="S112" s="24"/>
      <c r="T112" s="24"/>
      <c r="U112" s="137"/>
      <c r="V112" s="24"/>
      <c r="W112" s="24"/>
      <c r="X112" s="24"/>
      <c r="Y112" s="137"/>
      <c r="Z112" s="24"/>
      <c r="AA112" s="24"/>
      <c r="AB112" s="24"/>
      <c r="AC112" s="166"/>
      <c r="AD112" s="166"/>
      <c r="AE112" s="166"/>
      <c r="AF112" s="166"/>
      <c r="AG112" s="166"/>
      <c r="AH112" s="166"/>
      <c r="AI112" s="166"/>
      <c r="AJ112" s="166"/>
      <c r="AK112" s="166"/>
      <c r="AL112" s="166"/>
      <c r="AM112" s="166"/>
      <c r="AN112" s="166"/>
      <c r="AO112" s="166"/>
      <c r="AP112" s="198" t="e">
        <f t="shared" si="3"/>
        <v>#VALUE!</v>
      </c>
      <c r="AQ112" s="137"/>
      <c r="AR112" s="151">
        <f>IF(B112="","",COUNTIF('Rel.Conjunts-Sistemes'!$B:$B,$B112))</f>
        <v>0</v>
      </c>
      <c r="AS112" s="151">
        <f>IF(B112="","",COUNTIF('Dominis de dades'!$B:$B,$D112))</f>
        <v>1</v>
      </c>
    </row>
    <row r="113" spans="1:5" ht="50.25" thickBot="1" x14ac:dyDescent="0.25">
      <c r="A113" s="179"/>
      <c r="B113" s="181" t="s">
        <v>863</v>
      </c>
      <c r="C113" s="179" t="s">
        <v>864</v>
      </c>
      <c r="D113" s="179" t="s">
        <v>71</v>
      </c>
      <c r="E113" s="41"/>
    </row>
    <row r="114" spans="1:5" ht="50.25" thickBot="1" x14ac:dyDescent="0.25">
      <c r="A114" s="179"/>
      <c r="B114" s="181" t="s">
        <v>865</v>
      </c>
      <c r="C114" s="179" t="s">
        <v>866</v>
      </c>
      <c r="D114" s="179" t="s">
        <v>71</v>
      </c>
      <c r="E114" s="41"/>
    </row>
    <row r="115" spans="1:5" ht="83.25" thickBot="1" x14ac:dyDescent="0.25">
      <c r="A115" s="179"/>
      <c r="B115" s="181" t="s">
        <v>867</v>
      </c>
      <c r="C115" s="179" t="s">
        <v>870</v>
      </c>
      <c r="D115" s="179" t="s">
        <v>528</v>
      </c>
    </row>
    <row r="116" spans="1:5" ht="83.25" thickBot="1" x14ac:dyDescent="0.25">
      <c r="A116" s="179"/>
      <c r="B116" s="181" t="s">
        <v>868</v>
      </c>
      <c r="C116" s="179" t="s">
        <v>871</v>
      </c>
      <c r="D116" s="179" t="s">
        <v>59</v>
      </c>
    </row>
    <row r="117" spans="1:5" ht="83.25" thickBot="1" x14ac:dyDescent="0.25">
      <c r="A117" s="179"/>
      <c r="B117" s="181" t="s">
        <v>873</v>
      </c>
      <c r="C117" s="179" t="s">
        <v>874</v>
      </c>
      <c r="D117" s="179" t="s">
        <v>115</v>
      </c>
    </row>
    <row r="118" spans="1:5" ht="83.25" thickBot="1" x14ac:dyDescent="0.25">
      <c r="B118" s="181" t="s">
        <v>876</v>
      </c>
      <c r="C118" s="179" t="s">
        <v>875</v>
      </c>
      <c r="D118" s="179" t="s">
        <v>117</v>
      </c>
    </row>
    <row r="119" spans="1:5" ht="50.25" thickBot="1" x14ac:dyDescent="0.25">
      <c r="B119" s="181" t="s">
        <v>534</v>
      </c>
      <c r="C119" s="179" t="s">
        <v>535</v>
      </c>
      <c r="D119" s="179" t="s">
        <v>55</v>
      </c>
    </row>
    <row r="120" spans="1:5" ht="17.25" thickBot="1" x14ac:dyDescent="0.25">
      <c r="B120" s="181"/>
      <c r="C120" s="179"/>
    </row>
    <row r="121" spans="1:5" ht="17.25" thickBot="1" x14ac:dyDescent="0.25">
      <c r="B121" s="181"/>
      <c r="C121" s="179"/>
    </row>
  </sheetData>
  <sheetProtection formatCells="0" formatColumns="0" formatRows="0" insertColumns="0" insertRows="0" insertHyperlinks="0" deleteColumns="0" deleteRows="0" sort="0" autoFilter="0" pivotTables="0"/>
  <autoFilter ref="B5:AS119" xr:uid="{C65622C4-A425-4F63-BCBB-709967467882}"/>
  <dataConsolidate/>
  <mergeCells count="3">
    <mergeCell ref="O7:T7"/>
    <mergeCell ref="AC7:AO7"/>
    <mergeCell ref="H7:N7"/>
  </mergeCells>
  <phoneticPr fontId="14" type="noConversion"/>
  <conditionalFormatting sqref="AC9:AO112">
    <cfRule type="containsText" dxfId="5" priority="1" operator="containsText" text="1">
      <formula>NOT(ISERROR(SEARCH("1",AC9)))</formula>
    </cfRule>
    <cfRule type="containsText" dxfId="4" priority="2" operator="containsText" text="2">
      <formula>NOT(ISERROR(SEARCH("2",AC9)))</formula>
    </cfRule>
    <cfRule type="containsText" dxfId="3" priority="3" operator="containsText" text="3">
      <formula>NOT(ISERROR(SEARCH("3",AC9)))</formula>
    </cfRule>
    <cfRule type="containsText" dxfId="2" priority="4" operator="containsText" text="4">
      <formula>NOT(ISERROR(SEARCH("4",AC9)))</formula>
    </cfRule>
  </conditionalFormatting>
  <conditionalFormatting sqref="AR9:AS112">
    <cfRule type="cellIs" dxfId="1" priority="5" operator="greaterThanOrEqual">
      <formula>1</formula>
    </cfRule>
    <cfRule type="cellIs" dxfId="0" priority="6" operator="equal">
      <formula>0</formula>
    </cfRule>
  </conditionalFormatting>
  <dataValidations count="10">
    <dataValidation type="list" allowBlank="1" showInputMessage="1" showErrorMessage="1" sqref="D9:D69 D76:D119" xr:uid="{08B1FF6D-CFAE-48C7-A903-855F32E33B54}">
      <formula1>Dominis</formula1>
    </dataValidation>
    <dataValidation type="list" allowBlank="1" showInputMessage="1" showErrorMessage="1" sqref="H9:N112" xr:uid="{12EF5D90-FFC4-47D0-B361-2FAF420513D7}">
      <formula1>SiNo</formula1>
    </dataValidation>
    <dataValidation type="list" allowBlank="1" showInputMessage="1" showErrorMessage="1" sqref="G9:G112" xr:uid="{43B10031-E1C8-450B-8A93-E4D95425ABFF}">
      <formula1>AbastOrganitzatiu</formula1>
    </dataValidation>
    <dataValidation type="list" allowBlank="1" showInputMessage="1" showErrorMessage="1" sqref="W9:W112" xr:uid="{691A1F72-F112-4E0C-B91C-98F2B5DD8F43}">
      <formula1>Origens</formula1>
    </dataValidation>
    <dataValidation type="list" allowBlank="1" showInputMessage="1" showErrorMessage="1" sqref="V9:V112" xr:uid="{64F36668-C839-4C95-87D9-6EFFC46E127A}">
      <formula1>Cadencia</formula1>
    </dataValidation>
    <dataValidation type="list" allowBlank="1" showInputMessage="1" showErrorMessage="1" sqref="Y9:Y112" xr:uid="{BCE2157F-368C-4D6B-94AB-E150DC69A026}">
      <formula1>Retenció</formula1>
    </dataValidation>
    <dataValidation type="list" allowBlank="1" showInputMessage="1" showErrorMessage="1" sqref="X9:X112" xr:uid="{13E8C17B-892C-494D-8ECE-626DEFC6BF8B}">
      <formula1>Persistencia</formula1>
    </dataValidation>
    <dataValidation type="list" allowBlank="1" showInputMessage="1" showErrorMessage="1" sqref="F9:F112" xr:uid="{EFD2181D-C864-4E96-BE7F-766B21A9E26F}">
      <formula1>TipusConjunt</formula1>
    </dataValidation>
    <dataValidation type="list" allowBlank="1" showInputMessage="1" showErrorMessage="1" sqref="U9:U112" xr:uid="{8027FECE-9298-4413-9CA8-37A4160C120C}">
      <formula1>AltValor</formula1>
    </dataValidation>
    <dataValidation type="list" allowBlank="1" showInputMessage="1" showErrorMessage="1" sqref="AC9:AO112" xr:uid="{732DBF38-336D-4A7D-A750-3942D43FF8D1}">
      <formula1>AnàlisiRiscos</formula1>
    </dataValidation>
  </dataValidations>
  <pageMargins left="0.7" right="0.7" top="0.75" bottom="0.75" header="0.3" footer="0.3"/>
  <pageSetup paperSize="9" orientation="portrait" r:id="rId1"/>
  <headerFooter>
    <oddFooter>&amp;L_x000D_&amp;1#&amp;"Calibri"&amp;9&amp;KCF022B C2 – Uso Restringida</oddFooter>
  </headerFooter>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5683E8F3-04D5-4AF6-A071-E648190BDE90}">
          <x14:formula1>
            <xm:f>Llistes!$N$1:$N$36</xm:f>
          </x14:formula1>
          <xm:sqref>D70:D75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EF13E-D4A7-4C5D-8ADB-23B51A2CC989}">
  <sheetPr>
    <tabColor rgb="FFFFC000"/>
  </sheetPr>
  <dimension ref="A1:V111"/>
  <sheetViews>
    <sheetView zoomScaleNormal="100" workbookViewId="0">
      <pane xSplit="4" ySplit="8" topLeftCell="E9" activePane="bottomRight" state="frozen"/>
      <selection pane="topRight" activeCell="E1" sqref="E1"/>
      <selection pane="bottomLeft" activeCell="A8" sqref="A8"/>
      <selection pane="bottomRight" activeCell="B3" sqref="B3"/>
    </sheetView>
  </sheetViews>
  <sheetFormatPr defaultColWidth="8.5703125" defaultRowHeight="12.75" x14ac:dyDescent="0.25"/>
  <cols>
    <col min="1" max="1" width="2.5703125" style="37" customWidth="1"/>
    <col min="2" max="2" width="63.42578125" style="37" customWidth="1"/>
    <col min="3" max="3" width="35.85546875" style="37" customWidth="1"/>
    <col min="4" max="4" width="47.7109375" style="37" customWidth="1"/>
    <col min="5" max="5" width="53.42578125" style="37" customWidth="1"/>
    <col min="6" max="6" width="16.85546875" style="37" bestFit="1" customWidth="1"/>
    <col min="7" max="7" width="17.42578125" style="37" bestFit="1" customWidth="1"/>
    <col min="8" max="8" width="47.5703125" style="37" bestFit="1" customWidth="1"/>
    <col min="9" max="9" width="52.85546875" style="37" bestFit="1" customWidth="1"/>
    <col min="10" max="16384" width="8.5703125" style="37"/>
  </cols>
  <sheetData>
    <row r="1" spans="1:22" s="13" customFormat="1" ht="13.5" x14ac:dyDescent="0.25">
      <c r="A1" s="12"/>
      <c r="B1" s="12"/>
      <c r="C1" s="12"/>
      <c r="D1" s="25"/>
      <c r="O1" s="15"/>
      <c r="P1" s="16"/>
    </row>
    <row r="2" spans="1:22" s="13" customFormat="1" ht="13.5" x14ac:dyDescent="0.25">
      <c r="A2" s="12"/>
      <c r="B2" s="12"/>
      <c r="C2" s="12"/>
      <c r="D2" s="25"/>
      <c r="O2" s="15"/>
      <c r="P2" s="16"/>
    </row>
    <row r="3" spans="1:22" s="13" customFormat="1" ht="24" customHeight="1" x14ac:dyDescent="0.25">
      <c r="A3" s="12"/>
      <c r="B3" s="12"/>
      <c r="C3" s="12"/>
      <c r="D3" s="25"/>
      <c r="O3" s="15"/>
      <c r="P3" s="16"/>
    </row>
    <row r="4" spans="1:22" s="20" customFormat="1" ht="44.45" customHeight="1" thickBot="1" x14ac:dyDescent="0.45">
      <c r="B4" s="21" t="s">
        <v>422</v>
      </c>
      <c r="C4" s="21"/>
      <c r="D4" s="21"/>
      <c r="E4" s="21"/>
      <c r="F4" s="159" t="s">
        <v>583</v>
      </c>
      <c r="G4" s="159"/>
      <c r="H4" s="159"/>
      <c r="I4" s="21"/>
      <c r="J4" s="21"/>
      <c r="K4" s="21"/>
      <c r="L4" s="21"/>
      <c r="M4" s="21"/>
      <c r="N4" s="21"/>
      <c r="O4" s="22"/>
      <c r="P4" s="22"/>
      <c r="Q4" s="21"/>
      <c r="R4" s="21"/>
      <c r="S4" s="21"/>
      <c r="T4" s="21"/>
      <c r="U4" s="21"/>
      <c r="V4" s="21"/>
    </row>
    <row r="5" spans="1:22" s="34" customFormat="1" ht="13.5" thickTop="1" x14ac:dyDescent="0.25">
      <c r="B5" s="35"/>
      <c r="C5" s="35"/>
    </row>
    <row r="6" spans="1:22" s="34" customFormat="1" x14ac:dyDescent="0.25"/>
    <row r="7" spans="1:22" s="34" customFormat="1" x14ac:dyDescent="0.25"/>
    <row r="8" spans="1:22" s="36" customFormat="1" ht="25.5" x14ac:dyDescent="0.25">
      <c r="B8" s="23" t="s">
        <v>186</v>
      </c>
      <c r="C8" s="23" t="s">
        <v>858</v>
      </c>
      <c r="D8" s="23" t="s">
        <v>2</v>
      </c>
      <c r="E8" s="23" t="s">
        <v>188</v>
      </c>
      <c r="F8" s="135" t="s">
        <v>581</v>
      </c>
      <c r="G8" s="135" t="s">
        <v>582</v>
      </c>
    </row>
    <row r="9" spans="1:22" s="36" customFormat="1" ht="25.5" x14ac:dyDescent="0.25">
      <c r="B9" s="154" t="s">
        <v>819</v>
      </c>
      <c r="C9" s="154"/>
      <c r="D9" s="154" t="s">
        <v>472</v>
      </c>
      <c r="E9" s="154" t="s">
        <v>165</v>
      </c>
      <c r="F9" s="157" t="str">
        <f>IF('Rel.Conjunts-Sistemes'!B9="","",IF(COUNTIF(ConjuntsDades,'Rel.Conjunts-Sistemes'!B9)&gt;0,"OK","Conjunt de dades erroni"))</f>
        <v>OK</v>
      </c>
      <c r="G9" s="158" t="str">
        <f>IF('Rel.Conjunts-Sistemes'!D9="","",IF(COUNTIF(Sistemes,'Rel.Conjunts-Sistemes'!D9)&gt;0,"OK","Conjunt de dades erroni"))</f>
        <v>OK</v>
      </c>
    </row>
    <row r="10" spans="1:22" s="36" customFormat="1" ht="25.5" x14ac:dyDescent="0.25">
      <c r="B10" s="154" t="s">
        <v>820</v>
      </c>
      <c r="C10" s="154"/>
      <c r="D10" s="154" t="s">
        <v>472</v>
      </c>
      <c r="E10" s="154" t="s">
        <v>189</v>
      </c>
      <c r="F10" s="158" t="str">
        <f>IF('Rel.Conjunts-Sistemes'!B10="","",IF(COUNTIF(ConjuntsDades,'Rel.Conjunts-Sistemes'!B10)&gt;0,"OK","Conjunt de dades erroni"))</f>
        <v>OK</v>
      </c>
      <c r="G10" s="158" t="str">
        <f>IF('Rel.Conjunts-Sistemes'!D10="","",IF(COUNTIF(Sistemes,'Rel.Conjunts-Sistemes'!D10)&gt;0,"OK","Conjunt de dades erroni"))</f>
        <v>OK</v>
      </c>
    </row>
    <row r="11" spans="1:22" s="36" customFormat="1" x14ac:dyDescent="0.25">
      <c r="B11" s="154" t="s">
        <v>821</v>
      </c>
      <c r="C11" s="154"/>
      <c r="D11" s="154" t="s">
        <v>479</v>
      </c>
      <c r="E11" s="154" t="s">
        <v>190</v>
      </c>
      <c r="F11" s="158" t="str">
        <f>IF('Rel.Conjunts-Sistemes'!B11="","",IF(COUNTIF(ConjuntsDades,'Rel.Conjunts-Sistemes'!B11)&gt;0,"OK","Conjunt de dades erroni"))</f>
        <v>OK</v>
      </c>
      <c r="G11" s="158" t="str">
        <f>IF('Rel.Conjunts-Sistemes'!D11="","",IF(COUNTIF(Sistemes,'Rel.Conjunts-Sistemes'!D11)&gt;0,"OK","Conjunt de dades erroni"))</f>
        <v>OK</v>
      </c>
    </row>
    <row r="12" spans="1:22" s="36" customFormat="1" x14ac:dyDescent="0.25">
      <c r="B12" s="154" t="s">
        <v>822</v>
      </c>
      <c r="C12" s="154"/>
      <c r="D12" s="154" t="s">
        <v>479</v>
      </c>
      <c r="E12" s="154" t="s">
        <v>191</v>
      </c>
      <c r="F12" s="158" t="str">
        <f>IF('Rel.Conjunts-Sistemes'!B12="","",IF(COUNTIF(ConjuntsDades,'Rel.Conjunts-Sistemes'!B12)&gt;0,"OK","Conjunt de dades erroni"))</f>
        <v>OK</v>
      </c>
      <c r="G12" s="158" t="str">
        <f>IF('Rel.Conjunts-Sistemes'!D12="","",IF(COUNTIF(Sistemes,'Rel.Conjunts-Sistemes'!D12)&gt;0,"OK","Conjunt de dades erroni"))</f>
        <v>OK</v>
      </c>
    </row>
    <row r="13" spans="1:22" s="36" customFormat="1" x14ac:dyDescent="0.25">
      <c r="B13" s="154" t="s">
        <v>823</v>
      </c>
      <c r="C13" s="154"/>
      <c r="D13" s="154" t="s">
        <v>469</v>
      </c>
      <c r="E13" s="154" t="s">
        <v>192</v>
      </c>
      <c r="F13" s="158" t="str">
        <f>IF('Rel.Conjunts-Sistemes'!B13="","",IF(COUNTIF(ConjuntsDades,'Rel.Conjunts-Sistemes'!B13)&gt;0,"OK","Conjunt de dades erroni"))</f>
        <v>OK</v>
      </c>
      <c r="G13" s="158" t="str">
        <f>IF('Rel.Conjunts-Sistemes'!D13="","",IF(COUNTIF(Sistemes,'Rel.Conjunts-Sistemes'!D13)&gt;0,"OK","Conjunt de dades erroni"))</f>
        <v>OK</v>
      </c>
    </row>
    <row r="14" spans="1:22" s="36" customFormat="1" x14ac:dyDescent="0.25">
      <c r="B14" s="154" t="s">
        <v>824</v>
      </c>
      <c r="C14" s="154"/>
      <c r="D14" s="154" t="s">
        <v>467</v>
      </c>
      <c r="E14" s="154" t="s">
        <v>193</v>
      </c>
      <c r="F14" s="158" t="str">
        <f>IF('Rel.Conjunts-Sistemes'!B14="","",IF(COUNTIF(ConjuntsDades,'Rel.Conjunts-Sistemes'!B14)&gt;0,"OK","Conjunt de dades erroni"))</f>
        <v>OK</v>
      </c>
      <c r="G14" s="158" t="str">
        <f>IF('Rel.Conjunts-Sistemes'!D14="","",IF(COUNTIF(Sistemes,'Rel.Conjunts-Sistemes'!D14)&gt;0,"OK","Conjunt de dades erroni"))</f>
        <v>OK</v>
      </c>
    </row>
    <row r="15" spans="1:22" s="36" customFormat="1" ht="25.5" x14ac:dyDescent="0.25">
      <c r="B15" s="154" t="s">
        <v>825</v>
      </c>
      <c r="C15" s="154"/>
      <c r="D15" s="154" t="s">
        <v>472</v>
      </c>
      <c r="E15" s="154"/>
      <c r="F15" s="158" t="str">
        <f>IF('Rel.Conjunts-Sistemes'!B15="","",IF(COUNTIF(ConjuntsDades,'Rel.Conjunts-Sistemes'!B15)&gt;0,"OK","Conjunt de dades erroni"))</f>
        <v>OK</v>
      </c>
      <c r="G15" s="158" t="str">
        <f>IF('Rel.Conjunts-Sistemes'!D15="","",IF(COUNTIF(Sistemes,'Rel.Conjunts-Sistemes'!D15)&gt;0,"OK","Conjunt de dades erroni"))</f>
        <v>OK</v>
      </c>
    </row>
    <row r="16" spans="1:22" s="36" customFormat="1" x14ac:dyDescent="0.25">
      <c r="B16" s="154" t="s">
        <v>826</v>
      </c>
      <c r="C16" s="154"/>
      <c r="D16" s="154"/>
      <c r="E16" s="154"/>
      <c r="F16" s="158" t="str">
        <f>IF('Rel.Conjunts-Sistemes'!B16="","",IF(COUNTIF(ConjuntsDades,'Rel.Conjunts-Sistemes'!B16)&gt;0,"OK","Conjunt de dades erroni"))</f>
        <v>OK</v>
      </c>
      <c r="G16" s="158" t="str">
        <f>IF('Rel.Conjunts-Sistemes'!D16="","",IF(COUNTIF(Sistemes,'Rel.Conjunts-Sistemes'!D16)&gt;0,"OK","Conjunt de dades erroni"))</f>
        <v/>
      </c>
    </row>
    <row r="17" spans="2:7" s="36" customFormat="1" x14ac:dyDescent="0.25">
      <c r="B17" s="154" t="s">
        <v>827</v>
      </c>
      <c r="C17" s="154"/>
      <c r="D17" s="154"/>
      <c r="E17" s="154"/>
      <c r="F17" s="158" t="str">
        <f>IF('Rel.Conjunts-Sistemes'!B17="","",IF(COUNTIF(ConjuntsDades,'Rel.Conjunts-Sistemes'!B17)&gt;0,"OK","Conjunt de dades erroni"))</f>
        <v>OK</v>
      </c>
      <c r="G17" s="158" t="str">
        <f>IF('Rel.Conjunts-Sistemes'!D17="","",IF(COUNTIF(Sistemes,'Rel.Conjunts-Sistemes'!D17)&gt;0,"OK","Conjunt de dades erroni"))</f>
        <v/>
      </c>
    </row>
    <row r="18" spans="2:7" s="36" customFormat="1" x14ac:dyDescent="0.25">
      <c r="B18" s="154" t="s">
        <v>580</v>
      </c>
      <c r="C18" s="154"/>
      <c r="D18" s="154"/>
      <c r="E18" s="154"/>
      <c r="F18" s="158" t="str">
        <f>IF('Rel.Conjunts-Sistemes'!B18="","",IF(COUNTIF(ConjuntsDades,'Rel.Conjunts-Sistemes'!B18)&gt;0,"OK","Conjunt de dades erroni"))</f>
        <v>OK</v>
      </c>
      <c r="G18" s="158" t="str">
        <f>IF('Rel.Conjunts-Sistemes'!D18="","",IF(COUNTIF(Sistemes,'Rel.Conjunts-Sistemes'!D18)&gt;0,"OK","Conjunt de dades erroni"))</f>
        <v/>
      </c>
    </row>
    <row r="19" spans="2:7" s="36" customFormat="1" x14ac:dyDescent="0.25">
      <c r="B19" s="154" t="s">
        <v>828</v>
      </c>
      <c r="C19" s="154"/>
      <c r="D19" s="154"/>
      <c r="E19" s="154"/>
      <c r="F19" s="158" t="str">
        <f>IF('Rel.Conjunts-Sistemes'!B19="","",IF(COUNTIF(ConjuntsDades,'Rel.Conjunts-Sistemes'!B19)&gt;0,"OK","Conjunt de dades erroni"))</f>
        <v>OK</v>
      </c>
      <c r="G19" s="158" t="str">
        <f>IF('Rel.Conjunts-Sistemes'!D19="","",IF(COUNTIF(Sistemes,'Rel.Conjunts-Sistemes'!D19)&gt;0,"OK","Conjunt de dades erroni"))</f>
        <v/>
      </c>
    </row>
    <row r="20" spans="2:7" s="36" customFormat="1" x14ac:dyDescent="0.25">
      <c r="B20" s="154" t="s">
        <v>656</v>
      </c>
      <c r="C20" s="154"/>
      <c r="D20" s="154"/>
      <c r="E20" s="154"/>
      <c r="F20" s="158" t="str">
        <f>IF('Rel.Conjunts-Sistemes'!B20="","",IF(COUNTIF(ConjuntsDades,'Rel.Conjunts-Sistemes'!B20)&gt;0,"OK","Conjunt de dades erroni"))</f>
        <v>OK</v>
      </c>
      <c r="G20" s="158" t="str">
        <f>IF('Rel.Conjunts-Sistemes'!D20="","",IF(COUNTIF(Sistemes,'Rel.Conjunts-Sistemes'!D20)&gt;0,"OK","Conjunt de dades erroni"))</f>
        <v/>
      </c>
    </row>
    <row r="21" spans="2:7" s="36" customFormat="1" x14ac:dyDescent="0.25">
      <c r="B21" s="154" t="s">
        <v>829</v>
      </c>
      <c r="C21" s="154"/>
      <c r="D21" s="154"/>
      <c r="E21" s="154"/>
      <c r="F21" s="158" t="str">
        <f>IF('Rel.Conjunts-Sistemes'!B21="","",IF(COUNTIF(ConjuntsDades,'Rel.Conjunts-Sistemes'!B21)&gt;0,"OK","Conjunt de dades erroni"))</f>
        <v>OK</v>
      </c>
      <c r="G21" s="158" t="str">
        <f>IF('Rel.Conjunts-Sistemes'!D21="","",IF(COUNTIF(Sistemes,'Rel.Conjunts-Sistemes'!D21)&gt;0,"OK","Conjunt de dades erroni"))</f>
        <v/>
      </c>
    </row>
    <row r="22" spans="2:7" s="36" customFormat="1" ht="31.5" customHeight="1" x14ac:dyDescent="0.25">
      <c r="B22" s="154" t="s">
        <v>830</v>
      </c>
      <c r="C22" s="154"/>
      <c r="D22" s="154"/>
      <c r="E22" s="154"/>
      <c r="F22" s="158" t="str">
        <f>IF('Rel.Conjunts-Sistemes'!B22="","",IF(COUNTIF(ConjuntsDades,'Rel.Conjunts-Sistemes'!B22)&gt;0,"OK","Conjunt de dades erroni"))</f>
        <v>OK</v>
      </c>
      <c r="G22" s="158" t="str">
        <f>IF('Rel.Conjunts-Sistemes'!D22="","",IF(COUNTIF(Sistemes,'Rel.Conjunts-Sistemes'!D22)&gt;0,"OK","Conjunt de dades erroni"))</f>
        <v/>
      </c>
    </row>
    <row r="23" spans="2:7" s="36" customFormat="1" ht="14.45" customHeight="1" x14ac:dyDescent="0.25">
      <c r="B23" s="154" t="s">
        <v>832</v>
      </c>
      <c r="C23" s="154"/>
      <c r="D23" s="154"/>
      <c r="E23" s="154"/>
      <c r="F23" s="158" t="str">
        <f>IF('Rel.Conjunts-Sistemes'!B23="","",IF(COUNTIF(ConjuntsDades,'Rel.Conjunts-Sistemes'!B23)&gt;0,"OK","Conjunt de dades erroni"))</f>
        <v>OK</v>
      </c>
      <c r="G23" s="158" t="str">
        <f>IF('Rel.Conjunts-Sistemes'!D23="","",IF(COUNTIF(Sistemes,'Rel.Conjunts-Sistemes'!D23)&gt;0,"OK","Conjunt de dades erroni"))</f>
        <v/>
      </c>
    </row>
    <row r="24" spans="2:7" s="36" customFormat="1" ht="14.45" customHeight="1" x14ac:dyDescent="0.25">
      <c r="B24" s="154" t="s">
        <v>834</v>
      </c>
      <c r="C24" s="154"/>
      <c r="D24" s="154"/>
      <c r="E24" s="154"/>
      <c r="F24" s="158" t="str">
        <f>IF('Rel.Conjunts-Sistemes'!B24="","",IF(COUNTIF(ConjuntsDades,'Rel.Conjunts-Sistemes'!B24)&gt;0,"OK","Conjunt de dades erroni"))</f>
        <v>OK</v>
      </c>
      <c r="G24" s="158" t="str">
        <f>IF('Rel.Conjunts-Sistemes'!D24="","",IF(COUNTIF(Sistemes,'Rel.Conjunts-Sistemes'!D24)&gt;0,"OK","Conjunt de dades erroni"))</f>
        <v/>
      </c>
    </row>
    <row r="25" spans="2:7" s="36" customFormat="1" ht="14.45" customHeight="1" x14ac:dyDescent="0.25">
      <c r="B25" s="154" t="s">
        <v>836</v>
      </c>
      <c r="C25" s="154"/>
      <c r="D25" s="154"/>
      <c r="E25" s="154"/>
      <c r="F25" s="158" t="str">
        <f>IF('Rel.Conjunts-Sistemes'!B25="","",IF(COUNTIF(ConjuntsDades,'Rel.Conjunts-Sistemes'!B25)&gt;0,"OK","Conjunt de dades erroni"))</f>
        <v>Conjunt de dades erroni</v>
      </c>
      <c r="G25" s="158" t="str">
        <f>IF('Rel.Conjunts-Sistemes'!D25="","",IF(COUNTIF(Sistemes,'Rel.Conjunts-Sistemes'!D25)&gt;0,"OK","Conjunt de dades erroni"))</f>
        <v/>
      </c>
    </row>
    <row r="26" spans="2:7" s="36" customFormat="1" ht="14.45" customHeight="1" x14ac:dyDescent="0.25">
      <c r="B26" s="154" t="s">
        <v>837</v>
      </c>
      <c r="C26" s="154"/>
      <c r="D26" s="154"/>
      <c r="E26" s="154"/>
      <c r="F26" s="158" t="str">
        <f>IF('Rel.Conjunts-Sistemes'!B26="","",IF(COUNTIF(ConjuntsDades,'Rel.Conjunts-Sistemes'!B26)&gt;0,"OK","Conjunt de dades erroni"))</f>
        <v>OK</v>
      </c>
      <c r="G26" s="158" t="str">
        <f>IF('Rel.Conjunts-Sistemes'!D26="","",IF(COUNTIF(Sistemes,'Rel.Conjunts-Sistemes'!D26)&gt;0,"OK","Conjunt de dades erroni"))</f>
        <v/>
      </c>
    </row>
    <row r="27" spans="2:7" s="36" customFormat="1" ht="14.45" customHeight="1" x14ac:dyDescent="0.25">
      <c r="B27" s="154" t="s">
        <v>839</v>
      </c>
      <c r="C27" s="154"/>
      <c r="D27" s="154"/>
      <c r="E27" s="154"/>
      <c r="F27" s="158" t="str">
        <f>IF('Rel.Conjunts-Sistemes'!B27="","",IF(COUNTIF(ConjuntsDades,'Rel.Conjunts-Sistemes'!B27)&gt;0,"OK","Conjunt de dades erroni"))</f>
        <v>OK</v>
      </c>
      <c r="G27" s="158" t="str">
        <f>IF('Rel.Conjunts-Sistemes'!D27="","",IF(COUNTIF(Sistemes,'Rel.Conjunts-Sistemes'!D27)&gt;0,"OK","Conjunt de dades erroni"))</f>
        <v/>
      </c>
    </row>
    <row r="28" spans="2:7" s="36" customFormat="1" ht="14.45" customHeight="1" x14ac:dyDescent="0.25">
      <c r="B28" s="154" t="s">
        <v>841</v>
      </c>
      <c r="C28" s="154"/>
      <c r="D28" s="154"/>
      <c r="E28" s="154"/>
      <c r="F28" s="158" t="str">
        <f>IF('Rel.Conjunts-Sistemes'!B28="","",IF(COUNTIF(ConjuntsDades,'Rel.Conjunts-Sistemes'!B28)&gt;0,"OK","Conjunt de dades erroni"))</f>
        <v>OK</v>
      </c>
      <c r="G28" s="158" t="str">
        <f>IF('Rel.Conjunts-Sistemes'!D28="","",IF(COUNTIF(Sistemes,'Rel.Conjunts-Sistemes'!D28)&gt;0,"OK","Conjunt de dades erroni"))</f>
        <v/>
      </c>
    </row>
    <row r="29" spans="2:7" s="36" customFormat="1" ht="14.45" customHeight="1" x14ac:dyDescent="0.25">
      <c r="B29" s="154" t="s">
        <v>843</v>
      </c>
      <c r="C29" s="154"/>
      <c r="D29" s="154"/>
      <c r="E29" s="154"/>
      <c r="F29" s="158" t="str">
        <f>IF('Rel.Conjunts-Sistemes'!B29="","",IF(COUNTIF(ConjuntsDades,'Rel.Conjunts-Sistemes'!B29)&gt;0,"OK","Conjunt de dades erroni"))</f>
        <v>OK</v>
      </c>
      <c r="G29" s="158" t="str">
        <f>IF('Rel.Conjunts-Sistemes'!D29="","",IF(COUNTIF(Sistemes,'Rel.Conjunts-Sistemes'!D29)&gt;0,"OK","Conjunt de dades erroni"))</f>
        <v/>
      </c>
    </row>
    <row r="30" spans="2:7" s="36" customFormat="1" ht="14.45" customHeight="1" x14ac:dyDescent="0.25">
      <c r="B30" s="154" t="s">
        <v>844</v>
      </c>
      <c r="C30" s="154"/>
      <c r="D30" s="154"/>
      <c r="E30" s="154"/>
      <c r="F30" s="158" t="str">
        <f>IF('Rel.Conjunts-Sistemes'!B30="","",IF(COUNTIF(ConjuntsDades,'Rel.Conjunts-Sistemes'!B30)&gt;0,"OK","Conjunt de dades erroni"))</f>
        <v>OK</v>
      </c>
      <c r="G30" s="158" t="str">
        <f>IF('Rel.Conjunts-Sistemes'!D30="","",IF(COUNTIF(Sistemes,'Rel.Conjunts-Sistemes'!D30)&gt;0,"OK","Conjunt de dades erroni"))</f>
        <v/>
      </c>
    </row>
    <row r="31" spans="2:7" s="36" customFormat="1" ht="14.45" customHeight="1" x14ac:dyDescent="0.25">
      <c r="B31" s="154" t="s">
        <v>845</v>
      </c>
      <c r="C31" s="154"/>
      <c r="D31" s="154"/>
      <c r="E31" s="154"/>
      <c r="F31" s="158" t="str">
        <f>IF('Rel.Conjunts-Sistemes'!B31="","",IF(COUNTIF(ConjuntsDades,'Rel.Conjunts-Sistemes'!B31)&gt;0,"OK","Conjunt de dades erroni"))</f>
        <v>OK</v>
      </c>
      <c r="G31" s="158" t="str">
        <f>IF('Rel.Conjunts-Sistemes'!D31="","",IF(COUNTIF(Sistemes,'Rel.Conjunts-Sistemes'!D31)&gt;0,"OK","Conjunt de dades erroni"))</f>
        <v/>
      </c>
    </row>
    <row r="32" spans="2:7" s="36" customFormat="1" ht="14.45" customHeight="1" x14ac:dyDescent="0.25">
      <c r="B32" s="154" t="s">
        <v>847</v>
      </c>
      <c r="C32" s="154"/>
      <c r="D32" s="154"/>
      <c r="E32" s="154"/>
      <c r="F32" s="158" t="str">
        <f>IF('Rel.Conjunts-Sistemes'!B32="","",IF(COUNTIF(ConjuntsDades,'Rel.Conjunts-Sistemes'!B32)&gt;0,"OK","Conjunt de dades erroni"))</f>
        <v>OK</v>
      </c>
      <c r="G32" s="158" t="str">
        <f>IF('Rel.Conjunts-Sistemes'!D32="","",IF(COUNTIF(Sistemes,'Rel.Conjunts-Sistemes'!D32)&gt;0,"OK","Conjunt de dades erroni"))</f>
        <v/>
      </c>
    </row>
    <row r="33" spans="2:7" s="36" customFormat="1" ht="14.45" customHeight="1" x14ac:dyDescent="0.25">
      <c r="B33" s="154" t="s">
        <v>848</v>
      </c>
      <c r="C33" s="154"/>
      <c r="D33" s="154"/>
      <c r="E33" s="154"/>
      <c r="F33" s="158" t="str">
        <f>IF('Rel.Conjunts-Sistemes'!B33="","",IF(COUNTIF(ConjuntsDades,'Rel.Conjunts-Sistemes'!B33)&gt;0,"OK","Conjunt de dades erroni"))</f>
        <v>OK</v>
      </c>
      <c r="G33" s="158" t="str">
        <f>IF('Rel.Conjunts-Sistemes'!D33="","",IF(COUNTIF(Sistemes,'Rel.Conjunts-Sistemes'!D33)&gt;0,"OK","Conjunt de dades erroni"))</f>
        <v/>
      </c>
    </row>
    <row r="34" spans="2:7" s="36" customFormat="1" ht="14.45" customHeight="1" x14ac:dyDescent="0.25">
      <c r="B34" s="154" t="s">
        <v>850</v>
      </c>
      <c r="C34" s="154"/>
      <c r="D34" s="154"/>
      <c r="E34" s="154"/>
      <c r="F34" s="158" t="str">
        <f>IF('Rel.Conjunts-Sistemes'!B34="","",IF(COUNTIF(ConjuntsDades,'Rel.Conjunts-Sistemes'!B34)&gt;0,"OK","Conjunt de dades erroni"))</f>
        <v>OK</v>
      </c>
      <c r="G34" s="158" t="str">
        <f>IF('Rel.Conjunts-Sistemes'!D34="","",IF(COUNTIF(Sistemes,'Rel.Conjunts-Sistemes'!D34)&gt;0,"OK","Conjunt de dades erroni"))</f>
        <v/>
      </c>
    </row>
    <row r="35" spans="2:7" s="36" customFormat="1" ht="14.45" customHeight="1" x14ac:dyDescent="0.25">
      <c r="B35" s="154" t="s">
        <v>855</v>
      </c>
      <c r="C35" s="154"/>
      <c r="D35" s="154"/>
      <c r="E35" s="154"/>
      <c r="F35" s="158" t="str">
        <f>IF('Rel.Conjunts-Sistemes'!B35="","",IF(COUNTIF(ConjuntsDades,'Rel.Conjunts-Sistemes'!B35)&gt;0,"OK","Conjunt de dades erroni"))</f>
        <v>OK</v>
      </c>
      <c r="G35" s="158" t="str">
        <f>IF('Rel.Conjunts-Sistemes'!D35="","",IF(COUNTIF(Sistemes,'Rel.Conjunts-Sistemes'!D35)&gt;0,"OK","Conjunt de dades erroni"))</f>
        <v/>
      </c>
    </row>
    <row r="36" spans="2:7" s="36" customFormat="1" ht="34.5" customHeight="1" x14ac:dyDescent="0.25">
      <c r="B36" s="154" t="s">
        <v>856</v>
      </c>
      <c r="C36" s="154"/>
      <c r="D36" s="154"/>
      <c r="E36" s="154"/>
      <c r="F36" s="158" t="str">
        <f>IF('Rel.Conjunts-Sistemes'!B36="","",IF(COUNTIF(ConjuntsDades,'Rel.Conjunts-Sistemes'!B36)&gt;0,"OK","Conjunt de dades erroni"))</f>
        <v>OK</v>
      </c>
      <c r="G36" s="158" t="str">
        <f>IF('Rel.Conjunts-Sistemes'!D36="","",IF(COUNTIF(Sistemes,'Rel.Conjunts-Sistemes'!D36)&gt;0,"OK","Conjunt de dades erroni"))</f>
        <v/>
      </c>
    </row>
    <row r="37" spans="2:7" s="36" customFormat="1" ht="14.45" customHeight="1" x14ac:dyDescent="0.25">
      <c r="B37" s="154" t="s">
        <v>857</v>
      </c>
      <c r="C37" s="154"/>
      <c r="D37" s="154"/>
      <c r="E37" s="154"/>
      <c r="F37" s="158" t="str">
        <f>IF('Rel.Conjunts-Sistemes'!B37="","",IF(COUNTIF(ConjuntsDades,'Rel.Conjunts-Sistemes'!B37)&gt;0,"OK","Conjunt de dades erroni"))</f>
        <v>OK</v>
      </c>
      <c r="G37" s="158" t="str">
        <f>IF('Rel.Conjunts-Sistemes'!D37="","",IF(COUNTIF(Sistemes,'Rel.Conjunts-Sistemes'!D37)&gt;0,"OK","Conjunt de dades erroni"))</f>
        <v/>
      </c>
    </row>
    <row r="38" spans="2:7" s="36" customFormat="1" ht="14.45" customHeight="1" x14ac:dyDescent="0.25">
      <c r="B38" s="154" t="s">
        <v>671</v>
      </c>
      <c r="C38" s="154"/>
      <c r="D38" s="154"/>
      <c r="E38" s="154"/>
      <c r="F38" s="158" t="str">
        <f>IF('Rel.Conjunts-Sistemes'!B38="","",IF(COUNTIF(ConjuntsDades,'Rel.Conjunts-Sistemes'!B38)&gt;0,"OK","Conjunt de dades erroni"))</f>
        <v>Conjunt de dades erroni</v>
      </c>
      <c r="G38" s="158" t="str">
        <f>IF('Rel.Conjunts-Sistemes'!D38="","",IF(COUNTIF(Sistemes,'Rel.Conjunts-Sistemes'!D38)&gt;0,"OK","Conjunt de dades erroni"))</f>
        <v/>
      </c>
    </row>
    <row r="39" spans="2:7" s="36" customFormat="1" ht="14.45" customHeight="1" x14ac:dyDescent="0.25">
      <c r="B39" s="154" t="s">
        <v>673</v>
      </c>
      <c r="C39" s="154"/>
      <c r="D39" s="154"/>
      <c r="E39" s="154"/>
      <c r="F39" s="158" t="str">
        <f>IF('Rel.Conjunts-Sistemes'!B39="","",IF(COUNTIF(ConjuntsDades,'Rel.Conjunts-Sistemes'!B39)&gt;0,"OK","Conjunt de dades erroni"))</f>
        <v>OK</v>
      </c>
      <c r="G39" s="158" t="str">
        <f>IF('Rel.Conjunts-Sistemes'!D39="","",IF(COUNTIF(Sistemes,'Rel.Conjunts-Sistemes'!D39)&gt;0,"OK","Conjunt de dades erroni"))</f>
        <v/>
      </c>
    </row>
    <row r="40" spans="2:7" s="36" customFormat="1" ht="14.45" customHeight="1" x14ac:dyDescent="0.25">
      <c r="B40" s="154" t="s">
        <v>675</v>
      </c>
      <c r="C40" s="154"/>
      <c r="D40" s="154"/>
      <c r="E40" s="154"/>
      <c r="F40" s="158" t="str">
        <f>IF('Rel.Conjunts-Sistemes'!B40="","",IF(COUNTIF(ConjuntsDades,'Rel.Conjunts-Sistemes'!B40)&gt;0,"OK","Conjunt de dades erroni"))</f>
        <v>OK</v>
      </c>
      <c r="G40" s="158" t="str">
        <f>IF('Rel.Conjunts-Sistemes'!D40="","",IF(COUNTIF(Sistemes,'Rel.Conjunts-Sistemes'!D40)&gt;0,"OK","Conjunt de dades erroni"))</f>
        <v/>
      </c>
    </row>
    <row r="41" spans="2:7" s="36" customFormat="1" ht="14.45" customHeight="1" x14ac:dyDescent="0.25">
      <c r="B41" s="154" t="s">
        <v>677</v>
      </c>
      <c r="C41" s="154"/>
      <c r="D41" s="154"/>
      <c r="E41" s="154"/>
      <c r="F41" s="158" t="str">
        <f>IF('Rel.Conjunts-Sistemes'!B41="","",IF(COUNTIF(ConjuntsDades,'Rel.Conjunts-Sistemes'!B41)&gt;0,"OK","Conjunt de dades erroni"))</f>
        <v>OK</v>
      </c>
      <c r="G41" s="158" t="str">
        <f>IF('Rel.Conjunts-Sistemes'!D41="","",IF(COUNTIF(Sistemes,'Rel.Conjunts-Sistemes'!D41)&gt;0,"OK","Conjunt de dades erroni"))</f>
        <v/>
      </c>
    </row>
    <row r="42" spans="2:7" s="36" customFormat="1" ht="14.45" customHeight="1" x14ac:dyDescent="0.25">
      <c r="B42" s="154" t="s">
        <v>679</v>
      </c>
      <c r="C42" s="154"/>
      <c r="D42" s="154"/>
      <c r="E42" s="154"/>
      <c r="F42" s="158" t="str">
        <f>IF('Rel.Conjunts-Sistemes'!B42="","",IF(COUNTIF(ConjuntsDades,'Rel.Conjunts-Sistemes'!B42)&gt;0,"OK","Conjunt de dades erroni"))</f>
        <v>OK</v>
      </c>
      <c r="G42" s="158" t="str">
        <f>IF('Rel.Conjunts-Sistemes'!D42="","",IF(COUNTIF(Sistemes,'Rel.Conjunts-Sistemes'!D42)&gt;0,"OK","Conjunt de dades erroni"))</f>
        <v/>
      </c>
    </row>
    <row r="43" spans="2:7" s="36" customFormat="1" ht="14.45" customHeight="1" x14ac:dyDescent="0.25">
      <c r="B43" s="154" t="s">
        <v>681</v>
      </c>
      <c r="C43" s="154"/>
      <c r="D43" s="154"/>
      <c r="E43" s="154"/>
      <c r="F43" s="158" t="str">
        <f>IF('Rel.Conjunts-Sistemes'!B43="","",IF(COUNTIF(ConjuntsDades,'Rel.Conjunts-Sistemes'!B43)&gt;0,"OK","Conjunt de dades erroni"))</f>
        <v>OK</v>
      </c>
      <c r="G43" s="158" t="str">
        <f>IF('Rel.Conjunts-Sistemes'!D43="","",IF(COUNTIF(Sistemes,'Rel.Conjunts-Sistemes'!D43)&gt;0,"OK","Conjunt de dades erroni"))</f>
        <v/>
      </c>
    </row>
    <row r="44" spans="2:7" s="36" customFormat="1" ht="14.45" customHeight="1" x14ac:dyDescent="0.25">
      <c r="B44" s="154" t="s">
        <v>801</v>
      </c>
      <c r="C44" s="154"/>
      <c r="D44" s="154"/>
      <c r="E44" s="154"/>
      <c r="F44" s="158" t="str">
        <f>IF('Rel.Conjunts-Sistemes'!B44="","",IF(COUNTIF(ConjuntsDades,'Rel.Conjunts-Sistemes'!B44)&gt;0,"OK","Conjunt de dades erroni"))</f>
        <v>OK</v>
      </c>
      <c r="G44" s="158" t="str">
        <f>IF('Rel.Conjunts-Sistemes'!D44="","",IF(COUNTIF(Sistemes,'Rel.Conjunts-Sistemes'!D44)&gt;0,"OK","Conjunt de dades erroni"))</f>
        <v/>
      </c>
    </row>
    <row r="45" spans="2:7" s="36" customFormat="1" ht="14.45" customHeight="1" x14ac:dyDescent="0.25">
      <c r="B45" s="154" t="s">
        <v>684</v>
      </c>
      <c r="C45" s="154"/>
      <c r="D45" s="154"/>
      <c r="E45" s="154"/>
      <c r="F45" s="158" t="str">
        <f>IF('Rel.Conjunts-Sistemes'!B45="","",IF(COUNTIF(ConjuntsDades,'Rel.Conjunts-Sistemes'!B45)&gt;0,"OK","Conjunt de dades erroni"))</f>
        <v>OK</v>
      </c>
      <c r="G45" s="158" t="str">
        <f>IF('Rel.Conjunts-Sistemes'!D45="","",IF(COUNTIF(Sistemes,'Rel.Conjunts-Sistemes'!D45)&gt;0,"OK","Conjunt de dades erroni"))</f>
        <v/>
      </c>
    </row>
    <row r="46" spans="2:7" s="36" customFormat="1" ht="14.45" customHeight="1" x14ac:dyDescent="0.25">
      <c r="B46" s="154" t="s">
        <v>686</v>
      </c>
      <c r="C46" s="154"/>
      <c r="D46" s="154"/>
      <c r="E46" s="154"/>
      <c r="F46" s="158" t="str">
        <f>IF('Rel.Conjunts-Sistemes'!B46="","",IF(COUNTIF(ConjuntsDades,'Rel.Conjunts-Sistemes'!B46)&gt;0,"OK","Conjunt de dades erroni"))</f>
        <v>OK</v>
      </c>
      <c r="G46" s="158" t="str">
        <f>IF('Rel.Conjunts-Sistemes'!D46="","",IF(COUNTIF(Sistemes,'Rel.Conjunts-Sistemes'!D46)&gt;0,"OK","Conjunt de dades erroni"))</f>
        <v/>
      </c>
    </row>
    <row r="47" spans="2:7" s="36" customFormat="1" ht="15.75" customHeight="1" x14ac:dyDescent="0.25">
      <c r="B47" s="154" t="s">
        <v>688</v>
      </c>
      <c r="C47" s="154"/>
      <c r="D47" s="154"/>
      <c r="E47" s="154"/>
      <c r="F47" s="158" t="str">
        <f>IF('Rel.Conjunts-Sistemes'!B47="","",IF(COUNTIF(ConjuntsDades,'Rel.Conjunts-Sistemes'!B47)&gt;0,"OK","Conjunt de dades erroni"))</f>
        <v>OK</v>
      </c>
      <c r="G47" s="158" t="str">
        <f>IF('Rel.Conjunts-Sistemes'!D47="","",IF(COUNTIF(Sistemes,'Rel.Conjunts-Sistemes'!D47)&gt;0,"OK","Conjunt de dades erroni"))</f>
        <v/>
      </c>
    </row>
    <row r="48" spans="2:7" s="36" customFormat="1" ht="14.45" customHeight="1" x14ac:dyDescent="0.25">
      <c r="B48" s="154" t="s">
        <v>690</v>
      </c>
      <c r="C48" s="154"/>
      <c r="D48" s="154"/>
      <c r="E48" s="154"/>
      <c r="F48" s="158" t="str">
        <f>IF('Rel.Conjunts-Sistemes'!B48="","",IF(COUNTIF(ConjuntsDades,'Rel.Conjunts-Sistemes'!B48)&gt;0,"OK","Conjunt de dades erroni"))</f>
        <v>Conjunt de dades erroni</v>
      </c>
      <c r="G48" s="158" t="str">
        <f>IF('Rel.Conjunts-Sistemes'!D48="","",IF(COUNTIF(Sistemes,'Rel.Conjunts-Sistemes'!D48)&gt;0,"OK","Conjunt de dades erroni"))</f>
        <v/>
      </c>
    </row>
    <row r="49" spans="2:7" s="36" customFormat="1" ht="14.45" customHeight="1" x14ac:dyDescent="0.25">
      <c r="B49" s="154" t="s">
        <v>692</v>
      </c>
      <c r="C49" s="154"/>
      <c r="D49" s="154"/>
      <c r="E49" s="154"/>
      <c r="F49" s="158" t="str">
        <f>IF('Rel.Conjunts-Sistemes'!B49="","",IF(COUNTIF(ConjuntsDades,'Rel.Conjunts-Sistemes'!B49)&gt;0,"OK","Conjunt de dades erroni"))</f>
        <v>OK</v>
      </c>
      <c r="G49" s="158" t="str">
        <f>IF('Rel.Conjunts-Sistemes'!D49="","",IF(COUNTIF(Sistemes,'Rel.Conjunts-Sistemes'!D49)&gt;0,"OK","Conjunt de dades erroni"))</f>
        <v/>
      </c>
    </row>
    <row r="50" spans="2:7" s="36" customFormat="1" ht="14.45" customHeight="1" x14ac:dyDescent="0.25">
      <c r="B50" s="154" t="s">
        <v>693</v>
      </c>
      <c r="C50" s="154"/>
      <c r="D50" s="154"/>
      <c r="E50" s="154"/>
      <c r="F50" s="158" t="str">
        <f>IF('Rel.Conjunts-Sistemes'!B50="","",IF(COUNTIF(ConjuntsDades,'Rel.Conjunts-Sistemes'!B50)&gt;0,"OK","Conjunt de dades erroni"))</f>
        <v>OK</v>
      </c>
      <c r="G50" s="158" t="str">
        <f>IF('Rel.Conjunts-Sistemes'!D50="","",IF(COUNTIF(Sistemes,'Rel.Conjunts-Sistemes'!D50)&gt;0,"OK","Conjunt de dades erroni"))</f>
        <v/>
      </c>
    </row>
    <row r="51" spans="2:7" s="36" customFormat="1" ht="14.45" customHeight="1" x14ac:dyDescent="0.25">
      <c r="B51" s="154" t="s">
        <v>695</v>
      </c>
      <c r="C51" s="154"/>
      <c r="D51" s="154"/>
      <c r="E51" s="154"/>
      <c r="F51" s="158" t="str">
        <f>IF('Rel.Conjunts-Sistemes'!B51="","",IF(COUNTIF(ConjuntsDades,'Rel.Conjunts-Sistemes'!B51)&gt;0,"OK","Conjunt de dades erroni"))</f>
        <v>OK</v>
      </c>
      <c r="G51" s="158" t="str">
        <f>IF('Rel.Conjunts-Sistemes'!D51="","",IF(COUNTIF(Sistemes,'Rel.Conjunts-Sistemes'!D51)&gt;0,"OK","Conjunt de dades erroni"))</f>
        <v/>
      </c>
    </row>
    <row r="52" spans="2:7" s="36" customFormat="1" ht="14.45" customHeight="1" x14ac:dyDescent="0.25">
      <c r="B52" s="154" t="s">
        <v>654</v>
      </c>
      <c r="C52" s="154"/>
      <c r="D52" s="154"/>
      <c r="E52" s="154"/>
      <c r="F52" s="158" t="str">
        <f>IF('Rel.Conjunts-Sistemes'!B52="","",IF(COUNTIF(ConjuntsDades,'Rel.Conjunts-Sistemes'!B52)&gt;0,"OK","Conjunt de dades erroni"))</f>
        <v>OK</v>
      </c>
      <c r="G52" s="158" t="str">
        <f>IF('Rel.Conjunts-Sistemes'!D52="","",IF(COUNTIF(Sistemes,'Rel.Conjunts-Sistemes'!D52)&gt;0,"OK","Conjunt de dades erroni"))</f>
        <v/>
      </c>
    </row>
    <row r="53" spans="2:7" s="36" customFormat="1" ht="14.45" customHeight="1" x14ac:dyDescent="0.25">
      <c r="B53" s="154" t="s">
        <v>752</v>
      </c>
      <c r="C53" s="154"/>
      <c r="D53" s="154"/>
      <c r="E53" s="154"/>
      <c r="F53" s="158" t="str">
        <f>IF('Rel.Conjunts-Sistemes'!B53="","",IF(COUNTIF(ConjuntsDades,'Rel.Conjunts-Sistemes'!B53)&gt;0,"OK","Conjunt de dades erroni"))</f>
        <v>OK</v>
      </c>
      <c r="G53" s="158" t="str">
        <f>IF('Rel.Conjunts-Sistemes'!D53="","",IF(COUNTIF(Sistemes,'Rel.Conjunts-Sistemes'!D53)&gt;0,"OK","Conjunt de dades erroni"))</f>
        <v/>
      </c>
    </row>
    <row r="54" spans="2:7" s="36" customFormat="1" ht="14.45" customHeight="1" x14ac:dyDescent="0.25">
      <c r="B54" s="154" t="s">
        <v>755</v>
      </c>
      <c r="C54" s="154"/>
      <c r="D54" s="154"/>
      <c r="E54" s="154"/>
      <c r="F54" s="158" t="str">
        <f>IF('Rel.Conjunts-Sistemes'!B54="","",IF(COUNTIF(ConjuntsDades,'Rel.Conjunts-Sistemes'!B54)&gt;0,"OK","Conjunt de dades erroni"))</f>
        <v>OK</v>
      </c>
      <c r="G54" s="158" t="str">
        <f>IF('Rel.Conjunts-Sistemes'!D54="","",IF(COUNTIF(Sistemes,'Rel.Conjunts-Sistemes'!D54)&gt;0,"OK","Conjunt de dades erroni"))</f>
        <v/>
      </c>
    </row>
    <row r="55" spans="2:7" s="36" customFormat="1" ht="14.45" customHeight="1" x14ac:dyDescent="0.25">
      <c r="B55" s="154" t="s">
        <v>854</v>
      </c>
      <c r="C55" s="154"/>
      <c r="D55" s="154"/>
      <c r="E55" s="154"/>
      <c r="F55" s="158" t="str">
        <f>IF('Rel.Conjunts-Sistemes'!B55="","",IF(COUNTIF(ConjuntsDades,'Rel.Conjunts-Sistemes'!B55)&gt;0,"OK","Conjunt de dades erroni"))</f>
        <v>OK</v>
      </c>
      <c r="G55" s="158" t="str">
        <f>IF('Rel.Conjunts-Sistemes'!D55="","",IF(COUNTIF(Sistemes,'Rel.Conjunts-Sistemes'!D55)&gt;0,"OK","Conjunt de dades erroni"))</f>
        <v/>
      </c>
    </row>
    <row r="56" spans="2:7" s="36" customFormat="1" ht="14.45" customHeight="1" x14ac:dyDescent="0.25">
      <c r="B56" s="154" t="s">
        <v>790</v>
      </c>
      <c r="C56" s="154"/>
      <c r="D56" s="154"/>
      <c r="E56" s="154"/>
      <c r="F56" s="158" t="str">
        <f>IF('Rel.Conjunts-Sistemes'!B56="","",IF(COUNTIF(ConjuntsDades,'Rel.Conjunts-Sistemes'!B56)&gt;0,"OK","Conjunt de dades erroni"))</f>
        <v>OK</v>
      </c>
      <c r="G56" s="158" t="str">
        <f>IF('Rel.Conjunts-Sistemes'!D56="","",IF(COUNTIF(Sistemes,'Rel.Conjunts-Sistemes'!D56)&gt;0,"OK","Conjunt de dades erroni"))</f>
        <v/>
      </c>
    </row>
    <row r="57" spans="2:7" s="36" customFormat="1" ht="14.45" customHeight="1" x14ac:dyDescent="0.25">
      <c r="B57" s="154" t="s">
        <v>655</v>
      </c>
      <c r="C57" s="154"/>
      <c r="D57" s="154"/>
      <c r="E57" s="154"/>
      <c r="F57" s="158" t="str">
        <f>IF('Rel.Conjunts-Sistemes'!B57="","",IF(COUNTIF(ConjuntsDades,'Rel.Conjunts-Sistemes'!B57)&gt;0,"OK","Conjunt de dades erroni"))</f>
        <v>Conjunt de dades erroni</v>
      </c>
      <c r="G57" s="158" t="str">
        <f>IF('Rel.Conjunts-Sistemes'!D57="","",IF(COUNTIF(Sistemes,'Rel.Conjunts-Sistemes'!D57)&gt;0,"OK","Conjunt de dades erroni"))</f>
        <v/>
      </c>
    </row>
    <row r="58" spans="2:7" s="36" customFormat="1" ht="14.45" customHeight="1" x14ac:dyDescent="0.25">
      <c r="B58" s="154" t="s">
        <v>698</v>
      </c>
      <c r="C58" s="154"/>
      <c r="D58" s="154"/>
      <c r="E58" s="154"/>
      <c r="F58" s="158" t="str">
        <f>IF('Rel.Conjunts-Sistemes'!B58="","",IF(COUNTIF(ConjuntsDades,'Rel.Conjunts-Sistemes'!B58)&gt;0,"OK","Conjunt de dades erroni"))</f>
        <v>OK</v>
      </c>
      <c r="G58" s="158" t="str">
        <f>IF('Rel.Conjunts-Sistemes'!D58="","",IF(COUNTIF(Sistemes,'Rel.Conjunts-Sistemes'!D58)&gt;0,"OK","Conjunt de dades erroni"))</f>
        <v/>
      </c>
    </row>
    <row r="59" spans="2:7" s="36" customFormat="1" ht="14.45" customHeight="1" x14ac:dyDescent="0.25">
      <c r="B59" s="154" t="s">
        <v>700</v>
      </c>
      <c r="C59" s="154"/>
      <c r="D59" s="154"/>
      <c r="E59" s="154"/>
      <c r="F59" s="158" t="str">
        <f>IF('Rel.Conjunts-Sistemes'!B59="","",IF(COUNTIF(ConjuntsDades,'Rel.Conjunts-Sistemes'!B59)&gt;0,"OK","Conjunt de dades erroni"))</f>
        <v>OK</v>
      </c>
      <c r="G59" s="158" t="str">
        <f>IF('Rel.Conjunts-Sistemes'!D59="","",IF(COUNTIF(Sistemes,'Rel.Conjunts-Sistemes'!D59)&gt;0,"OK","Conjunt de dades erroni"))</f>
        <v/>
      </c>
    </row>
    <row r="60" spans="2:7" s="36" customFormat="1" ht="14.45" customHeight="1" x14ac:dyDescent="0.25">
      <c r="B60" s="154" t="s">
        <v>702</v>
      </c>
      <c r="C60" s="154"/>
      <c r="D60" s="154"/>
      <c r="E60" s="154"/>
      <c r="F60" s="158" t="str">
        <f>IF('Rel.Conjunts-Sistemes'!B60="","",IF(COUNTIF(ConjuntsDades,'Rel.Conjunts-Sistemes'!B60)&gt;0,"OK","Conjunt de dades erroni"))</f>
        <v>OK</v>
      </c>
      <c r="G60" s="158" t="str">
        <f>IF('Rel.Conjunts-Sistemes'!D60="","",IF(COUNTIF(Sistemes,'Rel.Conjunts-Sistemes'!D60)&gt;0,"OK","Conjunt de dades erroni"))</f>
        <v/>
      </c>
    </row>
    <row r="61" spans="2:7" s="36" customFormat="1" ht="14.45" customHeight="1" x14ac:dyDescent="0.25">
      <c r="B61" s="154" t="s">
        <v>704</v>
      </c>
      <c r="C61" s="154"/>
      <c r="D61" s="154"/>
      <c r="E61" s="154"/>
      <c r="F61" s="158" t="str">
        <f>IF('Rel.Conjunts-Sistemes'!B61="","",IF(COUNTIF(ConjuntsDades,'Rel.Conjunts-Sistemes'!B61)&gt;0,"OK","Conjunt de dades erroni"))</f>
        <v>OK</v>
      </c>
      <c r="G61" s="158" t="str">
        <f>IF('Rel.Conjunts-Sistemes'!D61="","",IF(COUNTIF(Sistemes,'Rel.Conjunts-Sistemes'!D61)&gt;0,"OK","Conjunt de dades erroni"))</f>
        <v/>
      </c>
    </row>
    <row r="62" spans="2:7" s="36" customFormat="1" ht="14.45" customHeight="1" x14ac:dyDescent="0.25">
      <c r="B62" s="154" t="s">
        <v>706</v>
      </c>
      <c r="C62" s="154"/>
      <c r="D62" s="154"/>
      <c r="E62" s="154"/>
      <c r="F62" s="158" t="str">
        <f>IF('Rel.Conjunts-Sistemes'!B62="","",IF(COUNTIF(ConjuntsDades,'Rel.Conjunts-Sistemes'!B62)&gt;0,"OK","Conjunt de dades erroni"))</f>
        <v>Conjunt de dades erroni</v>
      </c>
      <c r="G62" s="158" t="str">
        <f>IF('Rel.Conjunts-Sistemes'!D62="","",IF(COUNTIF(Sistemes,'Rel.Conjunts-Sistemes'!D62)&gt;0,"OK","Conjunt de dades erroni"))</f>
        <v/>
      </c>
    </row>
    <row r="63" spans="2:7" s="36" customFormat="1" ht="14.45" customHeight="1" x14ac:dyDescent="0.25">
      <c r="B63" s="154" t="s">
        <v>708</v>
      </c>
      <c r="C63" s="154"/>
      <c r="D63" s="154"/>
      <c r="E63" s="154"/>
      <c r="F63" s="158" t="str">
        <f>IF('Rel.Conjunts-Sistemes'!B63="","",IF(COUNTIF(ConjuntsDades,'Rel.Conjunts-Sistemes'!B63)&gt;0,"OK","Conjunt de dades erroni"))</f>
        <v>OK</v>
      </c>
      <c r="G63" s="158" t="str">
        <f>IF('Rel.Conjunts-Sistemes'!D63="","",IF(COUNTIF(Sistemes,'Rel.Conjunts-Sistemes'!D63)&gt;0,"OK","Conjunt de dades erroni"))</f>
        <v/>
      </c>
    </row>
    <row r="64" spans="2:7" s="36" customFormat="1" ht="14.45" customHeight="1" x14ac:dyDescent="0.25">
      <c r="B64" s="154" t="s">
        <v>710</v>
      </c>
      <c r="C64" s="154"/>
      <c r="D64" s="154"/>
      <c r="E64" s="154"/>
      <c r="F64" s="158" t="str">
        <f>IF('Rel.Conjunts-Sistemes'!B64="","",IF(COUNTIF(ConjuntsDades,'Rel.Conjunts-Sistemes'!B64)&gt;0,"OK","Conjunt de dades erroni"))</f>
        <v>OK</v>
      </c>
      <c r="G64" s="158" t="str">
        <f>IF('Rel.Conjunts-Sistemes'!D64="","",IF(COUNTIF(Sistemes,'Rel.Conjunts-Sistemes'!D64)&gt;0,"OK","Conjunt de dades erroni"))</f>
        <v/>
      </c>
    </row>
    <row r="65" spans="2:7" s="36" customFormat="1" ht="14.45" customHeight="1" x14ac:dyDescent="0.25">
      <c r="B65" s="154" t="s">
        <v>712</v>
      </c>
      <c r="C65" s="154"/>
      <c r="D65" s="154"/>
      <c r="E65" s="154"/>
      <c r="F65" s="158" t="str">
        <f>IF('Rel.Conjunts-Sistemes'!B65="","",IF(COUNTIF(ConjuntsDades,'Rel.Conjunts-Sistemes'!B65)&gt;0,"OK","Conjunt de dades erroni"))</f>
        <v>OK</v>
      </c>
      <c r="G65" s="158" t="str">
        <f>IF('Rel.Conjunts-Sistemes'!D65="","",IF(COUNTIF(Sistemes,'Rel.Conjunts-Sistemes'!D65)&gt;0,"OK","Conjunt de dades erroni"))</f>
        <v/>
      </c>
    </row>
    <row r="66" spans="2:7" s="69" customFormat="1" ht="14.45" customHeight="1" x14ac:dyDescent="0.25">
      <c r="B66" s="172" t="s">
        <v>803</v>
      </c>
      <c r="C66" s="172"/>
      <c r="D66" s="172"/>
      <c r="E66" s="172"/>
      <c r="F66" s="173" t="str">
        <f>IF('Rel.Conjunts-Sistemes'!B66="","",IF(COUNTIF(ConjuntsDades,'Rel.Conjunts-Sistemes'!B66)&gt;0,"OK","Conjunt de dades erroni"))</f>
        <v>OK</v>
      </c>
      <c r="G66" s="173" t="str">
        <f>IF('Rel.Conjunts-Sistemes'!D66="","",IF(COUNTIF(Sistemes,'Rel.Conjunts-Sistemes'!D66)&gt;0,"OK","Conjunt de dades erroni"))</f>
        <v/>
      </c>
    </row>
    <row r="67" spans="2:7" x14ac:dyDescent="0.25">
      <c r="B67" s="174" t="s">
        <v>715</v>
      </c>
      <c r="C67" s="174"/>
      <c r="D67" s="174"/>
      <c r="E67" s="174"/>
      <c r="F67" s="174"/>
      <c r="G67" s="174"/>
    </row>
    <row r="68" spans="2:7" x14ac:dyDescent="0.25">
      <c r="B68" s="174" t="s">
        <v>717</v>
      </c>
      <c r="C68" s="174"/>
      <c r="D68" s="174"/>
      <c r="E68" s="174"/>
      <c r="F68" s="174"/>
      <c r="G68" s="174"/>
    </row>
    <row r="69" spans="2:7" x14ac:dyDescent="0.25">
      <c r="B69" s="174" t="s">
        <v>719</v>
      </c>
      <c r="C69" s="174"/>
      <c r="D69" s="174"/>
      <c r="E69" s="174"/>
      <c r="F69" s="174"/>
      <c r="G69" s="174"/>
    </row>
    <row r="70" spans="2:7" x14ac:dyDescent="0.25">
      <c r="B70" s="174" t="s">
        <v>721</v>
      </c>
      <c r="C70" s="174"/>
      <c r="D70" s="174"/>
      <c r="E70" s="174"/>
      <c r="F70" s="174"/>
      <c r="G70" s="174"/>
    </row>
    <row r="71" spans="2:7" x14ac:dyDescent="0.25">
      <c r="B71" s="174" t="s">
        <v>723</v>
      </c>
      <c r="C71" s="174"/>
      <c r="D71" s="174"/>
      <c r="E71" s="174"/>
      <c r="F71" s="174"/>
      <c r="G71" s="174"/>
    </row>
    <row r="72" spans="2:7" x14ac:dyDescent="0.25">
      <c r="B72" s="174" t="s">
        <v>725</v>
      </c>
      <c r="C72" s="174"/>
      <c r="D72" s="174"/>
      <c r="E72" s="174"/>
      <c r="F72" s="174"/>
      <c r="G72" s="174"/>
    </row>
    <row r="73" spans="2:7" x14ac:dyDescent="0.25">
      <c r="B73" s="174" t="s">
        <v>727</v>
      </c>
      <c r="C73" s="174"/>
      <c r="D73" s="174"/>
      <c r="E73" s="174"/>
      <c r="F73" s="174"/>
      <c r="G73" s="174"/>
    </row>
    <row r="74" spans="2:7" x14ac:dyDescent="0.25">
      <c r="B74" s="174" t="s">
        <v>757</v>
      </c>
      <c r="C74" s="174"/>
      <c r="D74" s="174"/>
      <c r="E74" s="174"/>
      <c r="F74" s="174"/>
      <c r="G74" s="174"/>
    </row>
    <row r="75" spans="2:7" x14ac:dyDescent="0.25">
      <c r="B75" s="174" t="s">
        <v>729</v>
      </c>
      <c r="C75" s="174"/>
      <c r="D75" s="174"/>
      <c r="E75" s="174"/>
      <c r="F75" s="174"/>
      <c r="G75" s="174"/>
    </row>
    <row r="76" spans="2:7" x14ac:dyDescent="0.25">
      <c r="B76" s="174" t="s">
        <v>731</v>
      </c>
      <c r="C76" s="174"/>
      <c r="D76" s="174"/>
      <c r="E76" s="174"/>
      <c r="F76" s="174"/>
      <c r="G76" s="174"/>
    </row>
    <row r="77" spans="2:7" x14ac:dyDescent="0.25">
      <c r="B77" s="174" t="s">
        <v>733</v>
      </c>
      <c r="C77" s="174"/>
      <c r="D77" s="174"/>
      <c r="E77" s="174"/>
      <c r="F77" s="174"/>
      <c r="G77" s="174"/>
    </row>
    <row r="78" spans="2:7" x14ac:dyDescent="0.25">
      <c r="B78" s="174" t="s">
        <v>735</v>
      </c>
      <c r="C78" s="174"/>
      <c r="D78" s="174"/>
      <c r="E78" s="174"/>
      <c r="F78" s="174"/>
      <c r="G78" s="174"/>
    </row>
    <row r="79" spans="2:7" x14ac:dyDescent="0.25">
      <c r="B79" s="175" t="s">
        <v>736</v>
      </c>
      <c r="C79" s="175"/>
      <c r="D79" s="174"/>
      <c r="E79" s="174"/>
      <c r="F79" s="174"/>
      <c r="G79" s="174"/>
    </row>
    <row r="80" spans="2:7" x14ac:dyDescent="0.25">
      <c r="B80" s="175" t="s">
        <v>805</v>
      </c>
      <c r="C80" s="175"/>
      <c r="D80" s="174"/>
      <c r="E80" s="174"/>
      <c r="F80" s="174"/>
      <c r="G80" s="174"/>
    </row>
    <row r="81" spans="2:7" x14ac:dyDescent="0.25">
      <c r="B81" s="175" t="s">
        <v>738</v>
      </c>
      <c r="C81" s="175"/>
      <c r="D81" s="174"/>
      <c r="E81" s="174"/>
      <c r="F81" s="174"/>
      <c r="G81" s="174"/>
    </row>
    <row r="82" spans="2:7" x14ac:dyDescent="0.25">
      <c r="B82" s="175" t="s">
        <v>740</v>
      </c>
      <c r="C82" s="175"/>
      <c r="D82" s="174"/>
      <c r="E82" s="174"/>
      <c r="F82" s="174"/>
      <c r="G82" s="174"/>
    </row>
    <row r="83" spans="2:7" x14ac:dyDescent="0.25">
      <c r="B83" s="175" t="s">
        <v>742</v>
      </c>
      <c r="C83" s="175"/>
      <c r="D83" s="174"/>
      <c r="E83" s="174"/>
      <c r="F83" s="174"/>
      <c r="G83" s="174"/>
    </row>
    <row r="84" spans="2:7" x14ac:dyDescent="0.25">
      <c r="B84" s="176" t="s">
        <v>744</v>
      </c>
      <c r="C84" s="176"/>
      <c r="D84" s="174"/>
      <c r="E84" s="174"/>
      <c r="F84" s="174"/>
      <c r="G84" s="174"/>
    </row>
    <row r="85" spans="2:7" x14ac:dyDescent="0.25">
      <c r="B85" s="176" t="s">
        <v>747</v>
      </c>
      <c r="C85" s="176"/>
      <c r="D85" s="174"/>
      <c r="E85" s="174"/>
      <c r="F85" s="174"/>
      <c r="G85" s="174"/>
    </row>
    <row r="86" spans="2:7" x14ac:dyDescent="0.25">
      <c r="B86" s="176" t="s">
        <v>765</v>
      </c>
      <c r="C86" s="176"/>
      <c r="D86" s="174"/>
      <c r="E86" s="174"/>
      <c r="F86" s="174"/>
      <c r="G86" s="174"/>
    </row>
    <row r="87" spans="2:7" x14ac:dyDescent="0.25">
      <c r="B87" s="176" t="s">
        <v>748</v>
      </c>
      <c r="C87" s="176"/>
      <c r="D87" s="174"/>
      <c r="E87" s="174"/>
      <c r="F87" s="174"/>
      <c r="G87" s="174"/>
    </row>
    <row r="88" spans="2:7" x14ac:dyDescent="0.25">
      <c r="B88" s="176" t="s">
        <v>750</v>
      </c>
      <c r="C88" s="176"/>
      <c r="D88" s="174"/>
      <c r="E88" s="174"/>
      <c r="F88" s="174"/>
      <c r="G88" s="174"/>
    </row>
    <row r="89" spans="2:7" x14ac:dyDescent="0.25">
      <c r="B89" s="176" t="s">
        <v>788</v>
      </c>
      <c r="C89" s="176"/>
      <c r="D89" s="174"/>
      <c r="E89" s="174"/>
      <c r="F89" s="174"/>
      <c r="G89" s="174"/>
    </row>
    <row r="90" spans="2:7" x14ac:dyDescent="0.25">
      <c r="B90" s="176" t="s">
        <v>759</v>
      </c>
      <c r="C90" s="176"/>
      <c r="D90" s="174"/>
      <c r="E90" s="174"/>
      <c r="F90" s="174"/>
      <c r="G90" s="174"/>
    </row>
    <row r="91" spans="2:7" x14ac:dyDescent="0.25">
      <c r="B91" s="176" t="s">
        <v>761</v>
      </c>
      <c r="C91" s="176"/>
      <c r="D91" s="174"/>
      <c r="E91" s="174"/>
      <c r="F91" s="174"/>
      <c r="G91" s="174"/>
    </row>
    <row r="92" spans="2:7" x14ac:dyDescent="0.25">
      <c r="B92" s="176" t="s">
        <v>763</v>
      </c>
      <c r="C92" s="176"/>
      <c r="D92" s="174"/>
      <c r="E92" s="174"/>
      <c r="F92" s="174"/>
      <c r="G92" s="174"/>
    </row>
    <row r="93" spans="2:7" x14ac:dyDescent="0.25">
      <c r="B93" s="176" t="s">
        <v>767</v>
      </c>
      <c r="C93" s="176"/>
      <c r="D93" s="174"/>
      <c r="E93" s="174"/>
      <c r="F93" s="174"/>
      <c r="G93" s="174"/>
    </row>
    <row r="94" spans="2:7" x14ac:dyDescent="0.25">
      <c r="B94" s="176" t="s">
        <v>769</v>
      </c>
      <c r="C94" s="176"/>
      <c r="D94" s="174"/>
      <c r="E94" s="174"/>
      <c r="F94" s="174"/>
      <c r="G94" s="174"/>
    </row>
    <row r="95" spans="2:7" x14ac:dyDescent="0.25">
      <c r="B95" s="176" t="s">
        <v>770</v>
      </c>
      <c r="C95" s="176"/>
      <c r="D95" s="174"/>
      <c r="E95" s="174"/>
      <c r="F95" s="174"/>
      <c r="G95" s="174"/>
    </row>
    <row r="96" spans="2:7" x14ac:dyDescent="0.25">
      <c r="B96" s="176" t="s">
        <v>772</v>
      </c>
      <c r="C96" s="176"/>
      <c r="D96" s="174"/>
      <c r="E96" s="174"/>
      <c r="F96" s="174"/>
      <c r="G96" s="174"/>
    </row>
    <row r="97" spans="2:7" x14ac:dyDescent="0.25">
      <c r="B97" s="176" t="s">
        <v>796</v>
      </c>
      <c r="C97" s="176"/>
      <c r="D97" s="174"/>
      <c r="E97" s="174"/>
      <c r="F97" s="174"/>
      <c r="G97" s="174"/>
    </row>
    <row r="98" spans="2:7" x14ac:dyDescent="0.25">
      <c r="B98" s="176" t="s">
        <v>807</v>
      </c>
      <c r="C98" s="176"/>
      <c r="D98" s="174"/>
      <c r="E98" s="174"/>
      <c r="F98" s="174"/>
      <c r="G98" s="174"/>
    </row>
    <row r="99" spans="2:7" ht="15" x14ac:dyDescent="0.25">
      <c r="B99" s="177" t="s">
        <v>774</v>
      </c>
      <c r="C99" s="177"/>
      <c r="D99" s="174"/>
      <c r="E99" s="174"/>
      <c r="F99" s="174"/>
      <c r="G99" s="174"/>
    </row>
    <row r="100" spans="2:7" ht="15" x14ac:dyDescent="0.25">
      <c r="B100" s="177" t="s">
        <v>781</v>
      </c>
      <c r="C100" s="177"/>
      <c r="D100" s="174"/>
      <c r="E100" s="174"/>
      <c r="F100" s="174"/>
      <c r="G100" s="174"/>
    </row>
    <row r="101" spans="2:7" ht="15" x14ac:dyDescent="0.25">
      <c r="B101" s="177" t="s">
        <v>783</v>
      </c>
      <c r="C101" s="177"/>
      <c r="D101" s="174"/>
      <c r="E101" s="174"/>
      <c r="F101" s="174"/>
      <c r="G101" s="174"/>
    </row>
    <row r="102" spans="2:7" ht="15" x14ac:dyDescent="0.25">
      <c r="B102" s="177" t="s">
        <v>785</v>
      </c>
      <c r="C102" s="177"/>
      <c r="D102" s="174"/>
      <c r="E102" s="174"/>
      <c r="F102" s="174"/>
      <c r="G102" s="174"/>
    </row>
    <row r="103" spans="2:7" ht="15" x14ac:dyDescent="0.25">
      <c r="B103" s="177" t="s">
        <v>808</v>
      </c>
      <c r="C103" s="177"/>
      <c r="D103" s="174"/>
      <c r="E103" s="174"/>
      <c r="F103" s="174"/>
      <c r="G103" s="174"/>
    </row>
    <row r="104" spans="2:7" ht="15" x14ac:dyDescent="0.25">
      <c r="B104" s="177" t="s">
        <v>787</v>
      </c>
      <c r="C104" s="177"/>
      <c r="D104" s="174"/>
      <c r="E104" s="174"/>
      <c r="F104" s="174"/>
      <c r="G104" s="174"/>
    </row>
    <row r="105" spans="2:7" ht="15" x14ac:dyDescent="0.25">
      <c r="B105" s="177" t="s">
        <v>777</v>
      </c>
      <c r="C105" s="177"/>
      <c r="D105" s="174"/>
      <c r="E105" s="174"/>
      <c r="F105" s="174"/>
      <c r="G105" s="174"/>
    </row>
    <row r="106" spans="2:7" ht="15" x14ac:dyDescent="0.25">
      <c r="B106" s="177" t="s">
        <v>779</v>
      </c>
      <c r="C106" s="177"/>
      <c r="D106" s="174"/>
      <c r="E106" s="174"/>
      <c r="F106" s="174"/>
      <c r="G106" s="174"/>
    </row>
    <row r="107" spans="2:7" ht="15" x14ac:dyDescent="0.25">
      <c r="B107" s="177" t="s">
        <v>810</v>
      </c>
      <c r="C107" s="177"/>
      <c r="D107" s="174"/>
      <c r="E107" s="174"/>
      <c r="F107" s="174"/>
      <c r="G107" s="174"/>
    </row>
    <row r="108" spans="2:7" ht="15" x14ac:dyDescent="0.25">
      <c r="B108" s="177" t="s">
        <v>793</v>
      </c>
      <c r="C108" s="177"/>
      <c r="D108" s="174"/>
      <c r="E108" s="174"/>
      <c r="F108" s="174"/>
      <c r="G108" s="174"/>
    </row>
    <row r="109" spans="2:7" ht="15" x14ac:dyDescent="0.25">
      <c r="B109" s="177" t="s">
        <v>812</v>
      </c>
      <c r="C109" s="177"/>
      <c r="D109" s="174"/>
      <c r="E109" s="174"/>
      <c r="F109" s="174"/>
      <c r="G109" s="174"/>
    </row>
    <row r="110" spans="2:7" ht="15" x14ac:dyDescent="0.25">
      <c r="B110" s="177" t="s">
        <v>814</v>
      </c>
      <c r="C110" s="177"/>
      <c r="D110" s="174"/>
      <c r="E110" s="174"/>
      <c r="F110" s="174"/>
      <c r="G110" s="174"/>
    </row>
    <row r="111" spans="2:7" ht="15" x14ac:dyDescent="0.25">
      <c r="B111" s="178" t="s">
        <v>657</v>
      </c>
      <c r="C111" s="178"/>
      <c r="D111" s="174"/>
      <c r="E111" s="174"/>
      <c r="F111" s="174"/>
      <c r="G111" s="174"/>
    </row>
  </sheetData>
  <sheetProtection formatCells="0" formatColumns="0" formatRows="0" insertColumns="0" insertRows="0" insertHyperlinks="0" deleteColumns="0" deleteRows="0" sort="0" autoFilter="0" pivotTables="0"/>
  <dataValidations count="3">
    <dataValidation type="list" allowBlank="1" showInputMessage="1" showErrorMessage="1" sqref="D67:E68" xr:uid="{B019EAD9-559A-4532-85DD-07B48FA7AD8D}">
      <formula1>Atribut</formula1>
    </dataValidation>
    <dataValidation type="list" allowBlank="1" showInputMessage="1" showErrorMessage="1" sqref="D9:D66" xr:uid="{1E29A3A5-0B0A-48CD-8F34-0F34012EEAC4}">
      <formula1>Sistemes</formula1>
    </dataValidation>
    <dataValidation allowBlank="1" showInputMessage="1" showErrorMessage="1" sqref="B127:C131" xr:uid="{9CD81002-CB1D-44E8-A399-2CC9D026ED51}"/>
  </dataValidations>
  <pageMargins left="0.7" right="0.7" top="0.75" bottom="0.75" header="0.3" footer="0.3"/>
  <headerFooter>
    <oddFooter>&amp;L_x000D_&amp;1#&amp;"Calibri"&amp;9&amp;KCF022B C2 – Uso Restringit</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AC24EDCE-090A-4A0B-A1C7-6DD58C31223D}">
          <x14:formula1>
            <xm:f>Llistes!$R$2:$R$106</xm:f>
          </x14:formula1>
          <xm:sqref>B9:C126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9E3A0-F2F3-46B7-8389-25CA0CBE80E6}">
  <dimension ref="A1:O46"/>
  <sheetViews>
    <sheetView zoomScale="115" zoomScaleNormal="115" workbookViewId="0">
      <pane ySplit="5" topLeftCell="A6" activePane="bottomLeft" state="frozen"/>
      <selection pane="bottomLeft" activeCell="D11" sqref="D11"/>
    </sheetView>
  </sheetViews>
  <sheetFormatPr defaultColWidth="11.42578125" defaultRowHeight="15" x14ac:dyDescent="0.25"/>
  <cols>
    <col min="1" max="1" width="1.5703125" customWidth="1"/>
    <col min="3" max="3" width="4.5703125" style="49" customWidth="1"/>
    <col min="4" max="4" width="32.42578125" customWidth="1"/>
    <col min="5" max="5" width="8.42578125" customWidth="1"/>
    <col min="6" max="6" width="34.5703125" style="68" customWidth="1"/>
    <col min="8" max="15" width="11.5703125" style="4"/>
  </cols>
  <sheetData>
    <row r="1" spans="1:15" s="13" customFormat="1" ht="13.5" x14ac:dyDescent="0.25">
      <c r="A1" s="12"/>
      <c r="B1" s="12"/>
      <c r="C1" s="25"/>
      <c r="E1" s="14"/>
      <c r="F1" s="63"/>
      <c r="H1" s="15"/>
      <c r="I1" s="16"/>
    </row>
    <row r="2" spans="1:15" s="13" customFormat="1" ht="13.5" x14ac:dyDescent="0.25">
      <c r="A2" s="12"/>
      <c r="B2" s="12"/>
      <c r="C2" s="25"/>
      <c r="E2" s="14"/>
      <c r="F2" s="63"/>
      <c r="H2" s="15"/>
      <c r="I2" s="16"/>
    </row>
    <row r="3" spans="1:15" s="13" customFormat="1" ht="13.5" x14ac:dyDescent="0.25">
      <c r="A3" s="12"/>
      <c r="B3" s="12"/>
      <c r="C3" s="25"/>
      <c r="E3" s="14"/>
      <c r="F3" s="63"/>
      <c r="H3" s="15"/>
      <c r="I3" s="16"/>
    </row>
    <row r="4" spans="1:15" s="13" customFormat="1" ht="13.5" x14ac:dyDescent="0.25">
      <c r="A4" s="12"/>
      <c r="B4" s="12"/>
      <c r="C4" s="25"/>
      <c r="E4" s="14"/>
      <c r="F4" s="63"/>
      <c r="H4" s="15"/>
      <c r="I4" s="16"/>
    </row>
    <row r="5" spans="1:15" s="20" customFormat="1" ht="24.75" thickBot="1" x14ac:dyDescent="0.45">
      <c r="B5" s="21" t="s">
        <v>220</v>
      </c>
      <c r="C5" s="21"/>
      <c r="D5" s="21"/>
      <c r="E5" s="21"/>
      <c r="F5" s="64"/>
      <c r="G5" s="21"/>
      <c r="H5" s="22"/>
      <c r="I5" s="22"/>
      <c r="J5" s="21"/>
      <c r="K5" s="21"/>
      <c r="L5" s="21"/>
      <c r="M5" s="21"/>
      <c r="N5" s="21"/>
      <c r="O5" s="21"/>
    </row>
    <row r="6" spans="1:15" s="20" customFormat="1" ht="24.75" thickTop="1" x14ac:dyDescent="0.4">
      <c r="B6" s="40"/>
      <c r="C6" s="38"/>
      <c r="D6" s="38"/>
      <c r="E6" s="38"/>
      <c r="F6" s="65"/>
      <c r="G6" s="38"/>
      <c r="H6" s="39"/>
      <c r="I6" s="39"/>
      <c r="J6" s="38"/>
      <c r="K6" s="38"/>
      <c r="L6" s="38"/>
      <c r="M6" s="38"/>
      <c r="N6" s="38"/>
      <c r="O6" s="38"/>
    </row>
    <row r="7" spans="1:15" x14ac:dyDescent="0.25">
      <c r="B7" s="4"/>
      <c r="C7" s="50" t="s">
        <v>143</v>
      </c>
      <c r="D7" s="4"/>
      <c r="E7" s="4"/>
      <c r="F7" s="66"/>
      <c r="G7" s="4"/>
    </row>
    <row r="8" spans="1:15" x14ac:dyDescent="0.25">
      <c r="B8" s="4"/>
      <c r="C8" s="50"/>
      <c r="D8" s="51" t="s">
        <v>425</v>
      </c>
      <c r="E8" s="51">
        <f>COUNTA(ConjuntsDades)</f>
        <v>104</v>
      </c>
      <c r="F8" s="66"/>
      <c r="G8" s="4"/>
    </row>
    <row r="9" spans="1:15" x14ac:dyDescent="0.25">
      <c r="B9" s="4"/>
      <c r="C9" s="50"/>
      <c r="D9" s="51" t="s">
        <v>222</v>
      </c>
      <c r="E9" s="71">
        <f>AVERAGE('Conjunts de dades'!C6:AB6)</f>
        <v>8.076923076923076E-2</v>
      </c>
      <c r="F9" s="67"/>
      <c r="G9" s="4"/>
    </row>
    <row r="10" spans="1:15" x14ac:dyDescent="0.25">
      <c r="B10" s="4"/>
      <c r="C10" s="50"/>
      <c r="D10" s="51" t="s">
        <v>424</v>
      </c>
      <c r="E10" s="51" cm="1">
        <f t="array" ref="E10">IFERROR(_xlfn.LET(_xlpm.a,_xlfn._xlws.FILTER(Dominis_a_ConjuntsDades,Dominis_a_ConjuntsDades&lt;&gt;""),_xlpm.u,_xlfn.UNIQUE(_xlpm.a),SUM(--ISNA(MATCH(_xlpm.u,Dominis,0)))),0)</f>
        <v>1</v>
      </c>
      <c r="F10" s="67" t="str">
        <f>IF(E10=0,"","Hi ha "&amp;E10&amp;" Conjunts de dades sense Domini vàlid")</f>
        <v>Hi ha 1 Conjunts de dades sense Domini vàlid</v>
      </c>
      <c r="G10" s="4"/>
    </row>
    <row r="11" spans="1:15" x14ac:dyDescent="0.25">
      <c r="B11" s="4"/>
      <c r="C11" s="50"/>
      <c r="D11" s="188" t="s">
        <v>426</v>
      </c>
      <c r="E11" s="51">
        <f>E19-E21</f>
        <v>6</v>
      </c>
      <c r="F11" s="67" t="str">
        <f>IF(E19&gt;E21,"Hi ha "&amp;E19-E21&amp;" dominis sense cap entitat identificalda")</f>
        <v>Hi ha 6 dominis sense cap entitat identificalda</v>
      </c>
      <c r="G11" s="4"/>
    </row>
    <row r="12" spans="1:15" x14ac:dyDescent="0.25">
      <c r="B12" s="4"/>
      <c r="C12" s="50"/>
      <c r="D12" s="51" t="s">
        <v>427</v>
      </c>
      <c r="E12" s="51">
        <f>E28-E29</f>
        <v>37</v>
      </c>
      <c r="F12" s="67" t="str">
        <f>IF(E28&gt;E29,"Hi ha "&amp;E28-E29&amp;" sistemes sense cap Conjunt de dades identificat")</f>
        <v>Hi ha 37 sistemes sense cap Conjunt de dades identificat</v>
      </c>
      <c r="G12" s="4"/>
    </row>
    <row r="13" spans="1:15" x14ac:dyDescent="0.25">
      <c r="B13" s="4"/>
      <c r="C13" s="50"/>
      <c r="D13" s="51"/>
      <c r="E13" s="51"/>
      <c r="F13" s="67"/>
      <c r="G13" s="4"/>
    </row>
    <row r="14" spans="1:15" x14ac:dyDescent="0.25">
      <c r="B14" s="4"/>
      <c r="C14" s="50"/>
      <c r="D14" s="51"/>
      <c r="E14" s="51"/>
      <c r="F14" s="67"/>
      <c r="G14" s="4"/>
    </row>
    <row r="15" spans="1:15" s="105" customFormat="1" x14ac:dyDescent="0.25">
      <c r="B15" s="106"/>
      <c r="C15" s="107"/>
      <c r="D15" s="108" t="s">
        <v>228</v>
      </c>
      <c r="E15" s="108">
        <f>COUNTA(_xlfn.UNIQUE(Rel_ConjuntsDades_Entitats))-1</f>
        <v>0</v>
      </c>
      <c r="F15" s="104" t="str">
        <f>IF(E8&gt;E15,"Hi ha "&amp;E8-E15&amp;" conjunts de dades no relacionats amb cap entitat")</f>
        <v>Hi ha 104 conjunts de dades no relacionats amb cap entitat</v>
      </c>
      <c r="G15" s="106"/>
      <c r="H15" s="106"/>
      <c r="I15" s="106"/>
      <c r="J15" s="106"/>
      <c r="K15" s="106"/>
      <c r="L15" s="106"/>
      <c r="M15" s="106"/>
      <c r="N15" s="106"/>
      <c r="O15" s="106"/>
    </row>
    <row r="16" spans="1:15" x14ac:dyDescent="0.25">
      <c r="B16" s="4"/>
      <c r="C16" s="50"/>
      <c r="D16" s="4"/>
      <c r="E16" s="4"/>
      <c r="F16" s="66"/>
      <c r="G16" s="4"/>
      <c r="I16"/>
    </row>
    <row r="17" spans="2:15" x14ac:dyDescent="0.25">
      <c r="B17" s="4"/>
      <c r="C17" s="50"/>
      <c r="D17" s="4"/>
      <c r="E17" s="4"/>
      <c r="F17" s="66"/>
      <c r="G17" s="4"/>
      <c r="I17"/>
    </row>
    <row r="18" spans="2:15" x14ac:dyDescent="0.25">
      <c r="B18" s="4"/>
      <c r="C18" s="50" t="s">
        <v>50</v>
      </c>
      <c r="D18" s="4"/>
      <c r="E18" s="4"/>
      <c r="F18" s="66"/>
      <c r="G18" s="4"/>
    </row>
    <row r="19" spans="2:15" x14ac:dyDescent="0.25">
      <c r="B19" s="4"/>
      <c r="C19" s="50"/>
      <c r="D19" s="51" t="s">
        <v>221</v>
      </c>
      <c r="E19" s="51">
        <f>COUNTA(Dominis)</f>
        <v>35</v>
      </c>
      <c r="F19" s="66"/>
      <c r="G19" s="4"/>
    </row>
    <row r="20" spans="2:15" x14ac:dyDescent="0.25">
      <c r="B20" s="4"/>
      <c r="C20" s="50"/>
      <c r="D20" s="51" t="s">
        <v>222</v>
      </c>
      <c r="E20" s="71" t="e">
        <f>AVERAGE('Dominis de dades'!C7:E7)</f>
        <v>#DIV/0!</v>
      </c>
      <c r="F20" s="67"/>
      <c r="G20" s="4"/>
    </row>
    <row r="21" spans="2:15" x14ac:dyDescent="0.25">
      <c r="B21" s="4"/>
      <c r="C21" s="50"/>
      <c r="D21" s="51" t="s">
        <v>223</v>
      </c>
      <c r="E21" s="51">
        <f>COUNTA(_xlfn.UNIQUE(Dominis_a_ConjuntsDades))-1</f>
        <v>29</v>
      </c>
      <c r="G21" s="4"/>
    </row>
    <row r="22" spans="2:15" x14ac:dyDescent="0.25">
      <c r="B22" s="4"/>
      <c r="C22" s="50"/>
      <c r="D22" s="51" t="s">
        <v>426</v>
      </c>
      <c r="E22" s="51">
        <f>E19-E21</f>
        <v>6</v>
      </c>
      <c r="F22" s="67" t="str">
        <f>IF(E19&gt;E21,"Hi ha "&amp;E19-E21&amp;" dominis sense cap entitat identificalda")</f>
        <v>Hi ha 6 dominis sense cap entitat identificalda</v>
      </c>
      <c r="G22" s="4"/>
    </row>
    <row r="23" spans="2:15" s="105" customFormat="1" x14ac:dyDescent="0.25">
      <c r="B23" s="106"/>
      <c r="C23" s="107"/>
      <c r="D23" s="108" t="s">
        <v>224</v>
      </c>
      <c r="E23" s="108">
        <f>COUNTA(_xlfn.UNIQUE(Dominis_a_Entitats))-1</f>
        <v>0</v>
      </c>
      <c r="F23" s="104" t="str">
        <f>IF(E19&gt;E23,"Hi ha "&amp;E19-E23&amp;" dominis sense cap entitat identificalda")</f>
        <v>Hi ha 35 dominis sense cap entitat identificalda</v>
      </c>
      <c r="G23" s="106"/>
      <c r="H23" s="106"/>
      <c r="I23" s="106"/>
      <c r="J23" s="106"/>
      <c r="K23" s="106"/>
      <c r="L23" s="106"/>
      <c r="M23" s="106"/>
      <c r="N23" s="106"/>
      <c r="O23" s="106"/>
    </row>
    <row r="24" spans="2:15" s="105" customFormat="1" x14ac:dyDescent="0.25">
      <c r="B24" s="106"/>
      <c r="C24" s="107"/>
      <c r="D24" s="108" t="s">
        <v>225</v>
      </c>
      <c r="E24" s="108">
        <f>COUNTA(_xlfn.UNIQUE(Dominis_a_Atributs))-1</f>
        <v>0</v>
      </c>
      <c r="F24" s="104" t="str">
        <f>IF(E19&gt;E24,"Hi ha "&amp;E19-E24&amp;" dominis sense cap atribut identificat")</f>
        <v>Hi ha 35 dominis sense cap atribut identificat</v>
      </c>
      <c r="G24" s="106"/>
      <c r="H24" s="106"/>
      <c r="I24" s="106"/>
      <c r="J24" s="106"/>
      <c r="K24" s="106"/>
      <c r="L24" s="106"/>
      <c r="M24" s="106"/>
      <c r="N24" s="106"/>
      <c r="O24" s="106"/>
    </row>
    <row r="25" spans="2:15" x14ac:dyDescent="0.25">
      <c r="B25" s="4"/>
      <c r="C25" s="50"/>
      <c r="D25" s="4"/>
      <c r="E25" s="75"/>
      <c r="F25" s="67"/>
      <c r="G25" s="4"/>
    </row>
    <row r="26" spans="2:15" x14ac:dyDescent="0.25">
      <c r="B26" s="4"/>
      <c r="C26" s="50"/>
      <c r="D26" s="4"/>
      <c r="E26" s="75"/>
      <c r="F26" s="67"/>
      <c r="G26" s="4"/>
    </row>
    <row r="27" spans="2:15" x14ac:dyDescent="0.25">
      <c r="B27" s="4"/>
      <c r="C27" s="50" t="s">
        <v>234</v>
      </c>
      <c r="D27" s="4"/>
      <c r="E27" s="4"/>
      <c r="F27" s="66"/>
      <c r="G27" s="4"/>
    </row>
    <row r="28" spans="2:15" x14ac:dyDescent="0.25">
      <c r="B28" s="4"/>
      <c r="C28" s="50"/>
      <c r="D28" s="51" t="s">
        <v>235</v>
      </c>
      <c r="E28" s="51">
        <f>COUNTA(Sistemes)</f>
        <v>41</v>
      </c>
      <c r="F28" s="66"/>
      <c r="G28" s="4"/>
    </row>
    <row r="29" spans="2:15" x14ac:dyDescent="0.25">
      <c r="B29" s="4"/>
      <c r="C29" s="50"/>
      <c r="D29" s="51" t="s">
        <v>423</v>
      </c>
      <c r="E29" s="51">
        <f>COUNTA(_xlfn.UNIQUE(Rel_Sistemes_Conjunts))-1</f>
        <v>4</v>
      </c>
      <c r="G29" s="4"/>
    </row>
    <row r="30" spans="2:15" x14ac:dyDescent="0.25">
      <c r="B30" s="4"/>
      <c r="C30" s="50"/>
      <c r="D30" s="51" t="s">
        <v>428</v>
      </c>
      <c r="E30" s="51">
        <f>E28-E29</f>
        <v>37</v>
      </c>
      <c r="F30" s="67" t="str">
        <f>IF(E28&gt;E29,"Hi ha "&amp;E28-E29&amp;" sistemes sense cap Conjunt de dades identificat")</f>
        <v>Hi ha 37 sistemes sense cap Conjunt de dades identificat</v>
      </c>
      <c r="G30" s="4"/>
    </row>
    <row r="31" spans="2:15" x14ac:dyDescent="0.25">
      <c r="B31" s="4"/>
      <c r="C31" s="50"/>
      <c r="D31" s="51" t="s">
        <v>227</v>
      </c>
      <c r="E31" s="71">
        <f>AVERAGE(Sistemes!C7:N7)</f>
        <v>0.17073170731707318</v>
      </c>
      <c r="F31" s="67"/>
      <c r="G31" s="4"/>
    </row>
    <row r="32" spans="2:15" x14ac:dyDescent="0.25">
      <c r="B32" s="4"/>
      <c r="C32" s="50"/>
      <c r="D32" s="4"/>
      <c r="E32" s="4"/>
      <c r="F32" s="66"/>
      <c r="G32" s="4"/>
    </row>
    <row r="33" spans="2:15" x14ac:dyDescent="0.25">
      <c r="B33" s="4"/>
      <c r="C33" s="50"/>
      <c r="D33" s="4"/>
      <c r="E33" s="4"/>
      <c r="F33" s="66"/>
      <c r="G33" s="4"/>
    </row>
    <row r="34" spans="2:15" s="105" customFormat="1" x14ac:dyDescent="0.25">
      <c r="B34" s="106"/>
      <c r="C34" s="107" t="s">
        <v>147</v>
      </c>
      <c r="D34" s="106"/>
      <c r="E34" s="106"/>
      <c r="F34" s="104"/>
      <c r="G34" s="106"/>
      <c r="H34" s="106"/>
      <c r="I34" s="106"/>
      <c r="J34" s="106"/>
      <c r="K34" s="106"/>
      <c r="L34" s="106"/>
      <c r="M34" s="106"/>
      <c r="N34" s="106"/>
      <c r="O34" s="106"/>
    </row>
    <row r="35" spans="2:15" s="105" customFormat="1" x14ac:dyDescent="0.25">
      <c r="B35" s="106"/>
      <c r="C35" s="107"/>
      <c r="D35" s="108" t="s">
        <v>226</v>
      </c>
      <c r="E35" s="108">
        <f>COUNTA(Entitats)</f>
        <v>1</v>
      </c>
      <c r="F35" s="104"/>
      <c r="G35" s="106"/>
      <c r="H35" s="106"/>
      <c r="I35" s="106"/>
      <c r="J35" s="106"/>
      <c r="K35" s="106"/>
      <c r="L35" s="106"/>
      <c r="M35" s="106"/>
      <c r="N35" s="106"/>
      <c r="O35" s="106"/>
    </row>
    <row r="36" spans="2:15" s="105" customFormat="1" x14ac:dyDescent="0.25">
      <c r="B36" s="106"/>
      <c r="C36" s="107"/>
      <c r="D36" s="108" t="s">
        <v>228</v>
      </c>
      <c r="E36" s="108">
        <f>COUNTA(_xlfn.UNIQUE(Rel_Entitats_ConjuntsDades))-1</f>
        <v>0</v>
      </c>
      <c r="F36" s="104" t="str">
        <f>IF(E35&gt;E36,"Hi ha "&amp;E35-E36&amp;" entitats no relacionades amb cap conjunt de dades")</f>
        <v>Hi ha 1 entitats no relacionades amb cap conjunt de dades</v>
      </c>
      <c r="G36" s="106"/>
      <c r="H36" s="106"/>
      <c r="I36" s="106"/>
      <c r="J36" s="106"/>
      <c r="K36" s="106"/>
      <c r="L36" s="106"/>
      <c r="M36" s="106"/>
      <c r="N36" s="106"/>
      <c r="O36" s="106"/>
    </row>
    <row r="37" spans="2:15" s="105" customFormat="1" x14ac:dyDescent="0.25">
      <c r="B37" s="106"/>
      <c r="C37" s="107"/>
      <c r="D37" s="108" t="s">
        <v>230</v>
      </c>
      <c r="E37" s="108">
        <f>COUNTA(_xlfn.UNIQUE(Entitats_a_Atributs))-1</f>
        <v>0</v>
      </c>
      <c r="F37" s="104" t="str">
        <f>IF(E35&gt;E37,"Hi ha "&amp;E35-E37&amp;" entitats sense cap atribut identificat")</f>
        <v>Hi ha 1 entitats sense cap atribut identificat</v>
      </c>
      <c r="G37" s="106"/>
      <c r="H37" s="106"/>
      <c r="I37" s="106"/>
      <c r="J37" s="106"/>
      <c r="K37" s="106"/>
      <c r="L37" s="106"/>
      <c r="M37" s="106"/>
      <c r="N37" s="106"/>
      <c r="O37" s="106"/>
    </row>
    <row r="38" spans="2:15" s="105" customFormat="1" x14ac:dyDescent="0.25">
      <c r="B38" s="106"/>
      <c r="C38" s="107"/>
      <c r="D38" s="108" t="s">
        <v>229</v>
      </c>
      <c r="E38" s="108" cm="1">
        <f t="array" ref="E38">IFERROR(_xlfn.LET(_xlpm.a,_xlfn._xlws.FILTER(Dominis_a_Entitats,Dominis_a_Entitats&lt;&gt;""),_xlpm.u,_xlfn.UNIQUE(_xlpm.a),SUM(--ISNA(MATCH(_xlpm.u,Dominis,0)))),0)</f>
        <v>0</v>
      </c>
      <c r="F38" s="104" t="str">
        <f>IF(E38=0,"","Hi ha "&amp;E38&amp;" Entitats sense Domini vàlid")</f>
        <v/>
      </c>
      <c r="G38" s="106"/>
      <c r="H38" s="106"/>
      <c r="I38" s="106"/>
      <c r="J38" s="106"/>
      <c r="K38" s="106"/>
      <c r="L38" s="106"/>
      <c r="M38" s="106"/>
      <c r="N38" s="106"/>
      <c r="O38" s="106"/>
    </row>
    <row r="39" spans="2:15" s="105" customFormat="1" x14ac:dyDescent="0.25">
      <c r="B39" s="106"/>
      <c r="C39" s="107"/>
      <c r="D39" s="108" t="s">
        <v>227</v>
      </c>
      <c r="E39" s="109">
        <f>AVERAGE('Conjunts de dades'!C6:T6)</f>
        <v>0.11877828054298642</v>
      </c>
      <c r="F39" s="104"/>
      <c r="G39" s="106"/>
      <c r="H39" s="106"/>
      <c r="I39" s="106"/>
      <c r="J39" s="106"/>
      <c r="K39" s="106"/>
      <c r="L39" s="106"/>
      <c r="M39" s="106"/>
      <c r="N39" s="106"/>
      <c r="O39" s="106"/>
    </row>
    <row r="40" spans="2:15" s="105" customFormat="1" x14ac:dyDescent="0.25">
      <c r="B40" s="106"/>
      <c r="C40" s="107"/>
      <c r="D40" s="106"/>
      <c r="E40" s="106"/>
      <c r="F40" s="104"/>
      <c r="G40" s="106"/>
      <c r="H40" s="106"/>
      <c r="J40" s="106"/>
      <c r="K40" s="106"/>
      <c r="L40" s="106"/>
      <c r="M40" s="106"/>
      <c r="N40" s="106"/>
      <c r="O40" s="106"/>
    </row>
    <row r="41" spans="2:15" s="105" customFormat="1" x14ac:dyDescent="0.25">
      <c r="B41" s="106"/>
      <c r="C41" s="107"/>
      <c r="D41" s="106"/>
      <c r="E41" s="106"/>
      <c r="F41" s="104"/>
      <c r="G41" s="106"/>
      <c r="H41" s="106"/>
      <c r="J41" s="106"/>
      <c r="K41" s="106"/>
      <c r="L41" s="106"/>
      <c r="M41" s="106"/>
      <c r="N41" s="106"/>
      <c r="O41" s="106"/>
    </row>
    <row r="42" spans="2:15" s="105" customFormat="1" x14ac:dyDescent="0.25">
      <c r="B42" s="106"/>
      <c r="C42" s="107" t="s">
        <v>231</v>
      </c>
      <c r="D42" s="106"/>
      <c r="E42" s="106"/>
      <c r="F42" s="104"/>
      <c r="G42" s="106"/>
      <c r="H42" s="106"/>
      <c r="J42" s="106"/>
      <c r="K42" s="106"/>
      <c r="L42" s="106"/>
      <c r="M42" s="106"/>
      <c r="N42" s="106"/>
      <c r="O42" s="106"/>
    </row>
    <row r="43" spans="2:15" s="105" customFormat="1" x14ac:dyDescent="0.25">
      <c r="B43" s="106"/>
      <c r="C43" s="107"/>
      <c r="D43" s="108" t="s">
        <v>232</v>
      </c>
      <c r="E43" s="108">
        <f>COUNTA(Atributs)</f>
        <v>1</v>
      </c>
      <c r="F43" s="104"/>
      <c r="G43" s="106"/>
      <c r="H43" s="106"/>
      <c r="J43" s="106"/>
      <c r="K43" s="106"/>
      <c r="L43" s="106"/>
      <c r="M43" s="106"/>
      <c r="N43" s="106"/>
      <c r="O43" s="106"/>
    </row>
    <row r="44" spans="2:15" s="105" customFormat="1" x14ac:dyDescent="0.25">
      <c r="B44" s="106"/>
      <c r="C44" s="107"/>
      <c r="D44" s="108" t="s">
        <v>233</v>
      </c>
      <c r="E44" s="108" cm="1">
        <f t="array" ref="E44">IFERROR(_xlfn.LET(_xlpm.a,_xlfn._xlws.FILTER(Entitats_a_Atributs,Entitats_a_Atributs&lt;&gt;""),_xlpm.u,_xlfn.UNIQUE(_xlpm.a),SUM(--ISNA(MATCH(_xlpm.u,Entitats,0)))),0)</f>
        <v>0</v>
      </c>
      <c r="F44" s="104" t="str">
        <f>IF(E44=0,"","Hi ha "&amp;E44&amp;" Atributs sense Entitat vàlida")</f>
        <v/>
      </c>
      <c r="G44" s="106"/>
      <c r="H44" s="106"/>
      <c r="J44" s="106"/>
      <c r="K44" s="106"/>
      <c r="L44" s="106"/>
      <c r="M44" s="106"/>
      <c r="N44" s="106"/>
      <c r="O44" s="106"/>
    </row>
    <row r="45" spans="2:15" s="105" customFormat="1" x14ac:dyDescent="0.25">
      <c r="B45" s="106"/>
      <c r="C45" s="107"/>
      <c r="D45" s="108" t="s">
        <v>227</v>
      </c>
      <c r="E45" s="109" t="e">
        <f>AVERAGE(#REF!)</f>
        <v>#REF!</v>
      </c>
      <c r="F45" s="104"/>
      <c r="G45" s="106"/>
      <c r="H45" s="106"/>
      <c r="J45" s="106"/>
      <c r="K45" s="106"/>
      <c r="L45" s="106"/>
      <c r="M45" s="106"/>
      <c r="N45" s="106"/>
      <c r="O45" s="106"/>
    </row>
    <row r="46" spans="2:15" x14ac:dyDescent="0.25">
      <c r="B46" s="4"/>
      <c r="C46" s="50"/>
      <c r="D46" s="4"/>
      <c r="E46" s="4"/>
      <c r="F46" s="66"/>
      <c r="G46" s="4"/>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5C348-C002-477B-8645-C4345BAC0AEC}">
  <dimension ref="A1:E168"/>
  <sheetViews>
    <sheetView zoomScale="85" zoomScaleNormal="85" workbookViewId="0">
      <pane ySplit="4" topLeftCell="A48" activePane="bottomLeft" state="frozen"/>
      <selection activeCell="N1" sqref="N1:N9"/>
      <selection pane="bottomLeft" activeCell="C58" sqref="C58"/>
    </sheetView>
  </sheetViews>
  <sheetFormatPr defaultColWidth="11.42578125" defaultRowHeight="15" x14ac:dyDescent="0.25"/>
  <cols>
    <col min="1" max="1" width="2.5703125" style="4" customWidth="1"/>
    <col min="2" max="2" width="30.5703125" style="113" customWidth="1"/>
    <col min="3" max="3" width="85.5703125" style="87" customWidth="1"/>
    <col min="4" max="4" width="17.42578125" style="87" customWidth="1"/>
    <col min="5" max="5" width="9.5703125" style="95" customWidth="1"/>
    <col min="8" max="8" width="25.42578125" customWidth="1"/>
    <col min="9" max="9" width="102" customWidth="1"/>
  </cols>
  <sheetData>
    <row r="1" spans="1:5" s="13" customFormat="1" ht="13.5" x14ac:dyDescent="0.25">
      <c r="A1" s="12"/>
      <c r="B1" s="110"/>
      <c r="C1" s="119"/>
      <c r="D1" s="120"/>
      <c r="E1" s="14"/>
    </row>
    <row r="2" spans="1:5" s="13" customFormat="1" ht="13.5" x14ac:dyDescent="0.25">
      <c r="A2" s="12"/>
      <c r="B2" s="110"/>
      <c r="C2" s="119"/>
      <c r="D2" s="120"/>
      <c r="E2" s="14"/>
    </row>
    <row r="3" spans="1:5" s="13" customFormat="1" ht="28.7" customHeight="1" x14ac:dyDescent="0.25">
      <c r="A3" s="12"/>
      <c r="B3" s="110"/>
      <c r="C3" s="119"/>
      <c r="D3" s="120"/>
      <c r="E3" s="14"/>
    </row>
    <row r="4" spans="1:5" s="20" customFormat="1" ht="24.75" thickBot="1" x14ac:dyDescent="0.45">
      <c r="B4" s="111" t="s">
        <v>236</v>
      </c>
      <c r="C4" s="111"/>
      <c r="D4" s="111"/>
      <c r="E4" s="21"/>
    </row>
    <row r="5" spans="1:5" s="4" customFormat="1" ht="27" thickTop="1" x14ac:dyDescent="0.25">
      <c r="B5" s="98"/>
      <c r="C5" s="98"/>
      <c r="D5" s="98"/>
      <c r="E5" s="95"/>
    </row>
    <row r="6" spans="1:5" s="4" customFormat="1" ht="26.25" x14ac:dyDescent="0.25">
      <c r="B6" s="98"/>
      <c r="C6" s="98"/>
      <c r="D6" s="98"/>
      <c r="E6" s="95"/>
    </row>
    <row r="7" spans="1:5" s="4" customFormat="1" ht="21" x14ac:dyDescent="0.25">
      <c r="B7" s="112" t="s">
        <v>337</v>
      </c>
      <c r="C7" s="121"/>
      <c r="D7" s="89" t="s">
        <v>237</v>
      </c>
      <c r="E7" s="95"/>
    </row>
    <row r="8" spans="1:5" s="4" customFormat="1" ht="30" x14ac:dyDescent="0.25">
      <c r="B8" s="149" t="s">
        <v>2</v>
      </c>
      <c r="C8" s="148" t="s">
        <v>238</v>
      </c>
      <c r="D8" s="122" t="s">
        <v>215</v>
      </c>
      <c r="E8" s="95"/>
    </row>
    <row r="9" spans="1:5" s="4" customFormat="1" ht="30" x14ac:dyDescent="0.25">
      <c r="B9" s="149" t="s">
        <v>3</v>
      </c>
      <c r="C9" s="148" t="s">
        <v>533</v>
      </c>
      <c r="D9" s="122" t="s">
        <v>215</v>
      </c>
      <c r="E9" s="95"/>
    </row>
    <row r="10" spans="1:5" ht="30" x14ac:dyDescent="0.25">
      <c r="B10" s="149" t="s">
        <v>4</v>
      </c>
      <c r="C10" s="148" t="s">
        <v>433</v>
      </c>
      <c r="D10" s="122" t="s">
        <v>215</v>
      </c>
      <c r="E10" s="93"/>
    </row>
    <row r="11" spans="1:5" ht="30" x14ac:dyDescent="0.25">
      <c r="B11" s="149" t="s">
        <v>184</v>
      </c>
      <c r="C11" s="148" t="s">
        <v>434</v>
      </c>
      <c r="D11" s="122" t="s">
        <v>215</v>
      </c>
      <c r="E11" s="93"/>
    </row>
    <row r="12" spans="1:5" ht="180" x14ac:dyDescent="0.25">
      <c r="B12" s="149" t="s">
        <v>5</v>
      </c>
      <c r="C12" s="148" t="s">
        <v>957</v>
      </c>
      <c r="D12" s="122" t="s">
        <v>239</v>
      </c>
      <c r="E12" s="93"/>
    </row>
    <row r="13" spans="1:5" ht="165" x14ac:dyDescent="0.25">
      <c r="B13" s="149" t="s">
        <v>6</v>
      </c>
      <c r="C13" s="148" t="s">
        <v>958</v>
      </c>
      <c r="D13" s="122" t="s">
        <v>239</v>
      </c>
      <c r="E13" s="93"/>
    </row>
    <row r="14" spans="1:5" ht="30" x14ac:dyDescent="0.25">
      <c r="B14" s="149" t="s">
        <v>8</v>
      </c>
      <c r="C14" s="148" t="s">
        <v>240</v>
      </c>
      <c r="D14" s="122" t="s">
        <v>239</v>
      </c>
      <c r="E14" s="93"/>
    </row>
    <row r="15" spans="1:5" ht="30" x14ac:dyDescent="0.25">
      <c r="B15" s="149" t="s">
        <v>9</v>
      </c>
      <c r="C15" s="148" t="s">
        <v>241</v>
      </c>
      <c r="D15" s="122" t="s">
        <v>216</v>
      </c>
      <c r="E15" s="93"/>
    </row>
    <row r="16" spans="1:5" x14ac:dyDescent="0.25">
      <c r="B16" s="149" t="s">
        <v>10</v>
      </c>
      <c r="C16" s="148" t="s">
        <v>437</v>
      </c>
      <c r="D16" s="122" t="s">
        <v>436</v>
      </c>
      <c r="E16" s="93"/>
    </row>
    <row r="17" spans="1:5" ht="30" x14ac:dyDescent="0.25">
      <c r="B17" s="149" t="s">
        <v>11</v>
      </c>
      <c r="C17" s="148" t="s">
        <v>438</v>
      </c>
      <c r="D17" s="122" t="s">
        <v>215</v>
      </c>
      <c r="E17" s="93"/>
    </row>
    <row r="18" spans="1:5" ht="30" x14ac:dyDescent="0.25">
      <c r="B18" s="149" t="s">
        <v>12</v>
      </c>
      <c r="C18" s="148" t="s">
        <v>435</v>
      </c>
      <c r="D18" s="122" t="s">
        <v>215</v>
      </c>
      <c r="E18" s="93"/>
    </row>
    <row r="19" spans="1:5" ht="30" x14ac:dyDescent="0.25">
      <c r="A19" s="2"/>
      <c r="B19" s="149" t="s">
        <v>13</v>
      </c>
      <c r="C19" s="148" t="s">
        <v>242</v>
      </c>
      <c r="D19" s="122" t="s">
        <v>239</v>
      </c>
      <c r="E19" s="93"/>
    </row>
    <row r="20" spans="1:5" x14ac:dyDescent="0.25">
      <c r="A20" s="2"/>
      <c r="B20" s="149" t="s">
        <v>14</v>
      </c>
      <c r="C20" s="148" t="s">
        <v>243</v>
      </c>
      <c r="D20" s="122" t="s">
        <v>239</v>
      </c>
      <c r="E20" s="93"/>
    </row>
    <row r="21" spans="1:5" x14ac:dyDescent="0.25">
      <c r="B21" s="149" t="s">
        <v>15</v>
      </c>
      <c r="C21" s="148" t="s">
        <v>244</v>
      </c>
      <c r="D21" s="122" t="s">
        <v>215</v>
      </c>
      <c r="E21" s="93"/>
    </row>
    <row r="22" spans="1:5" x14ac:dyDescent="0.25">
      <c r="A22" s="2"/>
      <c r="B22" s="149" t="s">
        <v>16</v>
      </c>
      <c r="C22" s="148" t="s">
        <v>245</v>
      </c>
      <c r="D22" s="122" t="s">
        <v>215</v>
      </c>
      <c r="E22" s="93"/>
    </row>
    <row r="23" spans="1:5" x14ac:dyDescent="0.25">
      <c r="A23" s="2"/>
      <c r="B23" s="149" t="s">
        <v>17</v>
      </c>
      <c r="C23" s="148" t="s">
        <v>246</v>
      </c>
      <c r="D23" s="122" t="s">
        <v>215</v>
      </c>
      <c r="E23" s="93"/>
    </row>
    <row r="24" spans="1:5" ht="60" x14ac:dyDescent="0.25">
      <c r="A24" s="2"/>
      <c r="B24" s="149" t="s">
        <v>585</v>
      </c>
      <c r="C24" s="148" t="s">
        <v>587</v>
      </c>
      <c r="D24" s="122" t="s">
        <v>584</v>
      </c>
      <c r="E24" s="93"/>
    </row>
    <row r="25" spans="1:5" x14ac:dyDescent="0.25">
      <c r="B25" s="114"/>
      <c r="C25" s="5"/>
      <c r="D25" s="5"/>
    </row>
    <row r="26" spans="1:5" x14ac:dyDescent="0.25">
      <c r="B26" s="114"/>
      <c r="C26" s="5"/>
      <c r="D26" s="5"/>
    </row>
    <row r="27" spans="1:5" ht="21" x14ac:dyDescent="0.25">
      <c r="B27" s="147" t="s">
        <v>50</v>
      </c>
      <c r="C27" s="146"/>
      <c r="D27" s="89" t="s">
        <v>237</v>
      </c>
      <c r="E27" s="93"/>
    </row>
    <row r="28" spans="1:5" ht="30" x14ac:dyDescent="0.25">
      <c r="B28" s="145" t="s">
        <v>52</v>
      </c>
      <c r="C28" s="144" t="s">
        <v>429</v>
      </c>
      <c r="D28" s="122" t="s">
        <v>215</v>
      </c>
      <c r="E28" s="93"/>
    </row>
    <row r="29" spans="1:5" ht="45" x14ac:dyDescent="0.25">
      <c r="B29" s="143" t="s">
        <v>3</v>
      </c>
      <c r="C29" s="142" t="s">
        <v>430</v>
      </c>
      <c r="D29" s="122" t="s">
        <v>215</v>
      </c>
      <c r="E29" s="93"/>
    </row>
    <row r="30" spans="1:5" ht="30" x14ac:dyDescent="0.25">
      <c r="B30" s="143" t="s">
        <v>406</v>
      </c>
      <c r="C30" s="142" t="s">
        <v>431</v>
      </c>
      <c r="D30" s="122" t="s">
        <v>215</v>
      </c>
      <c r="E30" s="93"/>
    </row>
    <row r="31" spans="1:5" ht="30" x14ac:dyDescent="0.25">
      <c r="B31" s="143" t="s">
        <v>53</v>
      </c>
      <c r="C31" s="142" t="s">
        <v>432</v>
      </c>
      <c r="D31" s="122" t="s">
        <v>215</v>
      </c>
      <c r="E31" s="93"/>
    </row>
    <row r="32" spans="1:5" ht="60" x14ac:dyDescent="0.25">
      <c r="A32" s="2"/>
      <c r="B32" s="149" t="s">
        <v>585</v>
      </c>
      <c r="C32" s="148" t="s">
        <v>586</v>
      </c>
      <c r="D32" s="150" t="s">
        <v>584</v>
      </c>
      <c r="E32" s="93"/>
    </row>
    <row r="33" spans="1:5" x14ac:dyDescent="0.25">
      <c r="A33" s="93"/>
      <c r="B33" s="116"/>
      <c r="C33" s="116"/>
      <c r="D33" s="116"/>
      <c r="E33" s="93"/>
    </row>
    <row r="34" spans="1:5" x14ac:dyDescent="0.25">
      <c r="A34" s="93"/>
      <c r="B34" s="116"/>
      <c r="C34" s="116"/>
      <c r="D34" s="116"/>
      <c r="E34" s="93"/>
    </row>
    <row r="35" spans="1:5" ht="21" x14ac:dyDescent="0.25">
      <c r="B35" s="147" t="s">
        <v>143</v>
      </c>
      <c r="C35" s="146"/>
      <c r="D35" s="89" t="s">
        <v>237</v>
      </c>
      <c r="E35" s="93"/>
    </row>
    <row r="36" spans="1:5" ht="30" x14ac:dyDescent="0.25">
      <c r="A36" s="2"/>
      <c r="B36" s="143" t="s">
        <v>144</v>
      </c>
      <c r="C36" s="142" t="s">
        <v>439</v>
      </c>
      <c r="D36" s="122" t="s">
        <v>215</v>
      </c>
      <c r="E36" s="93"/>
    </row>
    <row r="37" spans="1:5" ht="45" x14ac:dyDescent="0.25">
      <c r="A37" s="2"/>
      <c r="B37" s="143" t="s">
        <v>3</v>
      </c>
      <c r="C37" s="142" t="s">
        <v>247</v>
      </c>
      <c r="D37" s="122" t="s">
        <v>215</v>
      </c>
      <c r="E37" s="93"/>
    </row>
    <row r="38" spans="1:5" ht="30" x14ac:dyDescent="0.25">
      <c r="A38" s="2"/>
      <c r="B38" s="143" t="s">
        <v>52</v>
      </c>
      <c r="C38" s="142" t="s">
        <v>248</v>
      </c>
      <c r="D38" s="122" t="s">
        <v>215</v>
      </c>
      <c r="E38" s="93"/>
    </row>
    <row r="39" spans="1:5" ht="45" x14ac:dyDescent="0.25">
      <c r="A39" s="2"/>
      <c r="B39" s="143" t="s">
        <v>53</v>
      </c>
      <c r="C39" s="141" t="s">
        <v>440</v>
      </c>
      <c r="D39" s="97" t="s">
        <v>249</v>
      </c>
      <c r="E39" s="93"/>
    </row>
    <row r="40" spans="1:5" ht="240" x14ac:dyDescent="0.25">
      <c r="A40" s="2"/>
      <c r="B40" s="143" t="s">
        <v>564</v>
      </c>
      <c r="C40" s="141" t="s">
        <v>625</v>
      </c>
      <c r="D40" s="142" t="s">
        <v>239</v>
      </c>
      <c r="E40" s="93"/>
    </row>
    <row r="41" spans="1:5" ht="120" x14ac:dyDescent="0.25">
      <c r="A41" s="2"/>
      <c r="B41" s="143" t="s">
        <v>599</v>
      </c>
      <c r="C41" s="141" t="s">
        <v>645</v>
      </c>
      <c r="D41" s="142" t="s">
        <v>239</v>
      </c>
      <c r="E41" s="93"/>
    </row>
    <row r="42" spans="1:5" ht="105" x14ac:dyDescent="0.25">
      <c r="A42" s="2"/>
      <c r="B42" s="143" t="s">
        <v>611</v>
      </c>
      <c r="C42" s="97" t="s">
        <v>652</v>
      </c>
      <c r="D42" s="142" t="s">
        <v>436</v>
      </c>
      <c r="E42" s="93"/>
    </row>
    <row r="43" spans="1:5" ht="120" x14ac:dyDescent="0.25">
      <c r="A43" s="2"/>
      <c r="B43" s="143" t="s">
        <v>610</v>
      </c>
      <c r="C43" s="141" t="s">
        <v>628</v>
      </c>
      <c r="D43" s="142" t="s">
        <v>436</v>
      </c>
      <c r="E43" s="93"/>
    </row>
    <row r="44" spans="1:5" ht="75" x14ac:dyDescent="0.25">
      <c r="A44" s="2"/>
      <c r="B44" s="143" t="s">
        <v>626</v>
      </c>
      <c r="C44" s="141" t="s">
        <v>627</v>
      </c>
      <c r="D44" s="142" t="s">
        <v>436</v>
      </c>
      <c r="E44" s="93"/>
    </row>
    <row r="45" spans="1:5" ht="105" x14ac:dyDescent="0.25">
      <c r="A45" s="2"/>
      <c r="B45" s="143" t="s">
        <v>620</v>
      </c>
      <c r="C45" s="141" t="s">
        <v>629</v>
      </c>
      <c r="D45" s="142" t="s">
        <v>436</v>
      </c>
      <c r="E45" s="93"/>
    </row>
    <row r="46" spans="1:5" ht="120" x14ac:dyDescent="0.25">
      <c r="A46" s="2"/>
      <c r="B46" s="143" t="s">
        <v>612</v>
      </c>
      <c r="C46" s="141" t="s">
        <v>630</v>
      </c>
      <c r="D46" s="142" t="s">
        <v>436</v>
      </c>
      <c r="E46" s="93"/>
    </row>
    <row r="47" spans="1:5" ht="90" x14ac:dyDescent="0.25">
      <c r="A47" s="2"/>
      <c r="B47" s="143" t="s">
        <v>613</v>
      </c>
      <c r="C47" s="141" t="s">
        <v>631</v>
      </c>
      <c r="D47" s="142" t="s">
        <v>436</v>
      </c>
      <c r="E47" s="93"/>
    </row>
    <row r="48" spans="1:5" ht="105" x14ac:dyDescent="0.25">
      <c r="A48" s="2"/>
      <c r="B48" s="143" t="s">
        <v>646</v>
      </c>
      <c r="C48" s="141" t="s">
        <v>632</v>
      </c>
      <c r="D48" s="142" t="s">
        <v>436</v>
      </c>
      <c r="E48" s="93"/>
    </row>
    <row r="49" spans="1:5" ht="45" x14ac:dyDescent="0.25">
      <c r="A49" s="2"/>
      <c r="B49" s="143" t="s">
        <v>600</v>
      </c>
      <c r="C49" s="141" t="s">
        <v>250</v>
      </c>
      <c r="D49" s="142" t="s">
        <v>215</v>
      </c>
      <c r="E49" s="93"/>
    </row>
    <row r="50" spans="1:5" ht="45" x14ac:dyDescent="0.25">
      <c r="A50" s="2"/>
      <c r="B50" s="143" t="s">
        <v>648</v>
      </c>
      <c r="C50" s="141" t="s">
        <v>251</v>
      </c>
      <c r="D50" s="142" t="s">
        <v>215</v>
      </c>
      <c r="E50" s="93"/>
    </row>
    <row r="51" spans="1:5" ht="30" x14ac:dyDescent="0.25">
      <c r="A51" s="2"/>
      <c r="B51" s="143" t="s">
        <v>614</v>
      </c>
      <c r="C51" s="141" t="s">
        <v>616</v>
      </c>
      <c r="D51" s="142" t="s">
        <v>215</v>
      </c>
      <c r="E51" s="93"/>
    </row>
    <row r="52" spans="1:5" ht="30" x14ac:dyDescent="0.25">
      <c r="A52" s="2"/>
      <c r="B52" s="143" t="s">
        <v>649</v>
      </c>
      <c r="C52" s="141" t="s">
        <v>618</v>
      </c>
      <c r="D52" s="142" t="s">
        <v>215</v>
      </c>
      <c r="E52" s="93"/>
    </row>
    <row r="53" spans="1:5" ht="30" x14ac:dyDescent="0.25">
      <c r="A53" s="2"/>
      <c r="B53" s="143" t="s">
        <v>615</v>
      </c>
      <c r="C53" s="141" t="s">
        <v>617</v>
      </c>
      <c r="D53" s="142" t="s">
        <v>215</v>
      </c>
      <c r="E53" s="93"/>
    </row>
    <row r="54" spans="1:5" ht="30" x14ac:dyDescent="0.25">
      <c r="A54" s="2"/>
      <c r="B54" s="143" t="s">
        <v>650</v>
      </c>
      <c r="C54" s="141" t="s">
        <v>619</v>
      </c>
      <c r="D54" s="142" t="s">
        <v>215</v>
      </c>
      <c r="E54" s="93"/>
    </row>
    <row r="55" spans="1:5" ht="135" x14ac:dyDescent="0.25">
      <c r="A55" s="2"/>
      <c r="B55" s="143" t="s">
        <v>572</v>
      </c>
      <c r="C55" s="142" t="s">
        <v>574</v>
      </c>
      <c r="D55" s="84" t="s">
        <v>239</v>
      </c>
      <c r="E55" s="93"/>
    </row>
    <row r="56" spans="1:5" ht="30" x14ac:dyDescent="0.25">
      <c r="A56" s="2"/>
      <c r="B56" s="143" t="s">
        <v>163</v>
      </c>
      <c r="C56" s="142" t="s">
        <v>441</v>
      </c>
      <c r="D56" s="84" t="s">
        <v>239</v>
      </c>
      <c r="E56" s="93"/>
    </row>
    <row r="57" spans="1:5" ht="30" x14ac:dyDescent="0.25">
      <c r="A57" s="2"/>
      <c r="B57" s="143" t="s">
        <v>159</v>
      </c>
      <c r="C57" s="142" t="s">
        <v>442</v>
      </c>
      <c r="D57" s="84" t="s">
        <v>239</v>
      </c>
      <c r="E57" s="93"/>
    </row>
    <row r="58" spans="1:5" x14ac:dyDescent="0.25">
      <c r="A58" s="2"/>
      <c r="B58" s="143" t="s">
        <v>558</v>
      </c>
      <c r="C58" t="s">
        <v>601</v>
      </c>
      <c r="D58" s="84" t="s">
        <v>239</v>
      </c>
      <c r="E58" s="93"/>
    </row>
    <row r="59" spans="1:5" x14ac:dyDescent="0.25">
      <c r="A59" s="2"/>
      <c r="B59" s="143" t="s">
        <v>539</v>
      </c>
      <c r="C59" s="142" t="s">
        <v>576</v>
      </c>
      <c r="D59" s="84" t="s">
        <v>239</v>
      </c>
      <c r="E59" s="93"/>
    </row>
    <row r="60" spans="1:5" x14ac:dyDescent="0.25">
      <c r="A60" s="2"/>
      <c r="B60" s="143" t="s">
        <v>547</v>
      </c>
      <c r="C60" s="142" t="s">
        <v>577</v>
      </c>
      <c r="D60" s="84" t="s">
        <v>239</v>
      </c>
      <c r="E60" s="93"/>
    </row>
    <row r="61" spans="1:5" x14ac:dyDescent="0.25">
      <c r="A61" s="2"/>
      <c r="B61" s="143" t="s">
        <v>545</v>
      </c>
      <c r="C61" s="142" t="s">
        <v>578</v>
      </c>
      <c r="D61" s="150" t="s">
        <v>215</v>
      </c>
      <c r="E61" s="93"/>
    </row>
    <row r="62" spans="1:5" x14ac:dyDescent="0.25">
      <c r="A62" s="2"/>
      <c r="B62" s="143" t="s">
        <v>164</v>
      </c>
      <c r="C62" s="142" t="s">
        <v>443</v>
      </c>
      <c r="D62" s="150" t="s">
        <v>215</v>
      </c>
      <c r="E62" s="93"/>
    </row>
    <row r="63" spans="1:5" ht="150" x14ac:dyDescent="0.25">
      <c r="A63" s="2"/>
      <c r="B63" s="143" t="s">
        <v>595</v>
      </c>
      <c r="C63" s="142" t="s">
        <v>969</v>
      </c>
      <c r="D63" s="150"/>
      <c r="E63" s="93"/>
    </row>
    <row r="64" spans="1:5" x14ac:dyDescent="0.25">
      <c r="A64" s="2"/>
      <c r="B64" s="200" t="s">
        <v>592</v>
      </c>
      <c r="C64" s="142" t="s">
        <v>633</v>
      </c>
      <c r="D64" s="142" t="s">
        <v>239</v>
      </c>
      <c r="E64" s="93"/>
    </row>
    <row r="65" spans="1:5" x14ac:dyDescent="0.25">
      <c r="A65" s="2"/>
      <c r="B65" s="200" t="s">
        <v>112</v>
      </c>
      <c r="C65" s="142" t="s">
        <v>634</v>
      </c>
      <c r="D65" s="142" t="s">
        <v>239</v>
      </c>
      <c r="E65" s="93"/>
    </row>
    <row r="66" spans="1:5" ht="30" x14ac:dyDescent="0.25">
      <c r="A66" s="2"/>
      <c r="B66" s="200" t="s">
        <v>593</v>
      </c>
      <c r="C66" s="142" t="s">
        <v>635</v>
      </c>
      <c r="D66" s="142" t="s">
        <v>239</v>
      </c>
      <c r="E66" s="93"/>
    </row>
    <row r="67" spans="1:5" x14ac:dyDescent="0.25">
      <c r="A67" s="2"/>
      <c r="B67" s="200" t="s">
        <v>594</v>
      </c>
      <c r="C67" s="142" t="s">
        <v>636</v>
      </c>
      <c r="D67" s="142" t="s">
        <v>239</v>
      </c>
      <c r="E67" s="93"/>
    </row>
    <row r="68" spans="1:5" x14ac:dyDescent="0.25">
      <c r="A68" s="2"/>
      <c r="B68" s="200" t="s">
        <v>342</v>
      </c>
      <c r="C68" s="142" t="s">
        <v>637</v>
      </c>
      <c r="D68" s="142" t="s">
        <v>239</v>
      </c>
      <c r="E68" s="93"/>
    </row>
    <row r="69" spans="1:5" x14ac:dyDescent="0.25">
      <c r="A69" s="2"/>
      <c r="B69" s="200" t="s">
        <v>602</v>
      </c>
      <c r="C69" s="142" t="s">
        <v>638</v>
      </c>
      <c r="D69" s="142" t="s">
        <v>239</v>
      </c>
      <c r="E69" s="93"/>
    </row>
    <row r="70" spans="1:5" ht="30" x14ac:dyDescent="0.25">
      <c r="A70" s="2"/>
      <c r="B70" s="200" t="s">
        <v>596</v>
      </c>
      <c r="C70" s="142" t="s">
        <v>639</v>
      </c>
      <c r="D70" s="142" t="s">
        <v>239</v>
      </c>
      <c r="E70" s="93"/>
    </row>
    <row r="71" spans="1:5" ht="30" x14ac:dyDescent="0.25">
      <c r="A71" s="2"/>
      <c r="B71" s="200" t="s">
        <v>597</v>
      </c>
      <c r="C71" s="142" t="s">
        <v>640</v>
      </c>
      <c r="D71" s="142" t="s">
        <v>239</v>
      </c>
      <c r="E71" s="93"/>
    </row>
    <row r="72" spans="1:5" x14ac:dyDescent="0.25">
      <c r="A72" s="2"/>
      <c r="B72" s="200" t="s">
        <v>462</v>
      </c>
      <c r="C72" s="142" t="s">
        <v>641</v>
      </c>
      <c r="D72" s="142" t="s">
        <v>239</v>
      </c>
      <c r="E72" s="93"/>
    </row>
    <row r="73" spans="1:5" x14ac:dyDescent="0.25">
      <c r="A73" s="2"/>
      <c r="B73" s="200" t="s">
        <v>598</v>
      </c>
      <c r="C73" s="142" t="s">
        <v>642</v>
      </c>
      <c r="D73" s="142" t="s">
        <v>239</v>
      </c>
      <c r="E73" s="93"/>
    </row>
    <row r="74" spans="1:5" ht="30" x14ac:dyDescent="0.25">
      <c r="A74" s="2"/>
      <c r="B74" s="200" t="s">
        <v>603</v>
      </c>
      <c r="C74" s="142" t="s">
        <v>643</v>
      </c>
      <c r="D74" s="142" t="s">
        <v>239</v>
      </c>
      <c r="E74" s="93"/>
    </row>
    <row r="75" spans="1:5" ht="30" x14ac:dyDescent="0.25">
      <c r="A75" s="2"/>
      <c r="B75" s="200" t="s">
        <v>604</v>
      </c>
      <c r="C75" s="142" t="s">
        <v>651</v>
      </c>
      <c r="D75" s="142" t="s">
        <v>239</v>
      </c>
      <c r="E75" s="93"/>
    </row>
    <row r="76" spans="1:5" ht="30" x14ac:dyDescent="0.25">
      <c r="A76" s="2"/>
      <c r="B76" s="200" t="s">
        <v>605</v>
      </c>
      <c r="C76" s="142" t="s">
        <v>644</v>
      </c>
      <c r="D76" s="142" t="s">
        <v>239</v>
      </c>
      <c r="E76" s="93"/>
    </row>
    <row r="77" spans="1:5" ht="30" x14ac:dyDescent="0.25">
      <c r="A77" s="2"/>
      <c r="B77" s="200" t="s">
        <v>968</v>
      </c>
      <c r="C77" s="84" t="s">
        <v>970</v>
      </c>
      <c r="D77" s="150" t="s">
        <v>584</v>
      </c>
      <c r="E77" s="93"/>
    </row>
    <row r="78" spans="1:5" x14ac:dyDescent="0.25">
      <c r="A78" s="2"/>
      <c r="B78" s="143" t="s">
        <v>546</v>
      </c>
      <c r="C78" s="142" t="s">
        <v>575</v>
      </c>
      <c r="D78" s="150" t="s">
        <v>215</v>
      </c>
      <c r="E78" s="93"/>
    </row>
    <row r="79" spans="1:5" ht="60" x14ac:dyDescent="0.25">
      <c r="A79" s="2"/>
      <c r="B79" s="143" t="s">
        <v>588</v>
      </c>
      <c r="C79" s="84" t="s">
        <v>591</v>
      </c>
      <c r="D79" s="150" t="s">
        <v>584</v>
      </c>
      <c r="E79" s="93"/>
    </row>
    <row r="80" spans="1:5" ht="60" x14ac:dyDescent="0.25">
      <c r="A80" s="2"/>
      <c r="B80" s="143" t="s">
        <v>589</v>
      </c>
      <c r="C80" s="142" t="s">
        <v>590</v>
      </c>
      <c r="D80" s="150" t="s">
        <v>584</v>
      </c>
      <c r="E80" s="93"/>
    </row>
    <row r="81" spans="2:4" x14ac:dyDescent="0.25">
      <c r="B81" s="114"/>
      <c r="C81" s="5"/>
      <c r="D81" s="5"/>
    </row>
    <row r="82" spans="2:4" x14ac:dyDescent="0.25">
      <c r="B82" s="114"/>
      <c r="C82" s="5"/>
      <c r="D82" s="5"/>
    </row>
    <row r="83" spans="2:4" x14ac:dyDescent="0.25">
      <c r="B83" s="114"/>
      <c r="C83" s="5"/>
      <c r="D83" s="5"/>
    </row>
    <row r="84" spans="2:4" ht="21" x14ac:dyDescent="0.25">
      <c r="B84" s="92" t="s">
        <v>147</v>
      </c>
      <c r="C84" s="89"/>
      <c r="D84" s="89" t="s">
        <v>237</v>
      </c>
    </row>
    <row r="85" spans="2:4" ht="30" x14ac:dyDescent="0.25">
      <c r="B85" s="115" t="s">
        <v>148</v>
      </c>
      <c r="C85" s="97" t="s">
        <v>252</v>
      </c>
      <c r="D85" s="122" t="s">
        <v>215</v>
      </c>
    </row>
    <row r="86" spans="2:4" ht="30" x14ac:dyDescent="0.25">
      <c r="B86" s="115" t="s">
        <v>3</v>
      </c>
      <c r="C86" s="97" t="s">
        <v>253</v>
      </c>
      <c r="D86" s="122" t="s">
        <v>215</v>
      </c>
    </row>
    <row r="87" spans="2:4" x14ac:dyDescent="0.25">
      <c r="B87" s="115" t="s">
        <v>149</v>
      </c>
      <c r="C87" s="97" t="s">
        <v>254</v>
      </c>
      <c r="D87" s="97" t="s">
        <v>239</v>
      </c>
    </row>
    <row r="88" spans="2:4" ht="45" x14ac:dyDescent="0.25">
      <c r="B88" s="115" t="s">
        <v>150</v>
      </c>
      <c r="C88" s="97" t="s">
        <v>255</v>
      </c>
      <c r="D88" s="97" t="s">
        <v>256</v>
      </c>
    </row>
    <row r="89" spans="2:4" ht="30" x14ac:dyDescent="0.25">
      <c r="B89" s="115" t="s">
        <v>7</v>
      </c>
      <c r="C89" s="97" t="s">
        <v>257</v>
      </c>
      <c r="D89" s="97" t="s">
        <v>239</v>
      </c>
    </row>
    <row r="90" spans="2:4" ht="45" x14ac:dyDescent="0.25">
      <c r="B90" s="115" t="s">
        <v>151</v>
      </c>
      <c r="C90" s="97" t="s">
        <v>258</v>
      </c>
      <c r="D90" s="97" t="s">
        <v>259</v>
      </c>
    </row>
    <row r="91" spans="2:4" x14ac:dyDescent="0.25">
      <c r="B91" s="115" t="s">
        <v>152</v>
      </c>
      <c r="C91" s="97" t="s">
        <v>260</v>
      </c>
      <c r="D91" s="97" t="s">
        <v>239</v>
      </c>
    </row>
    <row r="92" spans="2:4" ht="30" x14ac:dyDescent="0.25">
      <c r="B92" s="115" t="s">
        <v>54</v>
      </c>
      <c r="C92" s="97" t="s">
        <v>261</v>
      </c>
      <c r="D92" s="97" t="s">
        <v>239</v>
      </c>
    </row>
    <row r="93" spans="2:4" ht="30" x14ac:dyDescent="0.25">
      <c r="B93" s="115" t="s">
        <v>153</v>
      </c>
      <c r="C93" s="97" t="s">
        <v>262</v>
      </c>
      <c r="D93" s="122" t="s">
        <v>215</v>
      </c>
    </row>
    <row r="94" spans="2:4" ht="30" x14ac:dyDescent="0.25">
      <c r="B94" s="115" t="s">
        <v>154</v>
      </c>
      <c r="C94" s="97" t="s">
        <v>263</v>
      </c>
      <c r="D94" s="122" t="s">
        <v>215</v>
      </c>
    </row>
    <row r="95" spans="2:4" ht="30" x14ac:dyDescent="0.25">
      <c r="B95" s="115" t="s">
        <v>155</v>
      </c>
      <c r="C95" s="97" t="s">
        <v>264</v>
      </c>
      <c r="D95" s="122" t="s">
        <v>215</v>
      </c>
    </row>
    <row r="96" spans="2:4" x14ac:dyDescent="0.25">
      <c r="B96" s="115" t="s">
        <v>156</v>
      </c>
      <c r="C96" s="97" t="s">
        <v>265</v>
      </c>
      <c r="D96" s="122" t="s">
        <v>215</v>
      </c>
    </row>
    <row r="97" spans="2:4" ht="30" x14ac:dyDescent="0.25">
      <c r="B97" s="115" t="s">
        <v>157</v>
      </c>
      <c r="C97" s="97" t="s">
        <v>266</v>
      </c>
      <c r="D97" s="122" t="s">
        <v>215</v>
      </c>
    </row>
    <row r="98" spans="2:4" x14ac:dyDescent="0.25">
      <c r="B98" s="115" t="s">
        <v>158</v>
      </c>
      <c r="C98" s="97" t="s">
        <v>267</v>
      </c>
      <c r="D98" s="122" t="s">
        <v>215</v>
      </c>
    </row>
    <row r="99" spans="2:4" ht="30" x14ac:dyDescent="0.25">
      <c r="B99" s="115" t="s">
        <v>159</v>
      </c>
      <c r="C99" s="97" t="s">
        <v>268</v>
      </c>
      <c r="D99" s="97" t="s">
        <v>239</v>
      </c>
    </row>
    <row r="100" spans="2:4" x14ac:dyDescent="0.25">
      <c r="B100" s="115" t="s">
        <v>160</v>
      </c>
      <c r="C100" s="97" t="s">
        <v>269</v>
      </c>
      <c r="D100" s="122" t="s">
        <v>215</v>
      </c>
    </row>
    <row r="101" spans="2:4" ht="30" x14ac:dyDescent="0.25">
      <c r="B101" s="115" t="s">
        <v>161</v>
      </c>
      <c r="C101" s="97" t="s">
        <v>270</v>
      </c>
      <c r="D101" s="122" t="s">
        <v>215</v>
      </c>
    </row>
    <row r="102" spans="2:4" ht="30" x14ac:dyDescent="0.25">
      <c r="B102" s="115" t="s">
        <v>162</v>
      </c>
      <c r="C102" s="97" t="s">
        <v>271</v>
      </c>
      <c r="D102" s="122" t="s">
        <v>215</v>
      </c>
    </row>
    <row r="103" spans="2:4" ht="30" x14ac:dyDescent="0.25">
      <c r="B103" s="115" t="s">
        <v>13</v>
      </c>
      <c r="C103" s="97" t="s">
        <v>272</v>
      </c>
      <c r="D103" s="97" t="s">
        <v>239</v>
      </c>
    </row>
    <row r="104" spans="2:4" x14ac:dyDescent="0.25">
      <c r="B104" s="115" t="s">
        <v>163</v>
      </c>
      <c r="C104" s="97" t="s">
        <v>273</v>
      </c>
      <c r="D104" s="122" t="s">
        <v>215</v>
      </c>
    </row>
    <row r="105" spans="2:4" x14ac:dyDescent="0.25">
      <c r="B105" s="115" t="s">
        <v>274</v>
      </c>
      <c r="C105" s="97" t="s">
        <v>275</v>
      </c>
      <c r="D105" s="122" t="s">
        <v>215</v>
      </c>
    </row>
    <row r="106" spans="2:4" x14ac:dyDescent="0.25">
      <c r="B106" s="115" t="s">
        <v>159</v>
      </c>
      <c r="C106" s="97" t="s">
        <v>276</v>
      </c>
      <c r="D106" s="122" t="s">
        <v>215</v>
      </c>
    </row>
    <row r="107" spans="2:4" ht="30" x14ac:dyDescent="0.25">
      <c r="B107" s="115" t="s">
        <v>164</v>
      </c>
      <c r="C107" s="97" t="s">
        <v>277</v>
      </c>
      <c r="D107" s="122" t="s">
        <v>215</v>
      </c>
    </row>
    <row r="110" spans="2:4" ht="42" x14ac:dyDescent="0.25">
      <c r="B110" s="92" t="s">
        <v>185</v>
      </c>
      <c r="C110" s="89"/>
      <c r="D110" s="89" t="s">
        <v>237</v>
      </c>
    </row>
    <row r="111" spans="2:4" ht="30" x14ac:dyDescent="0.25">
      <c r="B111" s="115" t="s">
        <v>186</v>
      </c>
      <c r="C111" s="97" t="s">
        <v>278</v>
      </c>
      <c r="D111" s="97" t="s">
        <v>239</v>
      </c>
    </row>
    <row r="112" spans="2:4" ht="30" x14ac:dyDescent="0.25">
      <c r="B112" s="115" t="s">
        <v>187</v>
      </c>
      <c r="C112" s="97" t="s">
        <v>279</v>
      </c>
      <c r="D112" s="97" t="s">
        <v>239</v>
      </c>
    </row>
    <row r="113" spans="2:4" ht="30" x14ac:dyDescent="0.25">
      <c r="B113" s="115" t="s">
        <v>188</v>
      </c>
      <c r="C113" s="97" t="s">
        <v>280</v>
      </c>
      <c r="D113" s="122" t="s">
        <v>215</v>
      </c>
    </row>
    <row r="116" spans="2:4" ht="21" x14ac:dyDescent="0.25">
      <c r="B116" s="92" t="s">
        <v>231</v>
      </c>
      <c r="C116" s="89"/>
      <c r="D116" s="89" t="s">
        <v>237</v>
      </c>
    </row>
    <row r="117" spans="2:4" ht="30" x14ac:dyDescent="0.25">
      <c r="B117" s="115" t="s">
        <v>194</v>
      </c>
      <c r="C117" s="97" t="s">
        <v>281</v>
      </c>
      <c r="D117" s="122" t="s">
        <v>215</v>
      </c>
    </row>
    <row r="118" spans="2:4" ht="30" x14ac:dyDescent="0.25">
      <c r="B118" s="115" t="s">
        <v>195</v>
      </c>
      <c r="C118" s="97" t="s">
        <v>282</v>
      </c>
      <c r="D118" s="122" t="s">
        <v>215</v>
      </c>
    </row>
    <row r="119" spans="2:4" ht="30" x14ac:dyDescent="0.25">
      <c r="B119" s="115" t="s">
        <v>187</v>
      </c>
      <c r="C119" s="97" t="s">
        <v>283</v>
      </c>
      <c r="D119" s="122" t="s">
        <v>215</v>
      </c>
    </row>
    <row r="120" spans="2:4" ht="30" x14ac:dyDescent="0.25">
      <c r="B120" s="115" t="s">
        <v>196</v>
      </c>
      <c r="C120" s="97" t="s">
        <v>284</v>
      </c>
      <c r="D120" s="97" t="s">
        <v>285</v>
      </c>
    </row>
    <row r="121" spans="2:4" ht="30" x14ac:dyDescent="0.25">
      <c r="B121" s="115" t="s">
        <v>197</v>
      </c>
      <c r="C121" s="97" t="s">
        <v>286</v>
      </c>
      <c r="D121" s="97" t="s">
        <v>239</v>
      </c>
    </row>
    <row r="122" spans="2:4" x14ac:dyDescent="0.25">
      <c r="B122" s="115" t="s">
        <v>198</v>
      </c>
      <c r="C122" s="97" t="s">
        <v>287</v>
      </c>
      <c r="D122" s="97" t="s">
        <v>239</v>
      </c>
    </row>
    <row r="123" spans="2:4" x14ac:dyDescent="0.25">
      <c r="B123" s="115" t="s">
        <v>199</v>
      </c>
      <c r="C123" s="97" t="s">
        <v>288</v>
      </c>
      <c r="D123" s="97" t="s">
        <v>239</v>
      </c>
    </row>
    <row r="124" spans="2:4" x14ac:dyDescent="0.25">
      <c r="B124" s="115" t="s">
        <v>200</v>
      </c>
      <c r="C124" s="97" t="s">
        <v>289</v>
      </c>
      <c r="D124" s="97" t="s">
        <v>239</v>
      </c>
    </row>
    <row r="125" spans="2:4" ht="30" x14ac:dyDescent="0.25">
      <c r="B125" s="115" t="s">
        <v>201</v>
      </c>
      <c r="C125" s="97" t="s">
        <v>290</v>
      </c>
      <c r="D125" s="122" t="s">
        <v>215</v>
      </c>
    </row>
    <row r="126" spans="2:4" ht="30" x14ac:dyDescent="0.25">
      <c r="B126" s="115" t="s">
        <v>202</v>
      </c>
      <c r="C126" s="97" t="s">
        <v>291</v>
      </c>
      <c r="D126" s="122" t="s">
        <v>215</v>
      </c>
    </row>
    <row r="127" spans="2:4" x14ac:dyDescent="0.25">
      <c r="B127" s="115" t="s">
        <v>203</v>
      </c>
      <c r="C127" s="97" t="s">
        <v>292</v>
      </c>
      <c r="D127" s="97" t="s">
        <v>239</v>
      </c>
    </row>
    <row r="128" spans="2:4" x14ac:dyDescent="0.25">
      <c r="B128" s="115" t="s">
        <v>204</v>
      </c>
      <c r="C128" s="97" t="s">
        <v>293</v>
      </c>
      <c r="D128" s="122" t="s">
        <v>215</v>
      </c>
    </row>
    <row r="129" spans="2:4" x14ac:dyDescent="0.25">
      <c r="B129" s="115" t="s">
        <v>205</v>
      </c>
      <c r="C129" s="97" t="s">
        <v>294</v>
      </c>
      <c r="D129" s="122" t="s">
        <v>215</v>
      </c>
    </row>
    <row r="130" spans="2:4" x14ac:dyDescent="0.25">
      <c r="B130" s="115" t="s">
        <v>206</v>
      </c>
      <c r="C130" s="97" t="s">
        <v>295</v>
      </c>
      <c r="D130" s="122" t="s">
        <v>215</v>
      </c>
    </row>
    <row r="131" spans="2:4" ht="30" x14ac:dyDescent="0.25">
      <c r="B131" s="115" t="s">
        <v>207</v>
      </c>
      <c r="C131" s="97" t="s">
        <v>296</v>
      </c>
      <c r="D131" s="122" t="s">
        <v>215</v>
      </c>
    </row>
    <row r="132" spans="2:4" x14ac:dyDescent="0.25">
      <c r="B132" s="115" t="s">
        <v>208</v>
      </c>
      <c r="C132" s="97"/>
      <c r="D132" s="122" t="s">
        <v>215</v>
      </c>
    </row>
    <row r="133" spans="2:4" x14ac:dyDescent="0.25">
      <c r="B133" s="115" t="s">
        <v>209</v>
      </c>
      <c r="C133" s="97"/>
      <c r="D133" s="122" t="s">
        <v>215</v>
      </c>
    </row>
    <row r="134" spans="2:4" x14ac:dyDescent="0.25">
      <c r="B134" s="115" t="s">
        <v>210</v>
      </c>
      <c r="C134" s="97"/>
      <c r="D134" s="122" t="s">
        <v>215</v>
      </c>
    </row>
    <row r="135" spans="2:4" x14ac:dyDescent="0.25">
      <c r="B135" s="115" t="s">
        <v>211</v>
      </c>
      <c r="C135" s="97"/>
      <c r="D135" s="122" t="s">
        <v>215</v>
      </c>
    </row>
    <row r="136" spans="2:4" x14ac:dyDescent="0.25">
      <c r="B136" s="115" t="s">
        <v>212</v>
      </c>
      <c r="C136" s="97"/>
      <c r="D136" s="122" t="s">
        <v>215</v>
      </c>
    </row>
    <row r="137" spans="2:4" x14ac:dyDescent="0.25">
      <c r="B137" s="115" t="s">
        <v>14</v>
      </c>
      <c r="C137" s="97"/>
      <c r="D137" s="97" t="s">
        <v>239</v>
      </c>
    </row>
    <row r="138" spans="2:4" x14ac:dyDescent="0.25">
      <c r="B138" s="115" t="s">
        <v>213</v>
      </c>
      <c r="C138" s="97"/>
      <c r="D138" s="122" t="s">
        <v>215</v>
      </c>
    </row>
    <row r="139" spans="2:4" x14ac:dyDescent="0.25">
      <c r="B139" s="115" t="s">
        <v>214</v>
      </c>
      <c r="C139" s="97"/>
      <c r="D139" s="122" t="s">
        <v>215</v>
      </c>
    </row>
    <row r="160" spans="2:4" ht="47.25" thickBot="1" x14ac:dyDescent="0.3">
      <c r="B160" s="117" t="s">
        <v>297</v>
      </c>
      <c r="C160" s="86"/>
      <c r="D160" s="86"/>
    </row>
    <row r="161" spans="2:4" ht="21" x14ac:dyDescent="0.25">
      <c r="B161" s="118" t="s">
        <v>298</v>
      </c>
      <c r="C161" s="85" t="s">
        <v>3</v>
      </c>
      <c r="D161" s="85" t="s">
        <v>3</v>
      </c>
    </row>
    <row r="162" spans="2:4" ht="60" x14ac:dyDescent="0.25">
      <c r="B162" s="115" t="s">
        <v>299</v>
      </c>
      <c r="C162" s="84" t="s">
        <v>300</v>
      </c>
      <c r="D162" s="84" t="s">
        <v>300</v>
      </c>
    </row>
    <row r="163" spans="2:4" ht="60" x14ac:dyDescent="0.25">
      <c r="B163" s="115" t="s">
        <v>301</v>
      </c>
      <c r="C163" s="84" t="s">
        <v>302</v>
      </c>
      <c r="D163" s="84" t="s">
        <v>302</v>
      </c>
    </row>
    <row r="164" spans="2:4" ht="75" x14ac:dyDescent="0.25">
      <c r="B164" s="115" t="s">
        <v>303</v>
      </c>
      <c r="C164" s="84" t="s">
        <v>304</v>
      </c>
      <c r="D164" s="84" t="s">
        <v>304</v>
      </c>
    </row>
    <row r="165" spans="2:4" ht="75" x14ac:dyDescent="0.25">
      <c r="B165" s="115" t="s">
        <v>305</v>
      </c>
      <c r="C165" s="84" t="s">
        <v>306</v>
      </c>
      <c r="D165" s="84" t="s">
        <v>306</v>
      </c>
    </row>
    <row r="166" spans="2:4" ht="90" x14ac:dyDescent="0.25">
      <c r="B166" s="115" t="s">
        <v>307</v>
      </c>
      <c r="C166" s="84" t="s">
        <v>308</v>
      </c>
      <c r="D166" s="84" t="s">
        <v>308</v>
      </c>
    </row>
    <row r="167" spans="2:4" ht="75" x14ac:dyDescent="0.25">
      <c r="B167" s="115" t="s">
        <v>309</v>
      </c>
      <c r="C167" s="84" t="s">
        <v>310</v>
      </c>
      <c r="D167" s="84" t="s">
        <v>310</v>
      </c>
    </row>
    <row r="168" spans="2:4" ht="105" x14ac:dyDescent="0.25">
      <c r="B168" s="115" t="s">
        <v>311</v>
      </c>
      <c r="C168" s="84" t="s">
        <v>312</v>
      </c>
      <c r="D168" s="84" t="s">
        <v>312</v>
      </c>
    </row>
  </sheetData>
  <sortState xmlns:xlrd2="http://schemas.microsoft.com/office/spreadsheetml/2017/richdata2" ref="C45:C46">
    <sortCondition descending="1" ref="C45:C46"/>
  </sortState>
  <pageMargins left="0.7" right="0.7" top="0.75" bottom="0.75" header="0.3" footer="0.3"/>
  <pageSetup paperSize="9" orientation="portrait" r:id="rId1"/>
  <headerFooter>
    <oddFooter>&amp;L_x000D_&amp;1#&amp;"Tahoma"&amp;9&amp;KCF022B C2 – Uso Restringit</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CB4FA-05D2-4637-9559-99A0FE43C6D1}">
  <dimension ref="A1:N11"/>
  <sheetViews>
    <sheetView zoomScaleNormal="100" workbookViewId="0">
      <pane ySplit="4" topLeftCell="A7" activePane="bottomLeft" state="frozen"/>
      <selection pane="bottomLeft" activeCell="C11" sqref="C11"/>
    </sheetView>
  </sheetViews>
  <sheetFormatPr defaultColWidth="11.42578125" defaultRowHeight="15" x14ac:dyDescent="0.25"/>
  <cols>
    <col min="1" max="1" width="2.5703125" style="4" customWidth="1"/>
    <col min="2" max="2" width="31" style="94" customWidth="1"/>
    <col min="3" max="3" width="29.42578125" style="87" customWidth="1"/>
    <col min="4" max="4" width="80" style="87" customWidth="1"/>
    <col min="5" max="5" width="85.85546875" style="95" customWidth="1"/>
    <col min="6" max="14" width="11.42578125" style="4"/>
  </cols>
  <sheetData>
    <row r="1" spans="1:14" s="4" customFormat="1" x14ac:dyDescent="0.25">
      <c r="B1" s="90"/>
      <c r="C1" s="5"/>
      <c r="D1" s="5"/>
      <c r="E1" s="95"/>
      <c r="G1" s="208"/>
      <c r="N1" s="4" t="s">
        <v>50</v>
      </c>
    </row>
    <row r="2" spans="1:14" s="4" customFormat="1" ht="62.1" customHeight="1" thickBot="1" x14ac:dyDescent="0.3">
      <c r="B2" s="10" t="s">
        <v>313</v>
      </c>
      <c r="C2" s="103" t="s">
        <v>416</v>
      </c>
      <c r="D2" s="101"/>
      <c r="E2" s="96"/>
      <c r="F2" s="7"/>
      <c r="G2" s="209"/>
      <c r="H2" s="8"/>
    </row>
    <row r="3" spans="1:14" s="2" customFormat="1" ht="15.75" thickTop="1" x14ac:dyDescent="0.25">
      <c r="A3" s="1"/>
      <c r="B3" s="91"/>
      <c r="C3" s="102"/>
      <c r="D3" s="102"/>
      <c r="E3" s="93"/>
    </row>
    <row r="4" spans="1:14" ht="21" x14ac:dyDescent="0.25">
      <c r="B4" s="92" t="s">
        <v>314</v>
      </c>
      <c r="C4" s="89" t="s">
        <v>315</v>
      </c>
      <c r="D4" s="89" t="s">
        <v>316</v>
      </c>
      <c r="E4" s="93"/>
    </row>
    <row r="5" spans="1:14" ht="164.45" customHeight="1" x14ac:dyDescent="0.25">
      <c r="B5" s="100" t="s">
        <v>234</v>
      </c>
      <c r="C5" s="99" t="s">
        <v>317</v>
      </c>
      <c r="D5" s="97" t="s">
        <v>318</v>
      </c>
      <c r="E5" s="93"/>
    </row>
    <row r="6" spans="1:14" ht="135.6" customHeight="1" x14ac:dyDescent="0.25">
      <c r="B6" s="100" t="s">
        <v>52</v>
      </c>
      <c r="C6" s="99" t="s">
        <v>317</v>
      </c>
      <c r="D6" s="97" t="s">
        <v>319</v>
      </c>
      <c r="E6" s="93"/>
    </row>
    <row r="7" spans="1:14" ht="143.1" customHeight="1" x14ac:dyDescent="0.25">
      <c r="B7" s="88" t="s">
        <v>186</v>
      </c>
      <c r="C7" s="99" t="s">
        <v>320</v>
      </c>
      <c r="D7" s="97" t="s">
        <v>321</v>
      </c>
      <c r="E7" s="93"/>
    </row>
    <row r="8" spans="1:14" ht="90" x14ac:dyDescent="0.25">
      <c r="B8" s="88" t="s">
        <v>147</v>
      </c>
      <c r="C8" s="99" t="s">
        <v>322</v>
      </c>
      <c r="D8" s="97" t="s">
        <v>323</v>
      </c>
      <c r="E8" s="93"/>
    </row>
    <row r="9" spans="1:14" ht="45" x14ac:dyDescent="0.25">
      <c r="B9" s="88" t="s">
        <v>324</v>
      </c>
      <c r="C9" s="99" t="s">
        <v>325</v>
      </c>
      <c r="D9" s="97" t="s">
        <v>326</v>
      </c>
      <c r="E9" s="93"/>
    </row>
    <row r="10" spans="1:14" ht="45" x14ac:dyDescent="0.25">
      <c r="B10" s="88" t="s">
        <v>231</v>
      </c>
      <c r="C10" s="99" t="s">
        <v>327</v>
      </c>
      <c r="D10" s="97" t="s">
        <v>328</v>
      </c>
      <c r="E10" s="93"/>
    </row>
    <row r="11" spans="1:14" x14ac:dyDescent="0.25">
      <c r="A11" s="2"/>
      <c r="B11" s="93"/>
      <c r="C11" s="2"/>
      <c r="D11" s="2"/>
      <c r="E11" s="93"/>
    </row>
  </sheetData>
  <mergeCells count="1">
    <mergeCell ref="G1:G2"/>
  </mergeCells>
  <pageMargins left="0.7" right="0.7" top="0.75" bottom="0.75" header="0.3" footer="0.3"/>
  <headerFooter>
    <oddFooter>&amp;L_x000D_&amp;1#&amp;"Tahoma"&amp;9&amp;KCF022B C2 – Uso Restringit</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05891-503E-41AE-85F0-178B95DD4FE1}">
  <dimension ref="A1:BV280"/>
  <sheetViews>
    <sheetView topLeftCell="D19" workbookViewId="0">
      <selection activeCell="J25" sqref="J25"/>
    </sheetView>
  </sheetViews>
  <sheetFormatPr defaultColWidth="10.85546875" defaultRowHeight="15" x14ac:dyDescent="0.25"/>
  <cols>
    <col min="1" max="1" width="1.5703125" style="44" customWidth="1"/>
    <col min="2" max="2" width="39.5703125" style="44" bestFit="1" customWidth="1"/>
    <col min="3" max="3" width="1.5703125" style="44" customWidth="1"/>
    <col min="4" max="4" width="20.5703125" style="44" customWidth="1"/>
    <col min="5" max="5" width="1.5703125" style="44" customWidth="1"/>
    <col min="6" max="6" width="13.42578125" style="44" bestFit="1" customWidth="1"/>
    <col min="7" max="7" width="1.5703125" style="44" customWidth="1"/>
    <col min="8" max="8" width="20.5703125" style="44" customWidth="1"/>
    <col min="9" max="9" width="2.5703125" style="44" customWidth="1"/>
    <col min="10" max="10" width="22.42578125" style="44" bestFit="1" customWidth="1"/>
    <col min="11" max="11" width="2.5703125" style="44" customWidth="1"/>
    <col min="12" max="12" width="8.5703125" style="44" bestFit="1" customWidth="1"/>
    <col min="13" max="13" width="1.5703125" style="44" customWidth="1"/>
    <col min="14" max="14" width="46.5703125" style="44" customWidth="1"/>
    <col min="15" max="15" width="1.5703125" style="44" customWidth="1"/>
    <col min="16" max="16" width="25.140625" style="44" bestFit="1" customWidth="1"/>
    <col min="17" max="17" width="1.5703125" style="44" customWidth="1"/>
    <col min="18" max="18" width="54.42578125" style="44" customWidth="1"/>
    <col min="19" max="19" width="1.5703125" style="44" customWidth="1"/>
    <col min="20" max="20" width="20.5703125" style="44" bestFit="1" customWidth="1"/>
    <col min="21" max="21" width="1.5703125" style="44" customWidth="1"/>
    <col min="22" max="22" width="20.5703125" style="44" customWidth="1"/>
    <col min="23" max="23" width="1.5703125" style="44" customWidth="1"/>
    <col min="24" max="24" width="22.42578125" style="44" bestFit="1" customWidth="1"/>
    <col min="25" max="25" width="54.140625" style="44" bestFit="1" customWidth="1"/>
    <col min="26" max="26" width="1.5703125" style="44" customWidth="1"/>
    <col min="27" max="27" width="19.140625" style="44" bestFit="1" customWidth="1"/>
    <col min="28" max="28" width="1.5703125" style="44" customWidth="1"/>
    <col min="29" max="29" width="9.42578125" style="44" bestFit="1" customWidth="1"/>
    <col min="30" max="30" width="1.5703125" style="44" customWidth="1"/>
    <col min="31" max="31" width="9.42578125" style="44" bestFit="1" customWidth="1"/>
    <col min="32" max="32" width="1.5703125" style="44" customWidth="1"/>
    <col min="33" max="33" width="42.5703125" style="44" customWidth="1"/>
    <col min="34" max="34" width="1.5703125" style="44" customWidth="1"/>
    <col min="35" max="35" width="27.140625" style="44" bestFit="1" customWidth="1"/>
    <col min="36" max="36" width="1.5703125" style="44" customWidth="1"/>
    <col min="37" max="37" width="21.5703125" style="44" bestFit="1" customWidth="1"/>
    <col min="38" max="38" width="1.5703125" style="44" customWidth="1"/>
    <col min="39" max="39" width="21.5703125" style="44" bestFit="1" customWidth="1"/>
    <col min="40" max="40" width="1.5703125" style="44" customWidth="1"/>
    <col min="41" max="41" width="19.140625" style="44" bestFit="1" customWidth="1"/>
    <col min="42" max="42" width="1.5703125" style="44" customWidth="1"/>
    <col min="43" max="43" width="12.140625" style="44" bestFit="1" customWidth="1"/>
    <col min="44" max="44" width="1.5703125" style="44" customWidth="1"/>
    <col min="45" max="45" width="16.85546875" style="44" bestFit="1" customWidth="1"/>
    <col min="46" max="46" width="1.5703125" style="44" customWidth="1"/>
    <col min="47" max="47" width="20.42578125" style="44" bestFit="1" customWidth="1"/>
    <col min="48" max="48" width="1.5703125" style="44" customWidth="1"/>
    <col min="49" max="49" width="6.140625" style="44" bestFit="1" customWidth="1"/>
    <col min="50" max="50" width="1.5703125" style="44" customWidth="1"/>
    <col min="51" max="51" width="32.42578125" style="44" bestFit="1" customWidth="1"/>
    <col min="52" max="52" width="1.5703125" style="44" customWidth="1"/>
    <col min="53" max="53" width="11.5703125" style="44" bestFit="1"/>
    <col min="54" max="54" width="1.5703125" style="44" customWidth="1"/>
    <col min="55" max="55" width="11.5703125" style="44" bestFit="1"/>
    <col min="56" max="56" width="1.5703125" style="44" customWidth="1"/>
    <col min="57" max="57" width="39.5703125" style="44" customWidth="1"/>
    <col min="58" max="58" width="2.5703125" style="44" customWidth="1"/>
    <col min="59" max="59" width="11.42578125" style="44" bestFit="1" customWidth="1"/>
    <col min="60" max="60" width="2.5703125" style="44" customWidth="1"/>
    <col min="61" max="61" width="10.5703125" style="44" bestFit="1" customWidth="1"/>
    <col min="62" max="62" width="2.5703125" style="44" customWidth="1"/>
    <col min="63" max="63" width="7.42578125" style="44" bestFit="1" customWidth="1"/>
    <col min="64" max="64" width="1.5703125" style="44" customWidth="1"/>
    <col min="65" max="65" width="20.5703125" style="44" bestFit="1" customWidth="1"/>
    <col min="66" max="66" width="1.5703125" style="44" customWidth="1"/>
    <col min="67" max="67" width="21.5703125" style="44" bestFit="1" customWidth="1"/>
    <col min="68" max="68" width="1.5703125" style="44" customWidth="1"/>
    <col min="69" max="69" width="8.5703125" style="44" bestFit="1" customWidth="1"/>
    <col min="70" max="70" width="1.5703125" style="44" customWidth="1"/>
    <col min="71" max="71" width="14.140625" style="44" customWidth="1"/>
    <col min="72" max="73" width="1.5703125" style="44" customWidth="1"/>
    <col min="74" max="74" width="11.5703125" style="44" bestFit="1"/>
    <col min="16383" max="16384" width="10.85546875" bestFit="1" customWidth="1"/>
  </cols>
  <sheetData>
    <row r="1" spans="2:74" x14ac:dyDescent="0.25">
      <c r="B1" s="130" t="s">
        <v>2</v>
      </c>
      <c r="D1" s="130" t="s">
        <v>5</v>
      </c>
      <c r="F1" s="130" t="s">
        <v>329</v>
      </c>
      <c r="H1" s="130" t="s">
        <v>8</v>
      </c>
      <c r="J1" s="130" t="s">
        <v>13</v>
      </c>
      <c r="K1" s="44" t="s">
        <v>330</v>
      </c>
      <c r="L1" s="130" t="s">
        <v>14</v>
      </c>
      <c r="N1" s="78" t="s">
        <v>7</v>
      </c>
      <c r="P1" s="78" t="s">
        <v>406</v>
      </c>
      <c r="R1" s="168" t="s">
        <v>186</v>
      </c>
      <c r="T1" s="80" t="s">
        <v>599</v>
      </c>
      <c r="V1" s="80" t="s">
        <v>560</v>
      </c>
      <c r="X1" s="80" t="s">
        <v>54</v>
      </c>
      <c r="Y1" s="80"/>
      <c r="AA1" s="80" t="s">
        <v>566</v>
      </c>
      <c r="AC1" s="80" t="s">
        <v>339</v>
      </c>
      <c r="AE1" s="80" t="s">
        <v>536</v>
      </c>
      <c r="AG1" s="80" t="s">
        <v>548</v>
      </c>
      <c r="AI1" s="80" t="s">
        <v>549</v>
      </c>
      <c r="AK1" s="80" t="s">
        <v>159</v>
      </c>
      <c r="AM1" s="80" t="s">
        <v>542</v>
      </c>
      <c r="AO1" s="163" t="s">
        <v>331</v>
      </c>
      <c r="AQ1" s="163" t="s">
        <v>149</v>
      </c>
      <c r="AS1" s="163" t="s">
        <v>150</v>
      </c>
      <c r="AU1" s="164" t="s">
        <v>332</v>
      </c>
      <c r="AW1" s="81" t="s">
        <v>197</v>
      </c>
      <c r="AY1" s="81" t="s">
        <v>199</v>
      </c>
      <c r="BA1" s="81" t="s">
        <v>203</v>
      </c>
      <c r="BC1" s="82" t="s">
        <v>333</v>
      </c>
      <c r="BE1" s="43" t="s">
        <v>334</v>
      </c>
      <c r="BG1" s="43" t="s">
        <v>335</v>
      </c>
      <c r="BI1" s="43" t="s">
        <v>237</v>
      </c>
      <c r="BK1" s="43" t="s">
        <v>336</v>
      </c>
      <c r="BM1" s="43" t="s">
        <v>337</v>
      </c>
      <c r="BO1" s="43" t="s">
        <v>164</v>
      </c>
      <c r="BQ1" s="43" t="s">
        <v>338</v>
      </c>
      <c r="BS1" s="43" t="s">
        <v>624</v>
      </c>
      <c r="BT1" s="43"/>
      <c r="BV1" s="81" t="s">
        <v>540</v>
      </c>
    </row>
    <row r="2" spans="2:74" ht="23.25" x14ac:dyDescent="0.25">
      <c r="B2" s="131" t="str" cm="1">
        <f t="array" ref="B2:B43">_xlfn._xlws.SORT(_xlfn.UNIQUE(Sistemes))</f>
        <v>Catàleg de tràmits i eina de tramitació digital</v>
      </c>
      <c r="D2" s="46" t="s">
        <v>22</v>
      </c>
      <c r="F2" s="46" t="s">
        <v>340</v>
      </c>
      <c r="H2" s="46" t="s">
        <v>19</v>
      </c>
      <c r="J2" s="46" t="s">
        <v>27</v>
      </c>
      <c r="K2" s="44" t="s">
        <v>330</v>
      </c>
      <c r="L2" s="46" t="s">
        <v>27</v>
      </c>
      <c r="N2" s="30" t="s">
        <v>55</v>
      </c>
      <c r="P2" s="46" t="s">
        <v>411</v>
      </c>
      <c r="R2" s="169" t="s">
        <v>819</v>
      </c>
      <c r="T2" s="46" t="s">
        <v>606</v>
      </c>
      <c r="V2" s="46" t="s">
        <v>562</v>
      </c>
      <c r="X2" s="46" t="s">
        <v>66</v>
      </c>
      <c r="Y2" s="44" t="s">
        <v>341</v>
      </c>
      <c r="AA2" s="46" t="s">
        <v>567</v>
      </c>
      <c r="AC2" s="46" t="s">
        <v>177</v>
      </c>
      <c r="AE2" s="46" t="s">
        <v>559</v>
      </c>
      <c r="AG2" s="46" t="s">
        <v>550</v>
      </c>
      <c r="AI2" s="46" t="s">
        <v>557</v>
      </c>
      <c r="AK2" s="46" t="s">
        <v>166</v>
      </c>
      <c r="AM2" s="46" t="s">
        <v>169</v>
      </c>
      <c r="AO2" s="46" t="s">
        <v>343</v>
      </c>
      <c r="AQ2" s="46" t="s">
        <v>169</v>
      </c>
      <c r="AS2" s="76" t="s">
        <v>178</v>
      </c>
      <c r="AU2" s="46" t="s">
        <v>169</v>
      </c>
      <c r="AW2" s="46" t="s">
        <v>169</v>
      </c>
      <c r="AY2" s="46" t="s">
        <v>344</v>
      </c>
      <c r="BA2" s="46" t="s">
        <v>169</v>
      </c>
      <c r="BC2" s="47" t="s">
        <v>345</v>
      </c>
      <c r="BE2" s="45" t="s">
        <v>346</v>
      </c>
      <c r="BG2" s="46" t="s">
        <v>347</v>
      </c>
      <c r="BI2" s="46" t="s">
        <v>215</v>
      </c>
      <c r="BK2" s="46" t="s">
        <v>348</v>
      </c>
      <c r="BM2" s="46" t="s">
        <v>349</v>
      </c>
      <c r="BO2" s="46" t="s">
        <v>168</v>
      </c>
      <c r="BQ2" s="46" t="s">
        <v>350</v>
      </c>
      <c r="BS2" s="165" t="s">
        <v>959</v>
      </c>
      <c r="BT2" s="165">
        <v>1</v>
      </c>
      <c r="BV2" s="46" t="s">
        <v>169</v>
      </c>
    </row>
    <row r="3" spans="2:74" ht="23.25" x14ac:dyDescent="0.25">
      <c r="B3" s="131" t="str">
        <v>Comptabilitat municipal</v>
      </c>
      <c r="D3" s="46" t="s">
        <v>25</v>
      </c>
      <c r="F3" s="46" t="s">
        <v>351</v>
      </c>
      <c r="H3" s="46" t="s">
        <v>31</v>
      </c>
      <c r="J3" s="46" t="s">
        <v>21</v>
      </c>
      <c r="K3" s="44" t="s">
        <v>330</v>
      </c>
      <c r="L3" s="46" t="s">
        <v>21</v>
      </c>
      <c r="N3" s="30" t="s">
        <v>59</v>
      </c>
      <c r="P3" s="46" t="s">
        <v>412</v>
      </c>
      <c r="R3" s="169" t="s">
        <v>820</v>
      </c>
      <c r="T3" s="46" t="s">
        <v>607</v>
      </c>
      <c r="V3" s="46" t="s">
        <v>561</v>
      </c>
      <c r="X3" s="46" t="s">
        <v>76</v>
      </c>
      <c r="Y3" s="44" t="s">
        <v>352</v>
      </c>
      <c r="AA3" s="46" t="s">
        <v>568</v>
      </c>
      <c r="AC3" s="46" t="s">
        <v>170</v>
      </c>
      <c r="AE3" s="46" t="s">
        <v>537</v>
      </c>
      <c r="AG3" s="46" t="s">
        <v>552</v>
      </c>
      <c r="AI3" s="46" t="s">
        <v>622</v>
      </c>
      <c r="AK3" s="46" t="s">
        <v>171</v>
      </c>
      <c r="AM3" s="46" t="s">
        <v>23</v>
      </c>
      <c r="AO3" s="46" t="s">
        <v>353</v>
      </c>
      <c r="AQ3" s="46" t="s">
        <v>23</v>
      </c>
      <c r="AS3" s="76" t="e" cm="1">
        <f t="array" ref="AS3">_xlfn._xlws.SORT(_xlfn.UNIQUE(_xlfn._xlws.FILTER(Entitats,#REF!="Si")))</f>
        <v>#REF!</v>
      </c>
      <c r="AU3" s="46" t="s">
        <v>23</v>
      </c>
      <c r="AW3" s="46" t="s">
        <v>23</v>
      </c>
      <c r="AY3" s="46" t="s">
        <v>354</v>
      </c>
      <c r="BA3" s="46" t="s">
        <v>23</v>
      </c>
      <c r="BC3" s="48" t="s">
        <v>218</v>
      </c>
      <c r="BE3" s="45" t="s">
        <v>355</v>
      </c>
      <c r="BG3" s="46" t="s">
        <v>356</v>
      </c>
      <c r="BI3" s="46" t="s">
        <v>357</v>
      </c>
      <c r="BK3" s="46" t="s">
        <v>145</v>
      </c>
      <c r="BM3" s="46" t="s">
        <v>358</v>
      </c>
      <c r="BO3" s="46" t="s">
        <v>172</v>
      </c>
      <c r="BQ3" s="46" t="s">
        <v>359</v>
      </c>
      <c r="BS3" s="165" t="s">
        <v>960</v>
      </c>
      <c r="BT3" s="165">
        <v>1</v>
      </c>
      <c r="BV3" s="46" t="s">
        <v>23</v>
      </c>
    </row>
    <row r="4" spans="2:74" ht="23.25" x14ac:dyDescent="0.25">
      <c r="B4" s="131" t="str">
        <v>Control horari</v>
      </c>
      <c r="D4" s="46" t="s">
        <v>28</v>
      </c>
      <c r="F4" s="46" t="s">
        <v>360</v>
      </c>
      <c r="H4" s="46" t="s">
        <v>361</v>
      </c>
      <c r="J4" s="46" t="s">
        <v>26</v>
      </c>
      <c r="K4" s="44" t="s">
        <v>330</v>
      </c>
      <c r="L4" s="46" t="s">
        <v>24</v>
      </c>
      <c r="N4" s="30" t="s">
        <v>63</v>
      </c>
      <c r="P4" s="46" t="s">
        <v>408</v>
      </c>
      <c r="R4" s="169" t="s">
        <v>821</v>
      </c>
      <c r="T4" s="46" t="s">
        <v>608</v>
      </c>
      <c r="V4" s="46" t="s">
        <v>404</v>
      </c>
      <c r="X4" s="46" t="s">
        <v>70</v>
      </c>
      <c r="Y4" s="44" t="s">
        <v>362</v>
      </c>
      <c r="AA4" s="46" t="s">
        <v>569</v>
      </c>
      <c r="AC4" s="46" t="s">
        <v>370</v>
      </c>
      <c r="AE4" s="46" t="s">
        <v>538</v>
      </c>
      <c r="AG4" s="46" t="s">
        <v>551</v>
      </c>
      <c r="AI4" s="46" t="s">
        <v>623</v>
      </c>
      <c r="AK4" s="46" t="s">
        <v>173</v>
      </c>
      <c r="AM4" s="46" t="s">
        <v>541</v>
      </c>
      <c r="AO4" s="46" t="s">
        <v>363</v>
      </c>
      <c r="AQ4" s="46"/>
      <c r="AS4" s="76"/>
      <c r="AU4" s="46"/>
      <c r="AW4" s="46"/>
      <c r="AY4" s="46" t="s">
        <v>364</v>
      </c>
      <c r="BA4" s="46"/>
      <c r="BC4" s="48" t="s">
        <v>365</v>
      </c>
      <c r="BE4" s="45" t="s">
        <v>366</v>
      </c>
      <c r="BG4" s="46" t="s">
        <v>367</v>
      </c>
      <c r="BI4" s="46" t="s">
        <v>217</v>
      </c>
      <c r="BK4" s="46" t="s">
        <v>368</v>
      </c>
      <c r="BM4" s="46" t="s">
        <v>29</v>
      </c>
      <c r="BO4" s="46" t="s">
        <v>175</v>
      </c>
      <c r="BQ4" s="46" t="s">
        <v>369</v>
      </c>
      <c r="BS4" s="195" t="s">
        <v>961</v>
      </c>
      <c r="BT4" s="195">
        <v>2</v>
      </c>
      <c r="BV4" s="46" t="s">
        <v>541</v>
      </c>
    </row>
    <row r="5" spans="2:74" ht="23.25" x14ac:dyDescent="0.25">
      <c r="B5" s="131" t="str">
        <v>Eina de gestió de la participació</v>
      </c>
      <c r="D5" s="46" t="s">
        <v>18</v>
      </c>
      <c r="F5" s="72" t="s">
        <v>22</v>
      </c>
      <c r="H5" s="46" t="s">
        <v>32</v>
      </c>
      <c r="J5" s="46" t="s">
        <v>20</v>
      </c>
      <c r="K5" s="44" t="s">
        <v>330</v>
      </c>
      <c r="L5" s="46"/>
      <c r="N5" s="30" t="s">
        <v>67</v>
      </c>
      <c r="P5" s="46" t="s">
        <v>407</v>
      </c>
      <c r="R5" s="169" t="s">
        <v>822</v>
      </c>
      <c r="T5" s="46" t="s">
        <v>609</v>
      </c>
      <c r="V5" s="46" t="s">
        <v>563</v>
      </c>
      <c r="X5" s="46" t="s">
        <v>80</v>
      </c>
      <c r="Y5" s="44" t="s">
        <v>371</v>
      </c>
      <c r="AA5" s="46" t="s">
        <v>570</v>
      </c>
      <c r="AC5" s="46" t="s">
        <v>378</v>
      </c>
      <c r="AE5" s="46"/>
      <c r="AG5" s="46" t="s">
        <v>176</v>
      </c>
      <c r="AI5" s="46" t="s">
        <v>556</v>
      </c>
      <c r="AK5" s="46" t="s">
        <v>174</v>
      </c>
      <c r="AM5" s="46" t="s">
        <v>543</v>
      </c>
      <c r="AO5" s="46" t="s">
        <v>146</v>
      </c>
      <c r="AQ5" s="46"/>
      <c r="AS5" s="76"/>
      <c r="AY5" s="46" t="s">
        <v>372</v>
      </c>
      <c r="BC5" s="48" t="s">
        <v>219</v>
      </c>
      <c r="BE5" s="45" t="s">
        <v>373</v>
      </c>
      <c r="BG5" s="46"/>
      <c r="BI5" s="46" t="s">
        <v>374</v>
      </c>
      <c r="BK5" s="46" t="s">
        <v>375</v>
      </c>
      <c r="BM5" s="46" t="s">
        <v>376</v>
      </c>
      <c r="BO5" s="46" t="s">
        <v>180</v>
      </c>
      <c r="BQ5" s="46" t="s">
        <v>377</v>
      </c>
      <c r="BS5" s="165" t="s">
        <v>962</v>
      </c>
      <c r="BT5" s="165">
        <v>1</v>
      </c>
    </row>
    <row r="6" spans="2:74" ht="23.25" x14ac:dyDescent="0.25">
      <c r="B6" s="131" t="str">
        <v>Eina per a la valoració de diagnosi social</v>
      </c>
      <c r="D6" s="46"/>
      <c r="F6" s="46"/>
      <c r="H6" s="46"/>
      <c r="J6" s="46" t="s">
        <v>30</v>
      </c>
      <c r="K6" s="44" t="s">
        <v>330</v>
      </c>
      <c r="L6" s="46"/>
      <c r="N6" s="30" t="s">
        <v>71</v>
      </c>
      <c r="P6" s="46"/>
      <c r="R6" s="169" t="s">
        <v>823</v>
      </c>
      <c r="T6" s="46"/>
      <c r="V6" s="46" t="s">
        <v>565</v>
      </c>
      <c r="X6" s="46" t="s">
        <v>107</v>
      </c>
      <c r="Y6" s="44" t="s">
        <v>379</v>
      </c>
      <c r="AA6" s="46" t="s">
        <v>571</v>
      </c>
      <c r="AC6" s="46" t="s">
        <v>167</v>
      </c>
      <c r="AE6" s="46"/>
      <c r="AG6" s="46"/>
      <c r="AI6" s="46" t="s">
        <v>555</v>
      </c>
      <c r="AK6" s="46" t="s">
        <v>181</v>
      </c>
      <c r="AM6" s="46" t="s">
        <v>544</v>
      </c>
      <c r="AO6" s="46" t="s">
        <v>145</v>
      </c>
      <c r="AQ6" s="46"/>
      <c r="AS6" s="76"/>
      <c r="AY6" s="46" t="s">
        <v>380</v>
      </c>
      <c r="BC6" s="48"/>
      <c r="BI6" s="46" t="s">
        <v>381</v>
      </c>
      <c r="BK6" s="46" t="s">
        <v>382</v>
      </c>
      <c r="BM6" s="46" t="s">
        <v>383</v>
      </c>
      <c r="BO6" s="46" t="s">
        <v>182</v>
      </c>
      <c r="BQ6" s="46" t="s">
        <v>384</v>
      </c>
      <c r="BS6" s="199" t="s">
        <v>963</v>
      </c>
      <c r="BT6" s="199">
        <v>3</v>
      </c>
    </row>
    <row r="7" spans="2:74" ht="23.25" x14ac:dyDescent="0.25">
      <c r="B7" s="131" t="str">
        <v>Eina per al càlcul del copagament SSAD i teleassistència</v>
      </c>
      <c r="D7" s="46"/>
      <c r="F7" s="46"/>
      <c r="H7" s="46"/>
      <c r="J7" s="46"/>
      <c r="K7" s="44" t="s">
        <v>330</v>
      </c>
      <c r="N7" s="30" t="s">
        <v>528</v>
      </c>
      <c r="R7" s="169" t="s">
        <v>824</v>
      </c>
      <c r="V7" s="46"/>
      <c r="X7" s="46" t="s">
        <v>62</v>
      </c>
      <c r="Y7" s="44" t="s">
        <v>385</v>
      </c>
      <c r="AA7" s="46" t="s">
        <v>114</v>
      </c>
      <c r="AC7" s="46" t="s">
        <v>179</v>
      </c>
      <c r="AE7" s="46"/>
      <c r="AG7" s="46"/>
      <c r="AI7" s="46" t="s">
        <v>554</v>
      </c>
      <c r="AK7" s="46" t="s">
        <v>621</v>
      </c>
      <c r="AM7" s="46"/>
      <c r="AO7" s="46" t="s">
        <v>386</v>
      </c>
      <c r="AQ7" s="46"/>
      <c r="AS7" s="76"/>
      <c r="AY7" s="46" t="s">
        <v>387</v>
      </c>
      <c r="BC7" s="48"/>
      <c r="BI7" s="46" t="s">
        <v>216</v>
      </c>
      <c r="BK7" s="46"/>
      <c r="BM7" s="46" t="s">
        <v>314</v>
      </c>
      <c r="BO7" s="77"/>
      <c r="BS7" s="196" t="s">
        <v>964</v>
      </c>
      <c r="BT7" s="196">
        <v>4</v>
      </c>
    </row>
    <row r="8" spans="2:74" ht="23.25" x14ac:dyDescent="0.25">
      <c r="B8" s="131" t="str">
        <v>Enquesta retributiva per a ús municipal</v>
      </c>
      <c r="H8" s="46"/>
      <c r="J8" s="46"/>
      <c r="K8" s="44" t="s">
        <v>330</v>
      </c>
      <c r="N8" s="30" t="s">
        <v>77</v>
      </c>
      <c r="R8" s="169" t="s">
        <v>825</v>
      </c>
      <c r="X8" s="46" t="s">
        <v>81</v>
      </c>
      <c r="Y8" s="44" t="s">
        <v>388</v>
      </c>
      <c r="AA8" s="46" t="s">
        <v>573</v>
      </c>
      <c r="AC8" s="46" t="s">
        <v>183</v>
      </c>
      <c r="AE8" s="46"/>
      <c r="AG8" s="46"/>
      <c r="AI8" s="46" t="s">
        <v>553</v>
      </c>
      <c r="AK8" s="46" t="s">
        <v>176</v>
      </c>
      <c r="AM8" s="46"/>
      <c r="AS8" s="76"/>
      <c r="AY8" s="46" t="s">
        <v>389</v>
      </c>
      <c r="BI8" s="46" t="s">
        <v>390</v>
      </c>
      <c r="BM8" s="46" t="s">
        <v>391</v>
      </c>
      <c r="BO8" s="77"/>
      <c r="BS8" s="199" t="s">
        <v>965</v>
      </c>
      <c r="BT8" s="199">
        <v>3</v>
      </c>
    </row>
    <row r="9" spans="2:74" ht="27" x14ac:dyDescent="0.25">
      <c r="B9" s="131" t="str">
        <v>Gestió d'aparcaments</v>
      </c>
      <c r="H9" s="46"/>
      <c r="J9"/>
      <c r="K9" s="44" t="s">
        <v>330</v>
      </c>
      <c r="N9" s="30" t="s">
        <v>526</v>
      </c>
      <c r="R9" s="169" t="s">
        <v>826</v>
      </c>
      <c r="X9" s="46" t="s">
        <v>111</v>
      </c>
      <c r="Y9" s="44" t="s">
        <v>392</v>
      </c>
      <c r="AA9" s="46" t="s">
        <v>386</v>
      </c>
      <c r="AC9" s="46" t="s">
        <v>463</v>
      </c>
      <c r="AE9" s="46"/>
      <c r="AG9" s="46"/>
      <c r="AI9" s="46" t="s">
        <v>176</v>
      </c>
      <c r="AK9" s="46"/>
      <c r="AS9" s="76"/>
      <c r="AY9" s="46" t="s">
        <v>393</v>
      </c>
      <c r="BI9" s="46" t="s">
        <v>394</v>
      </c>
      <c r="BM9" s="46" t="s">
        <v>395</v>
      </c>
      <c r="BO9"/>
      <c r="BS9" s="196" t="s">
        <v>966</v>
      </c>
      <c r="BT9" s="196">
        <v>4</v>
      </c>
    </row>
    <row r="10" spans="2:74" ht="27" x14ac:dyDescent="0.25">
      <c r="B10" s="131" t="str">
        <v>Gestió de cementiris</v>
      </c>
      <c r="H10" s="46"/>
      <c r="J10"/>
      <c r="K10" s="44" t="s">
        <v>330</v>
      </c>
      <c r="N10" s="29" t="s">
        <v>413</v>
      </c>
      <c r="R10" s="169" t="s">
        <v>827</v>
      </c>
      <c r="X10" s="46" t="s">
        <v>95</v>
      </c>
      <c r="Y10" s="44" t="s">
        <v>396</v>
      </c>
      <c r="AA10" s="46" t="s">
        <v>386</v>
      </c>
      <c r="AC10" s="46"/>
      <c r="AE10" s="46"/>
      <c r="AG10" s="46"/>
      <c r="AI10" s="46"/>
      <c r="AS10" s="76"/>
      <c r="AY10" s="46" t="s">
        <v>397</v>
      </c>
      <c r="BI10" s="46" t="s">
        <v>398</v>
      </c>
      <c r="BM10" s="46" t="s">
        <v>399</v>
      </c>
      <c r="BO10"/>
      <c r="BS10" s="196" t="s">
        <v>967</v>
      </c>
      <c r="BT10" s="196">
        <v>4</v>
      </c>
    </row>
    <row r="11" spans="2:74" x14ac:dyDescent="0.25">
      <c r="B11" s="131" t="str">
        <v>Gestió de l'inventari de bens mobles i inmobles</v>
      </c>
      <c r="H11" s="46"/>
      <c r="J11"/>
      <c r="K11" s="44" t="s">
        <v>330</v>
      </c>
      <c r="N11" s="30" t="s">
        <v>859</v>
      </c>
      <c r="R11" s="169" t="s">
        <v>580</v>
      </c>
      <c r="X11" s="46" t="s">
        <v>58</v>
      </c>
      <c r="Y11" s="44" t="s">
        <v>400</v>
      </c>
      <c r="AG11" s="46"/>
      <c r="AI11" s="46"/>
      <c r="AS11" s="76"/>
      <c r="AY11" s="46" t="s">
        <v>401</v>
      </c>
      <c r="BI11" s="46" t="s">
        <v>402</v>
      </c>
      <c r="BM11" s="46" t="s">
        <v>403</v>
      </c>
      <c r="BO11"/>
    </row>
    <row r="12" spans="2:74" x14ac:dyDescent="0.25">
      <c r="B12" s="131" t="str">
        <v>Gestió de nòmines municipals</v>
      </c>
      <c r="H12" s="46"/>
      <c r="J12"/>
      <c r="K12" s="44" t="s">
        <v>330</v>
      </c>
      <c r="N12" s="30" t="s">
        <v>82</v>
      </c>
      <c r="R12" s="169" t="s">
        <v>828</v>
      </c>
      <c r="X12" s="46"/>
      <c r="AG12" s="46"/>
      <c r="AI12" s="46"/>
      <c r="AS12" s="76"/>
      <c r="AY12" s="46" t="s">
        <v>404</v>
      </c>
      <c r="BI12" s="46"/>
      <c r="BM12" s="46"/>
      <c r="BO12"/>
    </row>
    <row r="13" spans="2:74" x14ac:dyDescent="0.25">
      <c r="B13" s="131" t="str">
        <v>Gestió de queixes i suggeriments</v>
      </c>
      <c r="J13"/>
      <c r="K13" s="44" t="s">
        <v>330</v>
      </c>
      <c r="N13" s="30" t="s">
        <v>85</v>
      </c>
      <c r="R13" s="169" t="s">
        <v>656</v>
      </c>
      <c r="AI13"/>
      <c r="AS13" s="76"/>
      <c r="AY13" s="46" t="s">
        <v>405</v>
      </c>
      <c r="BO13"/>
    </row>
    <row r="14" spans="2:74" x14ac:dyDescent="0.25">
      <c r="B14" s="131" t="str">
        <v>Gestió de representacions</v>
      </c>
      <c r="J14"/>
      <c r="K14" s="44" t="s">
        <v>330</v>
      </c>
      <c r="N14" s="30" t="s">
        <v>87</v>
      </c>
      <c r="P14"/>
      <c r="R14" s="169" t="s">
        <v>829</v>
      </c>
      <c r="AI14"/>
      <c r="AS14" s="76"/>
      <c r="AY14" s="46"/>
      <c r="BO14"/>
    </row>
    <row r="15" spans="2:74" x14ac:dyDescent="0.25">
      <c r="B15" s="131" t="str">
        <v>Gestió de residus</v>
      </c>
      <c r="J15"/>
      <c r="K15" s="44" t="s">
        <v>330</v>
      </c>
      <c r="N15" s="30" t="s">
        <v>90</v>
      </c>
      <c r="P15"/>
      <c r="R15" s="169" t="s">
        <v>830</v>
      </c>
      <c r="AI15"/>
      <c r="AS15" s="76"/>
      <c r="AY15" s="46"/>
      <c r="BO15"/>
    </row>
    <row r="16" spans="2:74" x14ac:dyDescent="0.25">
      <c r="B16" s="131" t="str">
        <v>Gestió de sancions</v>
      </c>
      <c r="J16"/>
      <c r="N16" s="30" t="s">
        <v>92</v>
      </c>
      <c r="P16"/>
      <c r="R16" s="169" t="s">
        <v>832</v>
      </c>
      <c r="AI16"/>
      <c r="AS16" s="76"/>
      <c r="BO16"/>
    </row>
    <row r="17" spans="2:67" x14ac:dyDescent="0.25">
      <c r="B17" s="131" t="str">
        <v>Gestió de serveis bibliotecaris</v>
      </c>
      <c r="J17"/>
      <c r="N17" s="30" t="s">
        <v>96</v>
      </c>
      <c r="P17"/>
      <c r="R17" s="169" t="s">
        <v>834</v>
      </c>
      <c r="AS17" s="76"/>
      <c r="BO17"/>
    </row>
    <row r="18" spans="2:67" x14ac:dyDescent="0.25">
      <c r="B18" s="131" t="str">
        <v>Gestió de subvencions</v>
      </c>
      <c r="N18" s="30" t="s">
        <v>98</v>
      </c>
      <c r="P18"/>
      <c r="R18" s="169" t="s">
        <v>836</v>
      </c>
      <c r="AS18" s="76"/>
      <c r="BO18"/>
    </row>
    <row r="19" spans="2:67" x14ac:dyDescent="0.25">
      <c r="B19" s="131" t="str">
        <v>Gestió dels plans de protecció civil municipal</v>
      </c>
      <c r="N19" s="30" t="s">
        <v>100</v>
      </c>
      <c r="P19"/>
      <c r="R19" s="169" t="s">
        <v>837</v>
      </c>
      <c r="AS19" s="76"/>
      <c r="BO19"/>
    </row>
    <row r="20" spans="2:67" x14ac:dyDescent="0.25">
      <c r="B20" s="131" t="str">
        <v>Gestió dels sistemes de videovigilància</v>
      </c>
      <c r="N20" s="30" t="s">
        <v>102</v>
      </c>
      <c r="P20"/>
      <c r="R20" s="169" t="s">
        <v>839</v>
      </c>
      <c r="AI20"/>
      <c r="AS20" s="76"/>
      <c r="BO20"/>
    </row>
    <row r="21" spans="2:67" x14ac:dyDescent="0.25">
      <c r="B21" s="131" t="str">
        <v>Gestió d'expedients atenció primària serveis socials</v>
      </c>
      <c r="N21" s="30" t="s">
        <v>531</v>
      </c>
      <c r="P21"/>
      <c r="R21" s="169" t="s">
        <v>841</v>
      </c>
      <c r="AI21"/>
      <c r="AS21" s="76"/>
      <c r="BO21"/>
    </row>
    <row r="22" spans="2:67" x14ac:dyDescent="0.25">
      <c r="B22" s="131" t="str">
        <v>Gestió d'incidències a la via pública i manteniment d'equipaments</v>
      </c>
      <c r="N22" s="30" t="s">
        <v>108</v>
      </c>
      <c r="P22"/>
      <c r="R22" s="169" t="s">
        <v>843</v>
      </c>
      <c r="AI22"/>
      <c r="AS22" s="76"/>
    </row>
    <row r="23" spans="2:67" x14ac:dyDescent="0.25">
      <c r="B23" s="131" t="str">
        <v>Gestió policial d'atestats</v>
      </c>
      <c r="N23" s="30" t="s">
        <v>532</v>
      </c>
      <c r="P23"/>
      <c r="R23" s="169" t="s">
        <v>844</v>
      </c>
      <c r="AG23"/>
      <c r="AS23" s="76"/>
    </row>
    <row r="24" spans="2:67" x14ac:dyDescent="0.25">
      <c r="B24" s="131" t="str">
        <v>GIAM</v>
      </c>
      <c r="N24" s="30" t="s">
        <v>115</v>
      </c>
      <c r="P24"/>
      <c r="R24" s="169" t="s">
        <v>845</v>
      </c>
      <c r="AG24"/>
      <c r="AS24" s="76"/>
    </row>
    <row r="25" spans="2:67" x14ac:dyDescent="0.25">
      <c r="B25" s="131" t="str">
        <v>Padró municipal d’habitants</v>
      </c>
      <c r="N25" s="30" t="s">
        <v>117</v>
      </c>
      <c r="P25"/>
      <c r="R25" s="169" t="s">
        <v>847</v>
      </c>
      <c r="AG25"/>
      <c r="AS25" s="76"/>
    </row>
    <row r="26" spans="2:67" x14ac:dyDescent="0.25">
      <c r="B26" s="131" t="str">
        <v>Plataforma de gestió d'cnformació de sensors</v>
      </c>
      <c r="N26" s="30" t="s">
        <v>525</v>
      </c>
      <c r="P26"/>
      <c r="R26" s="169" t="s">
        <v>848</v>
      </c>
      <c r="AG26"/>
      <c r="AS26" s="76"/>
    </row>
    <row r="27" spans="2:67" x14ac:dyDescent="0.25">
      <c r="B27" s="131" t="str">
        <v>Portal de dades obertes municipal</v>
      </c>
      <c r="N27" s="30" t="s">
        <v>409</v>
      </c>
      <c r="P27"/>
      <c r="R27" s="169" t="s">
        <v>850</v>
      </c>
      <c r="AG27"/>
      <c r="AI27"/>
      <c r="AS27" s="76"/>
    </row>
    <row r="28" spans="2:67" x14ac:dyDescent="0.25">
      <c r="B28" s="131" t="str">
        <v>Portal de transparència municipal</v>
      </c>
      <c r="N28" s="30" t="s">
        <v>121</v>
      </c>
      <c r="P28"/>
      <c r="R28" s="169" t="s">
        <v>851</v>
      </c>
      <c r="AG28"/>
      <c r="AI28"/>
      <c r="AS28" s="76"/>
    </row>
    <row r="29" spans="2:67" x14ac:dyDescent="0.25">
      <c r="B29" s="131" t="str">
        <v>Registre d'activitats econòmiques (GIA)</v>
      </c>
      <c r="N29" s="30" t="s">
        <v>124</v>
      </c>
      <c r="P29"/>
      <c r="R29" s="169" t="s">
        <v>853</v>
      </c>
      <c r="AG29"/>
      <c r="AI29"/>
      <c r="AS29" s="76"/>
    </row>
    <row r="30" spans="2:67" x14ac:dyDescent="0.25">
      <c r="B30" s="131" t="str">
        <v>Registre d'analítiques de la qualitat de l’aigua</v>
      </c>
      <c r="N30" s="30" t="s">
        <v>127</v>
      </c>
      <c r="P30"/>
      <c r="R30" s="169" t="s">
        <v>854</v>
      </c>
      <c r="AG30"/>
      <c r="AI30"/>
      <c r="AS30" s="76"/>
    </row>
    <row r="31" spans="2:67" x14ac:dyDescent="0.25">
      <c r="B31" s="131" t="str">
        <v>Registre d'entrada i sortida</v>
      </c>
      <c r="N31" s="30" t="s">
        <v>129</v>
      </c>
      <c r="P31"/>
      <c r="R31" s="169" t="s">
        <v>855</v>
      </c>
      <c r="AG31"/>
      <c r="AI31"/>
      <c r="AS31" s="76"/>
    </row>
    <row r="32" spans="2:67" x14ac:dyDescent="0.25">
      <c r="B32" s="131" t="str">
        <v>Repositori imatges arxius municipals (IMAGINA )</v>
      </c>
      <c r="N32" s="30" t="s">
        <v>132</v>
      </c>
      <c r="P32"/>
      <c r="R32" s="169" t="s">
        <v>856</v>
      </c>
      <c r="X32"/>
      <c r="AG32"/>
      <c r="AI32"/>
      <c r="AS32" s="76"/>
    </row>
    <row r="33" spans="2:45" x14ac:dyDescent="0.25">
      <c r="B33" s="131" t="str">
        <v>Seu electrònica</v>
      </c>
      <c r="N33" s="30" t="s">
        <v>860</v>
      </c>
      <c r="P33"/>
      <c r="R33" s="169" t="s">
        <v>857</v>
      </c>
      <c r="X33"/>
      <c r="AG33"/>
      <c r="AI33"/>
      <c r="AS33" s="76"/>
    </row>
    <row r="34" spans="2:45" x14ac:dyDescent="0.25">
      <c r="B34" s="131" t="str">
        <v>Sistema d’Informació geogràfica municipal</v>
      </c>
      <c r="N34" s="30" t="s">
        <v>579</v>
      </c>
      <c r="P34"/>
      <c r="R34" s="169" t="s">
        <v>671</v>
      </c>
      <c r="X34"/>
      <c r="AG34"/>
      <c r="AI34"/>
      <c r="AS34" s="76"/>
    </row>
    <row r="35" spans="2:45" x14ac:dyDescent="0.25">
      <c r="B35" s="131" t="str">
        <v>Sistema de cita prèvia</v>
      </c>
      <c r="N35" s="167" t="s">
        <v>138</v>
      </c>
      <c r="P35"/>
      <c r="R35" s="169" t="s">
        <v>673</v>
      </c>
      <c r="X35"/>
      <c r="AG35"/>
      <c r="AI35"/>
      <c r="AS35" s="76"/>
    </row>
    <row r="36" spans="2:45" x14ac:dyDescent="0.25">
      <c r="B36" s="131" t="str">
        <v xml:space="preserve">Sistema de gestió </v>
      </c>
      <c r="N36" s="30" t="s">
        <v>141</v>
      </c>
      <c r="P36"/>
      <c r="R36" s="169" t="s">
        <v>675</v>
      </c>
      <c r="X36"/>
      <c r="AG36"/>
      <c r="AI36"/>
      <c r="AS36" s="76"/>
    </row>
    <row r="37" spans="2:45" x14ac:dyDescent="0.25">
      <c r="B37" s="131" t="str">
        <v>Sistema de gestió de les auditories pobresa energètica</v>
      </c>
      <c r="N37" s="79"/>
      <c r="P37"/>
      <c r="R37" s="169" t="s">
        <v>677</v>
      </c>
      <c r="X37"/>
      <c r="AG37"/>
      <c r="AI37"/>
      <c r="AS37" s="76"/>
    </row>
    <row r="38" spans="2:45" x14ac:dyDescent="0.25">
      <c r="B38" s="131" t="str">
        <v>Sistema de gestió de personal</v>
      </c>
      <c r="F38" s="44" t="s">
        <v>329</v>
      </c>
      <c r="N38" s="79"/>
      <c r="P38"/>
      <c r="R38" s="169" t="s">
        <v>679</v>
      </c>
      <c r="X38"/>
      <c r="AG38"/>
      <c r="AI38"/>
      <c r="AS38" s="76"/>
    </row>
    <row r="39" spans="2:45" x14ac:dyDescent="0.25">
      <c r="B39" s="131" t="str">
        <v>Sistema de gestió d'impostos municipals</v>
      </c>
      <c r="N39" s="79"/>
      <c r="P39"/>
      <c r="R39" s="169" t="s">
        <v>681</v>
      </c>
      <c r="X39"/>
      <c r="AG39"/>
      <c r="AI39"/>
    </row>
    <row r="40" spans="2:45" x14ac:dyDescent="0.25">
      <c r="B40" s="131" t="str">
        <v>Sistema per a la gestió de serveis locals d’ocupació (XALOC)</v>
      </c>
      <c r="P40"/>
      <c r="R40" s="169" t="s">
        <v>801</v>
      </c>
      <c r="X40"/>
      <c r="AG40"/>
      <c r="AI40"/>
    </row>
    <row r="41" spans="2:45" x14ac:dyDescent="0.25">
      <c r="B41" s="131" t="str">
        <v>Tramitació d’expedients administratius</v>
      </c>
      <c r="P41"/>
      <c r="R41" s="169" t="s">
        <v>684</v>
      </c>
      <c r="X41"/>
      <c r="AG41"/>
      <c r="AI41"/>
    </row>
    <row r="42" spans="2:45" x14ac:dyDescent="0.25">
      <c r="B42" s="131" t="str">
        <v>Web municipal</v>
      </c>
      <c r="P42"/>
      <c r="R42" s="169" t="s">
        <v>686</v>
      </c>
      <c r="X42"/>
      <c r="AG42"/>
      <c r="AI42"/>
    </row>
    <row r="43" spans="2:45" ht="25.5" x14ac:dyDescent="0.25">
      <c r="B43" s="131">
        <v>0</v>
      </c>
      <c r="P43"/>
      <c r="R43" s="169" t="s">
        <v>688</v>
      </c>
      <c r="X43"/>
      <c r="AG43"/>
      <c r="AI43"/>
    </row>
    <row r="44" spans="2:45" x14ac:dyDescent="0.25">
      <c r="B44" s="131"/>
      <c r="P44"/>
      <c r="R44" s="169" t="s">
        <v>690</v>
      </c>
      <c r="X44"/>
      <c r="AG44"/>
      <c r="AI44"/>
    </row>
    <row r="45" spans="2:45" x14ac:dyDescent="0.25">
      <c r="B45" s="131"/>
      <c r="P45"/>
      <c r="R45" s="169" t="s">
        <v>692</v>
      </c>
      <c r="X45"/>
      <c r="AG45"/>
      <c r="AI45"/>
    </row>
    <row r="46" spans="2:45" x14ac:dyDescent="0.25">
      <c r="B46" s="131"/>
      <c r="R46" s="169" t="s">
        <v>693</v>
      </c>
      <c r="X46"/>
      <c r="AG46"/>
      <c r="AI46"/>
    </row>
    <row r="47" spans="2:45" x14ac:dyDescent="0.25">
      <c r="R47" s="169" t="s">
        <v>695</v>
      </c>
      <c r="AG47"/>
      <c r="AI47"/>
    </row>
    <row r="48" spans="2:45" x14ac:dyDescent="0.25">
      <c r="R48" s="169" t="s">
        <v>654</v>
      </c>
      <c r="AG48"/>
      <c r="AI48"/>
    </row>
    <row r="49" spans="18:35" x14ac:dyDescent="0.25">
      <c r="R49" s="169" t="s">
        <v>752</v>
      </c>
      <c r="AG49"/>
      <c r="AI49"/>
    </row>
    <row r="50" spans="18:35" x14ac:dyDescent="0.25">
      <c r="R50" s="169" t="s">
        <v>755</v>
      </c>
      <c r="AG50"/>
      <c r="AI50"/>
    </row>
    <row r="51" spans="18:35" x14ac:dyDescent="0.25">
      <c r="R51" s="169" t="s">
        <v>790</v>
      </c>
      <c r="AG51"/>
      <c r="AI51"/>
    </row>
    <row r="52" spans="18:35" x14ac:dyDescent="0.25">
      <c r="R52" s="169" t="s">
        <v>655</v>
      </c>
      <c r="AG52"/>
      <c r="AI52"/>
    </row>
    <row r="53" spans="18:35" x14ac:dyDescent="0.25">
      <c r="R53" s="169" t="s">
        <v>698</v>
      </c>
      <c r="AG53"/>
      <c r="AI53"/>
    </row>
    <row r="54" spans="18:35" x14ac:dyDescent="0.25">
      <c r="R54" s="169" t="s">
        <v>700</v>
      </c>
      <c r="AG54"/>
      <c r="AI54"/>
    </row>
    <row r="55" spans="18:35" x14ac:dyDescent="0.25">
      <c r="R55" s="169" t="s">
        <v>702</v>
      </c>
      <c r="AG55"/>
      <c r="AI55"/>
    </row>
    <row r="56" spans="18:35" x14ac:dyDescent="0.25">
      <c r="R56" s="169" t="s">
        <v>704</v>
      </c>
      <c r="AG56"/>
      <c r="AI56"/>
    </row>
    <row r="57" spans="18:35" x14ac:dyDescent="0.25">
      <c r="R57" s="169" t="s">
        <v>706</v>
      </c>
      <c r="AG57"/>
      <c r="AI57"/>
    </row>
    <row r="58" spans="18:35" x14ac:dyDescent="0.25">
      <c r="R58" s="169" t="s">
        <v>708</v>
      </c>
      <c r="AG58"/>
      <c r="AI58"/>
    </row>
    <row r="59" spans="18:35" x14ac:dyDescent="0.25">
      <c r="R59" s="169" t="s">
        <v>710</v>
      </c>
      <c r="AG59"/>
      <c r="AI59"/>
    </row>
    <row r="60" spans="18:35" x14ac:dyDescent="0.25">
      <c r="R60" s="169" t="s">
        <v>712</v>
      </c>
      <c r="AG60"/>
      <c r="AI60"/>
    </row>
    <row r="61" spans="18:35" x14ac:dyDescent="0.25">
      <c r="R61" s="169" t="s">
        <v>803</v>
      </c>
      <c r="AG61"/>
      <c r="AI61"/>
    </row>
    <row r="62" spans="18:35" x14ac:dyDescent="0.25">
      <c r="R62" s="169" t="s">
        <v>715</v>
      </c>
      <c r="AG62"/>
      <c r="AI62"/>
    </row>
    <row r="63" spans="18:35" x14ac:dyDescent="0.25">
      <c r="R63" s="169" t="s">
        <v>717</v>
      </c>
      <c r="AG63"/>
      <c r="AI63"/>
    </row>
    <row r="64" spans="18:35" x14ac:dyDescent="0.25">
      <c r="R64" s="169" t="s">
        <v>719</v>
      </c>
      <c r="AG64"/>
      <c r="AI64"/>
    </row>
    <row r="65" spans="1:74" x14ac:dyDescent="0.25">
      <c r="R65" s="169" t="s">
        <v>721</v>
      </c>
      <c r="AG65"/>
      <c r="AI65"/>
    </row>
    <row r="66" spans="1:74" x14ac:dyDescent="0.25">
      <c r="R66" s="169" t="s">
        <v>723</v>
      </c>
      <c r="AG66"/>
      <c r="AI66"/>
    </row>
    <row r="67" spans="1:74" x14ac:dyDescent="0.25">
      <c r="R67" s="169" t="s">
        <v>725</v>
      </c>
      <c r="AG67"/>
      <c r="AI67"/>
    </row>
    <row r="68" spans="1:74" x14ac:dyDescent="0.25">
      <c r="R68" s="169" t="s">
        <v>727</v>
      </c>
      <c r="AG68"/>
      <c r="AI68"/>
    </row>
    <row r="69" spans="1:74" x14ac:dyDescent="0.25">
      <c r="R69" s="169" t="s">
        <v>757</v>
      </c>
      <c r="AG69"/>
      <c r="AI69"/>
    </row>
    <row r="70" spans="1:74" x14ac:dyDescent="0.25">
      <c r="R70" s="169" t="s">
        <v>729</v>
      </c>
      <c r="AG70"/>
      <c r="AI70"/>
    </row>
    <row r="71" spans="1:74" x14ac:dyDescent="0.25">
      <c r="R71" s="169" t="s">
        <v>731</v>
      </c>
      <c r="AG71"/>
      <c r="AI71"/>
    </row>
    <row r="72" spans="1:74" x14ac:dyDescent="0.25">
      <c r="R72" s="169" t="s">
        <v>733</v>
      </c>
      <c r="AG72"/>
      <c r="AI72"/>
    </row>
    <row r="73" spans="1:74" x14ac:dyDescent="0.25">
      <c r="R73" s="169" t="s">
        <v>735</v>
      </c>
      <c r="AG73"/>
      <c r="AI73"/>
    </row>
    <row r="74" spans="1:74" x14ac:dyDescent="0.25">
      <c r="R74" s="169" t="s">
        <v>736</v>
      </c>
      <c r="AG74"/>
      <c r="AI74"/>
    </row>
    <row r="75" spans="1:74" x14ac:dyDescent="0.25">
      <c r="R75" s="169" t="s">
        <v>805</v>
      </c>
      <c r="AG75"/>
      <c r="AI75"/>
    </row>
    <row r="76" spans="1:74" x14ac:dyDescent="0.25">
      <c r="R76" s="169" t="s">
        <v>738</v>
      </c>
      <c r="AG76"/>
      <c r="AI76"/>
    </row>
    <row r="77" spans="1:74" x14ac:dyDescent="0.25">
      <c r="A77" s="83"/>
      <c r="B77" s="83"/>
      <c r="C77" s="83"/>
      <c r="D77" s="83"/>
      <c r="E77" s="83"/>
      <c r="F77" s="83"/>
      <c r="G77" s="83"/>
      <c r="H77" s="83"/>
      <c r="I77" s="83"/>
      <c r="J77" s="83"/>
      <c r="K77" s="83"/>
      <c r="L77" s="83"/>
      <c r="M77" s="83"/>
      <c r="N77" s="83"/>
      <c r="O77" s="83"/>
      <c r="P77" s="83"/>
      <c r="Q77" s="83"/>
      <c r="R77" s="169" t="s">
        <v>740</v>
      </c>
      <c r="S77" s="83"/>
      <c r="T77" s="83"/>
      <c r="U77" s="83"/>
      <c r="V77" s="83"/>
      <c r="W77" s="83"/>
      <c r="X77" s="83"/>
      <c r="Y77" s="83"/>
      <c r="Z77" s="83"/>
      <c r="AA77" s="83"/>
      <c r="AB77" s="83"/>
      <c r="AC77" s="83"/>
      <c r="AD77" s="83"/>
      <c r="AE77" s="83"/>
      <c r="AF77" s="83"/>
      <c r="AG77"/>
      <c r="AH77" s="83"/>
      <c r="AI77"/>
      <c r="AJ77" s="83"/>
      <c r="AK77" s="83"/>
      <c r="AL77" s="83"/>
      <c r="AM77" s="83"/>
      <c r="AN77" s="83"/>
      <c r="AO77" s="83"/>
      <c r="AP77" s="83"/>
      <c r="AQ77" s="83"/>
      <c r="AR77" s="83"/>
      <c r="AS77" s="83"/>
      <c r="AT77" s="83"/>
      <c r="AU77" s="83"/>
      <c r="AV77" s="83"/>
      <c r="AW77" s="83"/>
      <c r="AX77" s="83"/>
      <c r="AY77" s="83"/>
      <c r="AZ77" s="83"/>
      <c r="BA77" s="83"/>
      <c r="BB77" s="83"/>
      <c r="BC77" s="83"/>
      <c r="BD77" s="83"/>
      <c r="BE77" s="83"/>
      <c r="BF77" s="83"/>
      <c r="BG77" s="83"/>
      <c r="BH77" s="83"/>
      <c r="BI77" s="83"/>
      <c r="BJ77" s="83"/>
      <c r="BK77" s="83"/>
      <c r="BL77" s="83"/>
      <c r="BM77" s="83"/>
      <c r="BN77" s="83"/>
      <c r="BO77" s="83"/>
      <c r="BP77" s="83"/>
      <c r="BQ77" s="83"/>
      <c r="BR77" s="83"/>
      <c r="BS77" s="83"/>
      <c r="BT77" s="83"/>
      <c r="BU77" s="83"/>
      <c r="BV77" s="83"/>
    </row>
    <row r="78" spans="1:74" x14ac:dyDescent="0.25">
      <c r="R78" s="169" t="s">
        <v>742</v>
      </c>
      <c r="AG78"/>
      <c r="AI78"/>
    </row>
    <row r="79" spans="1:74" x14ac:dyDescent="0.25">
      <c r="R79" s="170" t="s">
        <v>744</v>
      </c>
      <c r="AG79"/>
      <c r="AI79"/>
    </row>
    <row r="80" spans="1:74" x14ac:dyDescent="0.25">
      <c r="R80" s="170" t="s">
        <v>747</v>
      </c>
      <c r="AI80"/>
    </row>
    <row r="81" spans="18:35" x14ac:dyDescent="0.25">
      <c r="R81" s="170" t="s">
        <v>765</v>
      </c>
      <c r="AI81"/>
    </row>
    <row r="82" spans="18:35" x14ac:dyDescent="0.25">
      <c r="R82" s="170" t="s">
        <v>748</v>
      </c>
      <c r="AI82"/>
    </row>
    <row r="83" spans="18:35" x14ac:dyDescent="0.25">
      <c r="R83" s="170" t="s">
        <v>750</v>
      </c>
      <c r="AI83"/>
    </row>
    <row r="84" spans="18:35" x14ac:dyDescent="0.25">
      <c r="R84" s="170" t="s">
        <v>788</v>
      </c>
      <c r="AI84"/>
    </row>
    <row r="85" spans="18:35" x14ac:dyDescent="0.25">
      <c r="R85" s="170" t="s">
        <v>759</v>
      </c>
      <c r="AI85"/>
    </row>
    <row r="86" spans="18:35" x14ac:dyDescent="0.25">
      <c r="R86" s="170" t="s">
        <v>761</v>
      </c>
      <c r="AI86"/>
    </row>
    <row r="87" spans="18:35" x14ac:dyDescent="0.25">
      <c r="R87" s="170" t="s">
        <v>763</v>
      </c>
      <c r="AI87"/>
    </row>
    <row r="88" spans="18:35" x14ac:dyDescent="0.25">
      <c r="R88" s="170" t="s">
        <v>767</v>
      </c>
      <c r="AI88"/>
    </row>
    <row r="89" spans="18:35" x14ac:dyDescent="0.25">
      <c r="R89" s="170" t="s">
        <v>769</v>
      </c>
      <c r="AI89"/>
    </row>
    <row r="90" spans="18:35" x14ac:dyDescent="0.25">
      <c r="R90" s="170" t="s">
        <v>770</v>
      </c>
      <c r="AI90"/>
    </row>
    <row r="91" spans="18:35" x14ac:dyDescent="0.25">
      <c r="R91" s="170" t="s">
        <v>772</v>
      </c>
      <c r="AI91"/>
    </row>
    <row r="92" spans="18:35" ht="25.5" x14ac:dyDescent="0.25">
      <c r="R92" s="170" t="s">
        <v>796</v>
      </c>
      <c r="AI92"/>
    </row>
    <row r="93" spans="18:35" ht="25.5" x14ac:dyDescent="0.25">
      <c r="R93" s="170" t="s">
        <v>807</v>
      </c>
      <c r="AI93"/>
    </row>
    <row r="94" spans="18:35" x14ac:dyDescent="0.25">
      <c r="R94" s="171" t="s">
        <v>774</v>
      </c>
      <c r="AI94"/>
    </row>
    <row r="95" spans="18:35" x14ac:dyDescent="0.25">
      <c r="R95" s="171" t="s">
        <v>781</v>
      </c>
      <c r="AI95"/>
    </row>
    <row r="96" spans="18:35" x14ac:dyDescent="0.25">
      <c r="R96" s="171" t="s">
        <v>783</v>
      </c>
      <c r="AI96"/>
    </row>
    <row r="97" spans="18:35" x14ac:dyDescent="0.25">
      <c r="R97" s="171" t="s">
        <v>785</v>
      </c>
      <c r="AI97"/>
    </row>
    <row r="98" spans="18:35" x14ac:dyDescent="0.25">
      <c r="R98" s="171" t="s">
        <v>808</v>
      </c>
      <c r="AI98"/>
    </row>
    <row r="99" spans="18:35" x14ac:dyDescent="0.25">
      <c r="R99" s="171" t="s">
        <v>787</v>
      </c>
      <c r="AI99"/>
    </row>
    <row r="100" spans="18:35" x14ac:dyDescent="0.25">
      <c r="R100" s="171" t="s">
        <v>777</v>
      </c>
      <c r="AI100"/>
    </row>
    <row r="101" spans="18:35" x14ac:dyDescent="0.25">
      <c r="R101" s="171" t="s">
        <v>779</v>
      </c>
      <c r="AI101"/>
    </row>
    <row r="102" spans="18:35" x14ac:dyDescent="0.25">
      <c r="R102" s="171" t="s">
        <v>810</v>
      </c>
      <c r="AI102"/>
    </row>
    <row r="103" spans="18:35" x14ac:dyDescent="0.25">
      <c r="R103" s="171" t="s">
        <v>793</v>
      </c>
      <c r="AI103"/>
    </row>
    <row r="104" spans="18:35" x14ac:dyDescent="0.25">
      <c r="R104" s="171" t="s">
        <v>812</v>
      </c>
      <c r="AI104"/>
    </row>
    <row r="105" spans="18:35" x14ac:dyDescent="0.25">
      <c r="R105" s="171" t="s">
        <v>814</v>
      </c>
      <c r="AI105"/>
    </row>
    <row r="106" spans="18:35" x14ac:dyDescent="0.25">
      <c r="R106" s="113" t="s">
        <v>657</v>
      </c>
      <c r="AI106"/>
    </row>
    <row r="107" spans="18:35" x14ac:dyDescent="0.25">
      <c r="AI107"/>
    </row>
    <row r="108" spans="18:35" x14ac:dyDescent="0.25">
      <c r="AI108"/>
    </row>
    <row r="109" spans="18:35" x14ac:dyDescent="0.25">
      <c r="AI109"/>
    </row>
    <row r="110" spans="18:35" x14ac:dyDescent="0.25">
      <c r="AI110"/>
    </row>
    <row r="111" spans="18:35" x14ac:dyDescent="0.25">
      <c r="AI111"/>
    </row>
    <row r="112" spans="18:35" x14ac:dyDescent="0.25">
      <c r="AI112"/>
    </row>
    <row r="113" spans="35:35" x14ac:dyDescent="0.25">
      <c r="AI113"/>
    </row>
    <row r="114" spans="35:35" x14ac:dyDescent="0.25">
      <c r="AI114"/>
    </row>
    <row r="115" spans="35:35" x14ac:dyDescent="0.25">
      <c r="AI115"/>
    </row>
    <row r="116" spans="35:35" x14ac:dyDescent="0.25">
      <c r="AI116"/>
    </row>
    <row r="117" spans="35:35" x14ac:dyDescent="0.25">
      <c r="AI117"/>
    </row>
    <row r="118" spans="35:35" x14ac:dyDescent="0.25">
      <c r="AI118"/>
    </row>
    <row r="119" spans="35:35" x14ac:dyDescent="0.25">
      <c r="AI119"/>
    </row>
    <row r="120" spans="35:35" x14ac:dyDescent="0.25">
      <c r="AI120"/>
    </row>
    <row r="121" spans="35:35" x14ac:dyDescent="0.25">
      <c r="AI121"/>
    </row>
    <row r="122" spans="35:35" x14ac:dyDescent="0.25">
      <c r="AI122"/>
    </row>
    <row r="123" spans="35:35" x14ac:dyDescent="0.25">
      <c r="AI123"/>
    </row>
    <row r="124" spans="35:35" x14ac:dyDescent="0.25">
      <c r="AI124"/>
    </row>
    <row r="125" spans="35:35" x14ac:dyDescent="0.25">
      <c r="AI125"/>
    </row>
    <row r="126" spans="35:35" x14ac:dyDescent="0.25">
      <c r="AI126"/>
    </row>
    <row r="127" spans="35:35" x14ac:dyDescent="0.25">
      <c r="AI127"/>
    </row>
    <row r="128" spans="35:35" x14ac:dyDescent="0.25">
      <c r="AI128"/>
    </row>
    <row r="129" spans="35:35" x14ac:dyDescent="0.25">
      <c r="AI129"/>
    </row>
    <row r="130" spans="35:35" x14ac:dyDescent="0.25">
      <c r="AI130"/>
    </row>
    <row r="131" spans="35:35" x14ac:dyDescent="0.25">
      <c r="AI131"/>
    </row>
    <row r="132" spans="35:35" x14ac:dyDescent="0.25">
      <c r="AI132"/>
    </row>
    <row r="133" spans="35:35" x14ac:dyDescent="0.25">
      <c r="AI133"/>
    </row>
    <row r="134" spans="35:35" x14ac:dyDescent="0.25">
      <c r="AI134"/>
    </row>
    <row r="135" spans="35:35" x14ac:dyDescent="0.25">
      <c r="AI135"/>
    </row>
    <row r="136" spans="35:35" x14ac:dyDescent="0.25">
      <c r="AI136"/>
    </row>
    <row r="137" spans="35:35" x14ac:dyDescent="0.25">
      <c r="AI137"/>
    </row>
    <row r="138" spans="35:35" x14ac:dyDescent="0.25">
      <c r="AI138"/>
    </row>
    <row r="139" spans="35:35" x14ac:dyDescent="0.25">
      <c r="AI139"/>
    </row>
    <row r="140" spans="35:35" x14ac:dyDescent="0.25">
      <c r="AI140"/>
    </row>
    <row r="141" spans="35:35" x14ac:dyDescent="0.25">
      <c r="AI141"/>
    </row>
    <row r="142" spans="35:35" x14ac:dyDescent="0.25">
      <c r="AI142"/>
    </row>
    <row r="143" spans="35:35" x14ac:dyDescent="0.25">
      <c r="AI143"/>
    </row>
    <row r="144" spans="35:35" x14ac:dyDescent="0.25">
      <c r="AI144"/>
    </row>
    <row r="145" spans="35:35" x14ac:dyDescent="0.25">
      <c r="AI145"/>
    </row>
    <row r="146" spans="35:35" x14ac:dyDescent="0.25">
      <c r="AI146"/>
    </row>
    <row r="147" spans="35:35" x14ac:dyDescent="0.25">
      <c r="AI147"/>
    </row>
    <row r="148" spans="35:35" x14ac:dyDescent="0.25">
      <c r="AI148"/>
    </row>
    <row r="149" spans="35:35" x14ac:dyDescent="0.25">
      <c r="AI149"/>
    </row>
    <row r="150" spans="35:35" x14ac:dyDescent="0.25">
      <c r="AI150"/>
    </row>
    <row r="151" spans="35:35" x14ac:dyDescent="0.25">
      <c r="AI151"/>
    </row>
    <row r="152" spans="35:35" x14ac:dyDescent="0.25">
      <c r="AI152"/>
    </row>
    <row r="153" spans="35:35" x14ac:dyDescent="0.25">
      <c r="AI153"/>
    </row>
    <row r="154" spans="35:35" x14ac:dyDescent="0.25">
      <c r="AI154"/>
    </row>
    <row r="155" spans="35:35" x14ac:dyDescent="0.25">
      <c r="AI155"/>
    </row>
    <row r="156" spans="35:35" x14ac:dyDescent="0.25">
      <c r="AI156"/>
    </row>
    <row r="157" spans="35:35" x14ac:dyDescent="0.25">
      <c r="AI157"/>
    </row>
    <row r="158" spans="35:35" x14ac:dyDescent="0.25">
      <c r="AI158"/>
    </row>
    <row r="159" spans="35:35" x14ac:dyDescent="0.25">
      <c r="AI159"/>
    </row>
    <row r="160" spans="35:35" x14ac:dyDescent="0.25">
      <c r="AI160"/>
    </row>
    <row r="161" spans="35:35" x14ac:dyDescent="0.25">
      <c r="AI161"/>
    </row>
    <row r="162" spans="35:35" x14ac:dyDescent="0.25">
      <c r="AI162"/>
    </row>
    <row r="163" spans="35:35" x14ac:dyDescent="0.25">
      <c r="AI163"/>
    </row>
    <row r="164" spans="35:35" x14ac:dyDescent="0.25">
      <c r="AI164"/>
    </row>
    <row r="165" spans="35:35" x14ac:dyDescent="0.25">
      <c r="AI165"/>
    </row>
    <row r="166" spans="35:35" x14ac:dyDescent="0.25">
      <c r="AI166"/>
    </row>
    <row r="167" spans="35:35" x14ac:dyDescent="0.25">
      <c r="AI167"/>
    </row>
    <row r="168" spans="35:35" x14ac:dyDescent="0.25">
      <c r="AI168"/>
    </row>
    <row r="169" spans="35:35" x14ac:dyDescent="0.25">
      <c r="AI169"/>
    </row>
    <row r="170" spans="35:35" x14ac:dyDescent="0.25">
      <c r="AI170"/>
    </row>
    <row r="171" spans="35:35" x14ac:dyDescent="0.25">
      <c r="AI171"/>
    </row>
    <row r="172" spans="35:35" x14ac:dyDescent="0.25">
      <c r="AI172"/>
    </row>
    <row r="173" spans="35:35" x14ac:dyDescent="0.25">
      <c r="AI173"/>
    </row>
    <row r="174" spans="35:35" x14ac:dyDescent="0.25">
      <c r="AI174"/>
    </row>
    <row r="175" spans="35:35" x14ac:dyDescent="0.25">
      <c r="AI175"/>
    </row>
    <row r="176" spans="35:35" x14ac:dyDescent="0.25">
      <c r="AI176"/>
    </row>
    <row r="177" spans="35:35" x14ac:dyDescent="0.25">
      <c r="AI177"/>
    </row>
    <row r="178" spans="35:35" x14ac:dyDescent="0.25">
      <c r="AI178"/>
    </row>
    <row r="179" spans="35:35" x14ac:dyDescent="0.25">
      <c r="AI179"/>
    </row>
    <row r="180" spans="35:35" x14ac:dyDescent="0.25">
      <c r="AI180"/>
    </row>
    <row r="181" spans="35:35" x14ac:dyDescent="0.25">
      <c r="AI181"/>
    </row>
    <row r="182" spans="35:35" x14ac:dyDescent="0.25">
      <c r="AI182"/>
    </row>
    <row r="183" spans="35:35" x14ac:dyDescent="0.25">
      <c r="AI183"/>
    </row>
    <row r="184" spans="35:35" x14ac:dyDescent="0.25">
      <c r="AI184"/>
    </row>
    <row r="185" spans="35:35" x14ac:dyDescent="0.25">
      <c r="AI185"/>
    </row>
    <row r="186" spans="35:35" x14ac:dyDescent="0.25">
      <c r="AI186"/>
    </row>
    <row r="187" spans="35:35" x14ac:dyDescent="0.25">
      <c r="AI187"/>
    </row>
    <row r="188" spans="35:35" x14ac:dyDescent="0.25">
      <c r="AI188"/>
    </row>
    <row r="189" spans="35:35" x14ac:dyDescent="0.25">
      <c r="AI189"/>
    </row>
    <row r="190" spans="35:35" x14ac:dyDescent="0.25">
      <c r="AI190"/>
    </row>
    <row r="191" spans="35:35" x14ac:dyDescent="0.25">
      <c r="AI191"/>
    </row>
    <row r="192" spans="35:35" x14ac:dyDescent="0.25">
      <c r="AI192"/>
    </row>
    <row r="193" spans="35:35" x14ac:dyDescent="0.25">
      <c r="AI193"/>
    </row>
    <row r="194" spans="35:35" x14ac:dyDescent="0.25">
      <c r="AI194"/>
    </row>
    <row r="195" spans="35:35" x14ac:dyDescent="0.25">
      <c r="AI195"/>
    </row>
    <row r="196" spans="35:35" x14ac:dyDescent="0.25">
      <c r="AI196"/>
    </row>
    <row r="197" spans="35:35" x14ac:dyDescent="0.25">
      <c r="AI197"/>
    </row>
    <row r="198" spans="35:35" x14ac:dyDescent="0.25">
      <c r="AI198"/>
    </row>
    <row r="199" spans="35:35" x14ac:dyDescent="0.25">
      <c r="AI199"/>
    </row>
    <row r="200" spans="35:35" x14ac:dyDescent="0.25">
      <c r="AI200"/>
    </row>
    <row r="201" spans="35:35" x14ac:dyDescent="0.25">
      <c r="AI201"/>
    </row>
    <row r="202" spans="35:35" x14ac:dyDescent="0.25">
      <c r="AI202"/>
    </row>
    <row r="203" spans="35:35" x14ac:dyDescent="0.25">
      <c r="AI203"/>
    </row>
    <row r="204" spans="35:35" x14ac:dyDescent="0.25">
      <c r="AI204"/>
    </row>
    <row r="205" spans="35:35" x14ac:dyDescent="0.25">
      <c r="AI205"/>
    </row>
    <row r="206" spans="35:35" x14ac:dyDescent="0.25">
      <c r="AI206"/>
    </row>
    <row r="207" spans="35:35" x14ac:dyDescent="0.25">
      <c r="AI207"/>
    </row>
    <row r="208" spans="35:35" x14ac:dyDescent="0.25">
      <c r="AI208"/>
    </row>
    <row r="209" spans="35:35" x14ac:dyDescent="0.25">
      <c r="AI209"/>
    </row>
    <row r="210" spans="35:35" x14ac:dyDescent="0.25">
      <c r="AI210"/>
    </row>
    <row r="211" spans="35:35" x14ac:dyDescent="0.25">
      <c r="AI211"/>
    </row>
    <row r="212" spans="35:35" x14ac:dyDescent="0.25">
      <c r="AI212"/>
    </row>
    <row r="213" spans="35:35" x14ac:dyDescent="0.25">
      <c r="AI213"/>
    </row>
    <row r="214" spans="35:35" x14ac:dyDescent="0.25">
      <c r="AI214"/>
    </row>
    <row r="215" spans="35:35" x14ac:dyDescent="0.25">
      <c r="AI215"/>
    </row>
    <row r="216" spans="35:35" x14ac:dyDescent="0.25">
      <c r="AI216"/>
    </row>
    <row r="217" spans="35:35" x14ac:dyDescent="0.25">
      <c r="AI217"/>
    </row>
    <row r="218" spans="35:35" x14ac:dyDescent="0.25">
      <c r="AI218"/>
    </row>
    <row r="219" spans="35:35" x14ac:dyDescent="0.25">
      <c r="AI219"/>
    </row>
    <row r="220" spans="35:35" x14ac:dyDescent="0.25">
      <c r="AI220"/>
    </row>
    <row r="221" spans="35:35" x14ac:dyDescent="0.25">
      <c r="AI221"/>
    </row>
    <row r="222" spans="35:35" x14ac:dyDescent="0.25">
      <c r="AI222"/>
    </row>
    <row r="223" spans="35:35" x14ac:dyDescent="0.25">
      <c r="AI223"/>
    </row>
    <row r="224" spans="35:35" x14ac:dyDescent="0.25">
      <c r="AI224"/>
    </row>
    <row r="225" spans="35:35" x14ac:dyDescent="0.25">
      <c r="AI225"/>
    </row>
    <row r="226" spans="35:35" x14ac:dyDescent="0.25">
      <c r="AI226"/>
    </row>
    <row r="227" spans="35:35" x14ac:dyDescent="0.25">
      <c r="AI227"/>
    </row>
    <row r="228" spans="35:35" x14ac:dyDescent="0.25">
      <c r="AI228"/>
    </row>
    <row r="229" spans="35:35" x14ac:dyDescent="0.25">
      <c r="AI229"/>
    </row>
    <row r="230" spans="35:35" x14ac:dyDescent="0.25">
      <c r="AI230"/>
    </row>
    <row r="231" spans="35:35" x14ac:dyDescent="0.25">
      <c r="AI231"/>
    </row>
    <row r="232" spans="35:35" x14ac:dyDescent="0.25">
      <c r="AI232"/>
    </row>
    <row r="233" spans="35:35" x14ac:dyDescent="0.25">
      <c r="AI233"/>
    </row>
    <row r="234" spans="35:35" x14ac:dyDescent="0.25">
      <c r="AI234"/>
    </row>
    <row r="235" spans="35:35" x14ac:dyDescent="0.25">
      <c r="AI235"/>
    </row>
    <row r="236" spans="35:35" x14ac:dyDescent="0.25">
      <c r="AI236"/>
    </row>
    <row r="237" spans="35:35" x14ac:dyDescent="0.25">
      <c r="AI237"/>
    </row>
    <row r="238" spans="35:35" x14ac:dyDescent="0.25">
      <c r="AI238"/>
    </row>
    <row r="239" spans="35:35" x14ac:dyDescent="0.25">
      <c r="AI239"/>
    </row>
    <row r="240" spans="35:35" x14ac:dyDescent="0.25">
      <c r="AI240"/>
    </row>
    <row r="241" spans="35:35" x14ac:dyDescent="0.25">
      <c r="AI241"/>
    </row>
    <row r="242" spans="35:35" x14ac:dyDescent="0.25">
      <c r="AI242"/>
    </row>
    <row r="243" spans="35:35" x14ac:dyDescent="0.25">
      <c r="AI243"/>
    </row>
    <row r="244" spans="35:35" x14ac:dyDescent="0.25">
      <c r="AI244"/>
    </row>
    <row r="245" spans="35:35" x14ac:dyDescent="0.25">
      <c r="AI245"/>
    </row>
    <row r="246" spans="35:35" x14ac:dyDescent="0.25">
      <c r="AI246"/>
    </row>
    <row r="247" spans="35:35" x14ac:dyDescent="0.25">
      <c r="AI247"/>
    </row>
    <row r="248" spans="35:35" x14ac:dyDescent="0.25">
      <c r="AI248"/>
    </row>
    <row r="249" spans="35:35" x14ac:dyDescent="0.25">
      <c r="AI249"/>
    </row>
    <row r="250" spans="35:35" x14ac:dyDescent="0.25">
      <c r="AI250"/>
    </row>
    <row r="251" spans="35:35" x14ac:dyDescent="0.25">
      <c r="AI251"/>
    </row>
    <row r="252" spans="35:35" x14ac:dyDescent="0.25">
      <c r="AI252"/>
    </row>
    <row r="253" spans="35:35" x14ac:dyDescent="0.25">
      <c r="AI253"/>
    </row>
    <row r="254" spans="35:35" x14ac:dyDescent="0.25">
      <c r="AI254"/>
    </row>
    <row r="255" spans="35:35" x14ac:dyDescent="0.25">
      <c r="AI255"/>
    </row>
    <row r="256" spans="35:35" x14ac:dyDescent="0.25">
      <c r="AI256"/>
    </row>
    <row r="257" spans="35:35" x14ac:dyDescent="0.25">
      <c r="AI257"/>
    </row>
    <row r="258" spans="35:35" x14ac:dyDescent="0.25">
      <c r="AI258"/>
    </row>
    <row r="259" spans="35:35" x14ac:dyDescent="0.25">
      <c r="AI259"/>
    </row>
    <row r="260" spans="35:35" x14ac:dyDescent="0.25">
      <c r="AI260"/>
    </row>
    <row r="261" spans="35:35" x14ac:dyDescent="0.25">
      <c r="AI261"/>
    </row>
    <row r="262" spans="35:35" x14ac:dyDescent="0.25">
      <c r="AI262"/>
    </row>
    <row r="263" spans="35:35" x14ac:dyDescent="0.25">
      <c r="AI263"/>
    </row>
    <row r="264" spans="35:35" x14ac:dyDescent="0.25">
      <c r="AI264"/>
    </row>
    <row r="265" spans="35:35" x14ac:dyDescent="0.25">
      <c r="AI265"/>
    </row>
    <row r="266" spans="35:35" x14ac:dyDescent="0.25">
      <c r="AI266"/>
    </row>
    <row r="267" spans="35:35" x14ac:dyDescent="0.25">
      <c r="AI267"/>
    </row>
    <row r="268" spans="35:35" x14ac:dyDescent="0.25">
      <c r="AI268"/>
    </row>
    <row r="269" spans="35:35" x14ac:dyDescent="0.25">
      <c r="AI269"/>
    </row>
    <row r="270" spans="35:35" x14ac:dyDescent="0.25">
      <c r="AI270"/>
    </row>
    <row r="271" spans="35:35" x14ac:dyDescent="0.25">
      <c r="AI271"/>
    </row>
    <row r="272" spans="35:35" x14ac:dyDescent="0.25">
      <c r="AI272"/>
    </row>
    <row r="273" spans="35:35" x14ac:dyDescent="0.25">
      <c r="AI273"/>
    </row>
    <row r="274" spans="35:35" x14ac:dyDescent="0.25">
      <c r="AI274"/>
    </row>
    <row r="275" spans="35:35" x14ac:dyDescent="0.25">
      <c r="AI275"/>
    </row>
    <row r="276" spans="35:35" x14ac:dyDescent="0.25">
      <c r="AI276"/>
    </row>
    <row r="277" spans="35:35" x14ac:dyDescent="0.25">
      <c r="AI277"/>
    </row>
    <row r="278" spans="35:35" x14ac:dyDescent="0.25">
      <c r="AI278"/>
    </row>
    <row r="279" spans="35:35" x14ac:dyDescent="0.25">
      <c r="AI279"/>
    </row>
    <row r="280" spans="35:35" x14ac:dyDescent="0.25">
      <c r="AI280"/>
    </row>
  </sheetData>
  <sortState xmlns:xlrd2="http://schemas.microsoft.com/office/spreadsheetml/2017/richdata2" ref="N2:N36">
    <sortCondition ref="N1:N36"/>
  </sortState>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26CD65391203A840BDE01E8EF30844A5" ma:contentTypeVersion="10" ma:contentTypeDescription="Crear nuevo documento." ma:contentTypeScope="" ma:versionID="f8e77f45a5e6347d6e3b02c6210b1899">
  <xsd:schema xmlns:xsd="http://www.w3.org/2001/XMLSchema" xmlns:xs="http://www.w3.org/2001/XMLSchema" xmlns:p="http://schemas.microsoft.com/office/2006/metadata/properties" xmlns:ns2="ff0ce049-a8c3-4ed2-bca5-b2d99eadd5c1" targetNamespace="http://schemas.microsoft.com/office/2006/metadata/properties" ma:root="true" ma:fieldsID="45282d210020a5211afe2d78b2324be6" ns2:_="">
    <xsd:import namespace="ff0ce049-a8c3-4ed2-bca5-b2d99eadd5c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f0ce049-a8c3-4ed2-bca5-b2d99eadd5c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50028fe1-31b5-4904-8097-8e5e2258eb0e"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f0ce049-a8c3-4ed2-bca5-b2d99eadd5c1">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098D20F-EEAA-48B6-B595-5E3380AB4B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f0ce049-a8c3-4ed2-bca5-b2d99eadd5c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BA4019C-5E57-4F0A-BDEB-C8971EA29A8A}">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ff0ce049-a8c3-4ed2-bca5-b2d99eadd5c1"/>
    <ds:schemaRef ds:uri="http://purl.org/dc/elements/1.1/"/>
    <ds:schemaRef ds:uri="http://schemas.microsoft.com/office/2006/metadata/properties"/>
    <ds:schemaRef ds:uri="http://www.w3.org/XML/1998/namespace"/>
    <ds:schemaRef ds:uri="http://purl.org/dc/dcmitype/"/>
  </ds:schemaRefs>
</ds:datastoreItem>
</file>

<file path=customXml/itemProps3.xml><?xml version="1.0" encoding="utf-8"?>
<ds:datastoreItem xmlns:ds="http://schemas.openxmlformats.org/officeDocument/2006/customXml" ds:itemID="{347714A7-62E9-4DFA-BFFD-52934B3E8657}">
  <ds:schemaRefs>
    <ds:schemaRef ds:uri="http://schemas.microsoft.com/sharepoint/v3/contenttype/forms"/>
  </ds:schemaRefs>
</ds:datastoreItem>
</file>

<file path=docMetadata/LabelInfo.xml><?xml version="1.0" encoding="utf-8"?>
<clbl:labelList xmlns:clbl="http://schemas.microsoft.com/office/2020/mipLabelMetadata">
  <clbl:label id="{fd526602-58c8-494f-8a3d-4d906671215d}" enabled="1" method="Standard" siteId="{8b87af7d-8647-4dc7-8df4-5f69a2011bb5}"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Fulls de càlcul</vt:lpstr>
      </vt:variant>
      <vt:variant>
        <vt:i4>9</vt:i4>
      </vt:variant>
      <vt:variant>
        <vt:lpstr>Intervals amb nom</vt:lpstr>
      </vt:variant>
      <vt:variant>
        <vt:i4>47</vt:i4>
      </vt:variant>
    </vt:vector>
  </HeadingPairs>
  <TitlesOfParts>
    <vt:vector size="56" baseType="lpstr">
      <vt:lpstr>Instruccions</vt:lpstr>
      <vt:lpstr>Sistemes</vt:lpstr>
      <vt:lpstr>Dominis de dades</vt:lpstr>
      <vt:lpstr>Conjunts de dades</vt:lpstr>
      <vt:lpstr>Rel.Conjunts-Sistemes</vt:lpstr>
      <vt:lpstr>Qualitat</vt:lpstr>
      <vt:lpstr>Llegenda</vt:lpstr>
      <vt:lpstr>Relació inventaris</vt:lpstr>
      <vt:lpstr>Llistes</vt:lpstr>
      <vt:lpstr>AbastOrganitzatiu</vt:lpstr>
      <vt:lpstr>AltValor</vt:lpstr>
      <vt:lpstr>Àmbit</vt:lpstr>
      <vt:lpstr>AnàlisiRiscos</vt:lpstr>
      <vt:lpstr>Àrea</vt:lpstr>
      <vt:lpstr>'Dominis de dades'!Àrea_d'impressió</vt:lpstr>
      <vt:lpstr>Sistemes!Àrea_d'impressió</vt:lpstr>
      <vt:lpstr>ArquitecturaCloud</vt:lpstr>
      <vt:lpstr>Cadencia</vt:lpstr>
      <vt:lpstr>Catàleg_de_protecció_del_patrimoni_arquitectònic_i_paisatgístic</vt:lpstr>
      <vt:lpstr>CategoriaConjuntDades</vt:lpstr>
      <vt:lpstr>Confidencialitat</vt:lpstr>
      <vt:lpstr>ConjuntsDades</vt:lpstr>
      <vt:lpstr>Criticitat</vt:lpstr>
      <vt:lpstr>DadesObertes</vt:lpstr>
      <vt:lpstr>Dominis</vt:lpstr>
      <vt:lpstr>Dominis_a_ConjuntsDades</vt:lpstr>
      <vt:lpstr>DominisDades</vt:lpstr>
      <vt:lpstr>EntitatsGlobals</vt:lpstr>
      <vt:lpstr>EstatSistemes</vt:lpstr>
      <vt:lpstr>Format</vt:lpstr>
      <vt:lpstr>LlistaDominisDades</vt:lpstr>
      <vt:lpstr>NivellAccés</vt:lpstr>
      <vt:lpstr>Nom_Conjunt_de_dades</vt:lpstr>
      <vt:lpstr>Origens</vt:lpstr>
      <vt:lpstr>Orígens</vt:lpstr>
      <vt:lpstr>Persistencia</vt:lpstr>
      <vt:lpstr>Prioritats</vt:lpstr>
      <vt:lpstr>'Rel.Conjunts-Sistemes'!Rel_ConjuntsDades_Entitats</vt:lpstr>
      <vt:lpstr>'Rel.Conjunts-Sistemes'!Rel_Entitats_ConjuntsDades</vt:lpstr>
      <vt:lpstr>Rel_Sistemes_Conjunts</vt:lpstr>
      <vt:lpstr>RelacióGlosari</vt:lpstr>
      <vt:lpstr>'Rel.Conjunts-Sistemes'!RelacionsConjuntsDades</vt:lpstr>
      <vt:lpstr>Retenció</vt:lpstr>
      <vt:lpstr>Reutilitzacio</vt:lpstr>
      <vt:lpstr>Seguretat</vt:lpstr>
      <vt:lpstr>SensibilitatDades</vt:lpstr>
      <vt:lpstr>SiNo</vt:lpstr>
      <vt:lpstr>SiNoParcialment</vt:lpstr>
      <vt:lpstr>Sistemes</vt:lpstr>
      <vt:lpstr>TipusAtributs</vt:lpstr>
      <vt:lpstr>TipusConjunt</vt:lpstr>
      <vt:lpstr>TipusInformació</vt:lpstr>
      <vt:lpstr>TipusRelEntitats</vt:lpstr>
      <vt:lpstr>TipusServei</vt:lpstr>
      <vt:lpstr>'Dominis de dades'!Títols_per_imprimir</vt:lpstr>
      <vt:lpstr>Sistemes!Títols_per_imprimir</vt:lpstr>
    </vt:vector>
  </TitlesOfParts>
  <Manager/>
  <Company>Sopra Steria Group S.A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MIRO ALBINANA Adria</dc:creator>
  <cp:keywords/>
  <dc:description/>
  <cp:lastModifiedBy>NIETO SANCHEZ, PEDRO</cp:lastModifiedBy>
  <cp:revision/>
  <dcterms:created xsi:type="dcterms:W3CDTF">2025-02-24T09:39:49Z</dcterms:created>
  <dcterms:modified xsi:type="dcterms:W3CDTF">2026-07-21T13:28:25Z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0x01010026CD65391203A840BDE01E8EF30844A5</vt:lpwstr>
  </property>
  <property fmtid="{D5CDD505-2E9C-101B-9397-08002B2CF9AE}" pid="3" name="MediaServiceImageTags">
    <vt:lpwstr/>
  </property>
</Properties>
</file>