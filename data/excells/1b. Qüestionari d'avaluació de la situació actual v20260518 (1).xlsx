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ibacat.sharepoint.com/sites/GID_EXTERN-SopraSteria.Sistemadeinformaci-automatitzaci/Documentos compartidos/SopraSteria. Govern de la dada fase 2/Inventari d'actius de dades/Documents de treball/"/>
    </mc:Choice>
  </mc:AlternateContent>
  <xr:revisionPtr revIDLastSave="0" documentId="13_ncr:1_{61E63112-769B-49EE-A180-5CCE6207271F}" xr6:coauthVersionLast="47" xr6:coauthVersionMax="47" xr10:uidLastSave="{00000000-0000-0000-0000-000000000000}"/>
  <bookViews>
    <workbookView xWindow="-110" yWindow="-110" windowWidth="19420" windowHeight="10300" activeTab="5" xr2:uid="{78C5735F-F1DB-4F8E-80A8-86718AF89EE0}"/>
  </bookViews>
  <sheets>
    <sheet name="Instruccions" sheetId="15" r:id="rId1"/>
    <sheet name="MapaResponsables" sheetId="16" r:id="rId2"/>
    <sheet name="Qüestionari" sheetId="10" r:id="rId3"/>
    <sheet name="Gestió de la dada" sheetId="9" state="hidden" r:id="rId4"/>
    <sheet name="Qualitat de la dada" sheetId="6" state="hidden" r:id="rId5"/>
    <sheet name="Pla d'accions (anàlisi)" sheetId="20" r:id="rId6"/>
    <sheet name="Pla d'accions" sheetId="18" state="hidden" r:id="rId7"/>
    <sheet name="Resultat" sheetId="11" r:id="rId8"/>
    <sheet name="Llegenda" sheetId="12" r:id="rId9"/>
    <sheet name="Llistes" sheetId="14" r:id="rId10"/>
  </sheets>
  <definedNames>
    <definedName name="_xlnm._FilterDatabase" localSheetId="9" hidden="1">Llistes!$A$3:$H$3</definedName>
    <definedName name="a" localSheetId="2">Qüestionari!$A$1:$J$38</definedName>
    <definedName name="AccionsGD">Llistes!#REF!</definedName>
    <definedName name="Ajuntament">Llistes!$E$3:$E$313</definedName>
    <definedName name="Àrea">Llistes!$G$3:$G$173</definedName>
    <definedName name="_xlnm.Print_Area" localSheetId="8">Llegenda!$A$1:$D$56</definedName>
    <definedName name="_xlnm.Print_Area" localSheetId="1">MapaResponsables!$A$1:$G$50</definedName>
    <definedName name="_xlnm.Print_Area" localSheetId="6">'Pla d''accions'!$A$3:$B$67</definedName>
    <definedName name="_xlnm.Print_Area" localSheetId="5">'Pla d''accions (anàlisi)'!$A$3:$B$28</definedName>
    <definedName name="_xlnm.Print_Area" localSheetId="2">Qüestionari!$A$1:$J$17</definedName>
    <definedName name="_xlnm.Print_Area" localSheetId="7">Resultat!$A$1:$Y$34</definedName>
    <definedName name="Dificultat">Llistes!$M$3:$M$5</definedName>
    <definedName name="Impacte">Llistes!$K$3:$K$5</definedName>
    <definedName name="ImpacteCost">Llistes!$K$3:$K$5</definedName>
    <definedName name="Organisme">Llistes!$C$3:$C$21</definedName>
    <definedName name="Rols">Llistes!$I$3:$I$4</definedName>
    <definedName name="SiNo">#REF!</definedName>
    <definedName name="Termini">Llistes!$O$3:$O$7</definedName>
    <definedName name="Tipus">Llistes!$A$3:$A$6</definedName>
    <definedName name="_xlnm.Print_Titles" localSheetId="2">Qüestionari!$1:$4</definedName>
  </definedNames>
  <calcPr calcId="191028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20" l="1"/>
  <c r="G38" i="20"/>
  <c r="F38" i="20"/>
  <c r="J36" i="20"/>
  <c r="G36" i="20"/>
  <c r="F36" i="20"/>
  <c r="J34" i="20"/>
  <c r="G34" i="20"/>
  <c r="F34" i="20"/>
  <c r="J31" i="20"/>
  <c r="G31" i="20"/>
  <c r="F31" i="20"/>
  <c r="J29" i="20"/>
  <c r="G29" i="20"/>
  <c r="F29" i="20"/>
  <c r="J27" i="20"/>
  <c r="G27" i="20"/>
  <c r="F27" i="20"/>
  <c r="J26" i="20"/>
  <c r="G26" i="20"/>
  <c r="F26" i="20"/>
  <c r="J24" i="20"/>
  <c r="G24" i="20"/>
  <c r="F24" i="20"/>
  <c r="J22" i="20"/>
  <c r="G22" i="20"/>
  <c r="F22" i="20"/>
  <c r="J21" i="20"/>
  <c r="G21" i="20"/>
  <c r="F21" i="20"/>
  <c r="J18" i="20"/>
  <c r="G18" i="20"/>
  <c r="F18" i="20"/>
  <c r="J17" i="20"/>
  <c r="G17" i="20"/>
  <c r="F17" i="20"/>
  <c r="J16" i="20"/>
  <c r="G16" i="20"/>
  <c r="F16" i="20"/>
  <c r="J14" i="20"/>
  <c r="G14" i="20"/>
  <c r="F14" i="20"/>
  <c r="J9" i="20"/>
  <c r="G9" i="20"/>
  <c r="F9" i="20"/>
  <c r="J8" i="20"/>
  <c r="G8" i="20"/>
  <c r="F8" i="20"/>
  <c r="F12" i="20"/>
  <c r="G12" i="20"/>
  <c r="G11" i="20"/>
  <c r="J12" i="20"/>
  <c r="J11" i="20"/>
  <c r="F11" i="20"/>
  <c r="Z10" i="10"/>
  <c r="Z11" i="10"/>
  <c r="Z13" i="10"/>
  <c r="Z15" i="10"/>
  <c r="Z16" i="10"/>
  <c r="Z17" i="10"/>
  <c r="Z20" i="10"/>
  <c r="Z21" i="10"/>
  <c r="Z23" i="10"/>
  <c r="Z25" i="10"/>
  <c r="Z26" i="10"/>
  <c r="Z28" i="10"/>
  <c r="Z30" i="10"/>
  <c r="Z33" i="10"/>
  <c r="Z35" i="10"/>
  <c r="Z37" i="10"/>
  <c r="Z8" i="10"/>
  <c r="Z7" i="10"/>
  <c r="C28" i="11"/>
  <c r="C27" i="11"/>
  <c r="C26" i="11"/>
  <c r="X34" i="10"/>
  <c r="B33" i="11"/>
  <c r="B32" i="11"/>
  <c r="B31" i="11"/>
  <c r="X36" i="10"/>
  <c r="X37" i="10" s="1"/>
  <c r="J37" i="10"/>
  <c r="J36" i="10" s="1"/>
  <c r="L37" i="10"/>
  <c r="L33" i="10"/>
  <c r="J33" i="10"/>
  <c r="Y33" i="10" s="1"/>
  <c r="W32" i="10"/>
  <c r="W33" i="10" s="1"/>
  <c r="W34" i="10" s="1"/>
  <c r="X32" i="10"/>
  <c r="J35" i="10"/>
  <c r="Y35" i="10" s="1"/>
  <c r="L35" i="10"/>
  <c r="C22" i="11"/>
  <c r="C23" i="11"/>
  <c r="C14" i="11"/>
  <c r="C15" i="11"/>
  <c r="C16" i="11"/>
  <c r="C19" i="11"/>
  <c r="C20" i="11"/>
  <c r="C21" i="11"/>
  <c r="C13" i="11"/>
  <c r="X29" i="10"/>
  <c r="X30" i="10" s="1"/>
  <c r="X31" i="10" s="1"/>
  <c r="J30" i="10"/>
  <c r="J29" i="10" s="1"/>
  <c r="L30" i="10"/>
  <c r="X27" i="10"/>
  <c r="X28" i="10" s="1"/>
  <c r="J28" i="10"/>
  <c r="J27" i="10" s="1"/>
  <c r="L28" i="10"/>
  <c r="L26" i="10"/>
  <c r="J26" i="10"/>
  <c r="Y26" i="10" s="1"/>
  <c r="L25" i="10"/>
  <c r="J25" i="10"/>
  <c r="R9" i="11" s="1"/>
  <c r="X24" i="10"/>
  <c r="X25" i="10" s="1"/>
  <c r="X26" i="10" s="1"/>
  <c r="L23" i="10"/>
  <c r="J23" i="10"/>
  <c r="J22" i="10" s="1"/>
  <c r="X22" i="10"/>
  <c r="X23" i="10" s="1"/>
  <c r="L21" i="10"/>
  <c r="J21" i="10"/>
  <c r="Y21" i="10" s="1"/>
  <c r="L20" i="10"/>
  <c r="J20" i="10"/>
  <c r="Y20" i="10" s="1"/>
  <c r="X19" i="10"/>
  <c r="X20" i="10" s="1"/>
  <c r="X21" i="10" s="1"/>
  <c r="W19" i="10"/>
  <c r="W20" i="10" s="1"/>
  <c r="W21" i="10" s="1"/>
  <c r="W22" i="10" s="1"/>
  <c r="W23" i="10" s="1"/>
  <c r="W24" i="10" s="1"/>
  <c r="W25" i="10" s="1"/>
  <c r="W26" i="10" s="1"/>
  <c r="W27" i="10" s="1"/>
  <c r="W28" i="10" s="1"/>
  <c r="J34" i="10" l="1"/>
  <c r="J32" i="10"/>
  <c r="J31" i="10" s="1"/>
  <c r="W9" i="11"/>
  <c r="G27" i="11" s="1"/>
  <c r="X9" i="11"/>
  <c r="G28" i="11" s="1"/>
  <c r="V9" i="11"/>
  <c r="G26" i="11" s="1"/>
  <c r="W35" i="10"/>
  <c r="W36" i="10" s="1"/>
  <c r="W37" i="10" s="1"/>
  <c r="Y37" i="10"/>
  <c r="X33" i="10"/>
  <c r="X35" i="10" s="1"/>
  <c r="U9" i="11"/>
  <c r="G23" i="11" s="1"/>
  <c r="S9" i="11"/>
  <c r="G21" i="11" s="1"/>
  <c r="Y30" i="10"/>
  <c r="W29" i="10"/>
  <c r="W30" i="10" s="1"/>
  <c r="W31" i="10" s="1"/>
  <c r="T9" i="11"/>
  <c r="G22" i="11" s="1"/>
  <c r="Y28" i="10"/>
  <c r="Q9" i="11"/>
  <c r="G20" i="11" s="1"/>
  <c r="J24" i="10"/>
  <c r="O9" i="11"/>
  <c r="P9" i="11"/>
  <c r="Y25" i="10"/>
  <c r="Y23" i="10"/>
  <c r="J19" i="10"/>
  <c r="F9" i="11"/>
  <c r="E9" i="11"/>
  <c r="D9" i="11"/>
  <c r="C9" i="11"/>
  <c r="B9" i="11"/>
  <c r="X9" i="10"/>
  <c r="X10" i="10" s="1"/>
  <c r="X11" i="10" s="1"/>
  <c r="X12" i="10"/>
  <c r="X13" i="10" s="1"/>
  <c r="X14" i="10"/>
  <c r="X15" i="10" s="1"/>
  <c r="X16" i="10" s="1"/>
  <c r="X17" i="10" s="1"/>
  <c r="X18" i="10" s="1"/>
  <c r="X6" i="10"/>
  <c r="X7" i="10" s="1"/>
  <c r="X8" i="10" s="1"/>
  <c r="W6" i="10"/>
  <c r="W7" i="10" s="1"/>
  <c r="W8" i="10" s="1"/>
  <c r="W9" i="10" s="1"/>
  <c r="W10" i="10" s="1"/>
  <c r="W11" i="10" s="1"/>
  <c r="W12" i="10" s="1"/>
  <c r="W13" i="10" s="1"/>
  <c r="W14" i="10" s="1"/>
  <c r="W15" i="10" s="1"/>
  <c r="W16" i="10" s="1"/>
  <c r="W17" i="10" s="1"/>
  <c r="W18" i="10" s="1"/>
  <c r="L13" i="10"/>
  <c r="J13" i="10"/>
  <c r="L10" i="10"/>
  <c r="J10" i="10"/>
  <c r="L7" i="10"/>
  <c r="J7" i="10"/>
  <c r="B11" i="16"/>
  <c r="P16" i="9"/>
  <c r="H16" i="9"/>
  <c r="P15" i="9"/>
  <c r="H15" i="9"/>
  <c r="P14" i="9"/>
  <c r="H14" i="9"/>
  <c r="P13" i="9"/>
  <c r="H13" i="9"/>
  <c r="P12" i="9"/>
  <c r="H12" i="9"/>
  <c r="P11" i="9"/>
  <c r="H11" i="9"/>
  <c r="H6" i="9" s="1"/>
  <c r="P10" i="9"/>
  <c r="H10" i="9"/>
  <c r="P9" i="9"/>
  <c r="H9" i="9"/>
  <c r="P8" i="9"/>
  <c r="H8" i="9"/>
  <c r="P7" i="9"/>
  <c r="H7" i="9"/>
  <c r="P13" i="6"/>
  <c r="J13" i="6"/>
  <c r="H13" i="6"/>
  <c r="P12" i="6"/>
  <c r="J12" i="6"/>
  <c r="H12" i="6"/>
  <c r="P11" i="6"/>
  <c r="J11" i="6"/>
  <c r="H11" i="6"/>
  <c r="P10" i="6"/>
  <c r="J10" i="6"/>
  <c r="H10" i="6"/>
  <c r="H6" i="6" s="1"/>
  <c r="H2" i="6" s="1"/>
  <c r="P9" i="6"/>
  <c r="J9" i="6"/>
  <c r="H9" i="6"/>
  <c r="P8" i="6"/>
  <c r="J8" i="6"/>
  <c r="H8" i="6"/>
  <c r="P7" i="6"/>
  <c r="J7" i="6"/>
  <c r="H7" i="6"/>
  <c r="P6" i="6"/>
  <c r="L15" i="10"/>
  <c r="L16" i="10"/>
  <c r="L17" i="10"/>
  <c r="L11" i="10"/>
  <c r="L8" i="10"/>
  <c r="J11" i="10"/>
  <c r="J17" i="10"/>
  <c r="J16" i="10"/>
  <c r="J15" i="10"/>
  <c r="Y15" i="10" s="1"/>
  <c r="J8" i="10"/>
  <c r="H25" i="11" l="1"/>
  <c r="C33" i="11" s="1"/>
  <c r="J18" i="10"/>
  <c r="G19" i="11"/>
  <c r="H18" i="11" s="1"/>
  <c r="C32" i="11" s="1"/>
  <c r="H9" i="11"/>
  <c r="Y8" i="10"/>
  <c r="J12" i="10"/>
  <c r="Y13" i="10"/>
  <c r="N9" i="11"/>
  <c r="Y17" i="10"/>
  <c r="J9" i="11"/>
  <c r="Y11" i="10"/>
  <c r="G9" i="11"/>
  <c r="Y7" i="10"/>
  <c r="M9" i="11"/>
  <c r="Y16" i="10"/>
  <c r="I9" i="11"/>
  <c r="Y10" i="10"/>
  <c r="J14" i="10"/>
  <c r="L9" i="11"/>
  <c r="K9" i="11"/>
  <c r="G15" i="11" s="1"/>
  <c r="J9" i="10"/>
  <c r="J6" i="10"/>
  <c r="P6" i="9"/>
  <c r="H2" i="9" s="1"/>
  <c r="J5" i="10" l="1"/>
  <c r="G13" i="11"/>
  <c r="G14" i="11"/>
  <c r="G16" i="11"/>
  <c r="H12" i="11" l="1"/>
  <c r="H11" i="11" s="1"/>
  <c r="C31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MENDEZ ARCE Alberto</author>
  </authors>
  <commentList>
    <comment ref="G5" authorId="0" shapeId="0" xr:uid="{E0070347-693A-4543-A19E-98D2C44CFC1D}">
      <text>
        <r>
          <rPr>
            <sz val="9"/>
            <color indexed="81"/>
            <rFont val="Tahoma"/>
            <family val="2"/>
          </rPr>
          <t>Un valor més baix implica menor maduresa i per tant una prioritat major.</t>
        </r>
      </text>
    </comment>
    <comment ref="J5" authorId="0" shapeId="0" xr:uid="{10341FAD-2AF2-47ED-A015-5E3D5EE99D32}">
      <text>
        <r>
          <rPr>
            <sz val="9"/>
            <color indexed="81"/>
            <rFont val="Tahoma"/>
            <family val="2"/>
          </rPr>
          <t xml:space="preserve">Un valor més baix implica que la la relació entre ela dificultat i l'impacte el fa més favorable a obtenir major impacte amb menor esforç.
</t>
        </r>
      </text>
    </comment>
  </commentList>
</comments>
</file>

<file path=xl/sharedStrings.xml><?xml version="1.0" encoding="utf-8"?>
<sst xmlns="http://schemas.openxmlformats.org/spreadsheetml/2006/main" count="980" uniqueCount="708">
  <si>
    <t>Qüestionari d'avaluació de la maduresa</t>
  </si>
  <si>
    <t>Instruccions</t>
  </si>
  <si>
    <r>
      <t xml:space="preserve"> - El qüestionari s'ha de respondre a les pestanyes </t>
    </r>
    <r>
      <rPr>
        <b/>
        <sz val="11"/>
        <color rgb="FF000000"/>
        <rFont val="Arial"/>
        <family val="2"/>
      </rPr>
      <t>Info</t>
    </r>
    <r>
      <rPr>
        <sz val="11"/>
        <color rgb="FF000000"/>
        <rFont val="Arial"/>
        <family val="2"/>
      </rPr>
      <t xml:space="preserve">, </t>
    </r>
    <r>
      <rPr>
        <b/>
        <sz val="11"/>
        <color rgb="FF000000"/>
        <rFont val="Arial"/>
        <family val="2"/>
      </rPr>
      <t>Sistemes</t>
    </r>
    <r>
      <rPr>
        <sz val="11"/>
        <color rgb="FF000000"/>
        <rFont val="Arial"/>
        <family val="2"/>
      </rPr>
      <t xml:space="preserve"> i </t>
    </r>
    <r>
      <rPr>
        <b/>
        <sz val="11"/>
        <color rgb="FF000000"/>
        <rFont val="Arial"/>
        <family val="2"/>
      </rPr>
      <t>Qüestionari</t>
    </r>
  </si>
  <si>
    <r>
      <t xml:space="preserve"> - L'emplenament de les dades s'ha de realitzar segons les especificacions de la pestanya </t>
    </r>
    <r>
      <rPr>
        <b/>
        <sz val="11"/>
        <color theme="1"/>
        <rFont val="Arial"/>
        <family val="2"/>
      </rPr>
      <t>Llegenda</t>
    </r>
    <r>
      <rPr>
        <sz val="11"/>
        <color theme="1"/>
        <rFont val="Arial"/>
        <family val="2"/>
      </rPr>
      <t>.</t>
    </r>
  </si>
  <si>
    <t xml:space="preserve"> - El personal designat per l'Ajuntament, Organisme o Àrea és el responsables d'emplenar el qüestionari, amb el suport de l'Oficina de Govern de la dada de la DIBA.</t>
  </si>
  <si>
    <t>- La pestanya Info ajudarà a identificar les persones clau en l'àmbit de les dades de l'Ajuntament o Organisme, així com quina és la seva organització per àrees o dominis de dades, Processos clau, Projectes estratègics i Objectius del PAM.</t>
  </si>
  <si>
    <t>- La pestanya Sistemes dona suport a la identificació dels sistemes de dades, de manera que hauria d'estar complimentat amb el suport de l'arquitecte de dades i dels administradors de sistemes,</t>
  </si>
  <si>
    <t>- La pestanya Qüestionari dona suport a l'avaluació de la maduresa del govern de la dada, ha de complimentar-se pel Responsable de dades amb suport de l'Oficina de Govern de la dada de la DIBA.</t>
  </si>
  <si>
    <r>
      <t xml:space="preserve"> - Per tal que el qüestionari es consideri </t>
    </r>
    <r>
      <rPr>
        <b/>
        <sz val="11"/>
        <color theme="1"/>
        <rFont val="Arial"/>
        <family val="2"/>
      </rPr>
      <t>complet</t>
    </r>
    <r>
      <rPr>
        <sz val="11"/>
        <color theme="1"/>
        <rFont val="Arial"/>
        <family val="2"/>
      </rPr>
      <t xml:space="preserve">, hauran d'estar emplenats tots els atributs </t>
    </r>
    <r>
      <rPr>
        <b/>
        <sz val="11"/>
        <color theme="1"/>
        <rFont val="Arial"/>
        <family val="2"/>
      </rPr>
      <t>obligatoris</t>
    </r>
    <r>
      <rPr>
        <sz val="11"/>
        <color theme="1"/>
        <rFont val="Arial"/>
        <family val="2"/>
      </rPr>
      <t xml:space="preserve"> detallats a la pestanya Llegenda.</t>
    </r>
  </si>
  <si>
    <t>v20250305</t>
  </si>
  <si>
    <t>Qüestionari d'avaluació de la situació actual</t>
  </si>
  <si>
    <t>Mapa Responsables</t>
  </si>
  <si>
    <t>Data</t>
  </si>
  <si>
    <t>Avaluador</t>
  </si>
  <si>
    <t>Àmbit</t>
  </si>
  <si>
    <t>Ajuntament</t>
  </si>
  <si>
    <t>Berga</t>
  </si>
  <si>
    <t>Àrea</t>
  </si>
  <si>
    <t>&lt;Totes&gt;</t>
  </si>
  <si>
    <t>Rols Clau</t>
  </si>
  <si>
    <t>Rol</t>
  </si>
  <si>
    <t>Responsable</t>
  </si>
  <si>
    <t>Correu responsable</t>
  </si>
  <si>
    <t>Telèfon responsable</t>
  </si>
  <si>
    <t>Observacions</t>
  </si>
  <si>
    <t>Responsable de dades (Data Stewart)</t>
  </si>
  <si>
    <t>Propietari de dades (Data Owner)</t>
  </si>
  <si>
    <t>Nom de l'àrea</t>
  </si>
  <si>
    <t>Processos clau</t>
  </si>
  <si>
    <t>Nom del procés</t>
  </si>
  <si>
    <t>Projectes estratègics (p.e. PAM, Dades obertes etc.)</t>
  </si>
  <si>
    <t>Nom del projecte</t>
  </si>
  <si>
    <t>Altres responsables</t>
  </si>
  <si>
    <t>Àmbit de responsabilitat</t>
  </si>
  <si>
    <t>Responsable de Tecnologia</t>
  </si>
  <si>
    <t>Responsable de Seguretat</t>
  </si>
  <si>
    <t>Nom curt</t>
  </si>
  <si>
    <t>Nom llarg</t>
  </si>
  <si>
    <t>És extern?</t>
  </si>
  <si>
    <t>Descripció</t>
  </si>
  <si>
    <t>Nom curt del sistema pare</t>
  </si>
  <si>
    <t>Codi d'aplicació</t>
  </si>
  <si>
    <t>Administrador de sistemes</t>
  </si>
  <si>
    <t>Correu electrònic de l'Administrador de sistemes</t>
  </si>
  <si>
    <t>Unitat orgànica/Departament Administrador de sistemes</t>
  </si>
  <si>
    <t>Arquitecte de la dada</t>
  </si>
  <si>
    <t>Correu electrònic de l'Arquitecte de la dada</t>
  </si>
  <si>
    <t>Unitat orgànica/Departament Arquitecte de la dada</t>
  </si>
  <si>
    <t>Id.</t>
  </si>
  <si>
    <t>Procés</t>
  </si>
  <si>
    <t>Qüestió</t>
  </si>
  <si>
    <t>Resposta</t>
  </si>
  <si>
    <t>Evidències i documentació</t>
  </si>
  <si>
    <t>Respostes</t>
  </si>
  <si>
    <t>Accions</t>
  </si>
  <si>
    <t>Govern</t>
  </si>
  <si>
    <t>Pla acció</t>
  </si>
  <si>
    <t>Prioritat</t>
  </si>
  <si>
    <t>Calendari</t>
  </si>
  <si>
    <t>Establiment d'estàndards, polítiques, bones pràctiques i procediments</t>
  </si>
  <si>
    <t>GA01</t>
  </si>
  <si>
    <t>Existeix un marc de Govern de la dada establert? (Polítiques, estàndards, procediments, inventari de dades, bones pràctiques, …)</t>
  </si>
  <si>
    <t>Si, però cada Àrea identifica i desenvolupa els seus processos amb el seu propi criteri</t>
  </si>
  <si>
    <t>No, no existeix un marc de Govern de la dada establert</t>
  </si>
  <si>
    <t>Sí, hi ha un marc de Govern de la dada establert i publicat, que coneixen i utilitzen les diferents Àrees</t>
  </si>
  <si>
    <t xml:space="preserve">Sí, hi ha un marc de Govern de la dada establert i publicat, que coneixen i utilitzen les diferents Àrees, i que està subjecte a processos de millora continua de manera periòdica. </t>
  </si>
  <si>
    <t>Definir un Marc de Govern de la dada de marea senzilla i escalable alineat amb els objectius de l'Ajuntament/Organisme, definint regles clares de gestió de les dades (qualitat, seguretat i accés), rols i responsabilitats i processos clau)</t>
  </si>
  <si>
    <t>Establir un marc de Govern del Dada unificat per garantir coherència i alineació entre àrees fent un treball de centralització de la governança i unificació de criteris.</t>
  </si>
  <si>
    <t>Assegurar la aplicació del Marc de Govern de la dada de manera efectiva, avaluant el compliment i efectivitat, i executant processos de millora contínua</t>
  </si>
  <si>
    <t>-</t>
  </si>
  <si>
    <t>GA02</t>
  </si>
  <si>
    <t>Estan documentades les Polítiques de Govern de la dada i aquestes estan orientades a optimitzar el valor de les dades? (estan publicades, el personal les coneix, s'actualitzen periòdicament, i es mesura i monitoritza el compliment)</t>
  </si>
  <si>
    <t>Sí, hi ha algunes polítiques, però no s'implementen adequadament</t>
  </si>
  <si>
    <t>No, no hi ha polítiques per a la optimització del valor de les dades</t>
  </si>
  <si>
    <t>Sí, hi ha polítiques per a la optimització del valor de les dades i s'implementen adequadament</t>
  </si>
  <si>
    <t>Sí, hi ha polítiques  per a la optimització del valor de les dades, s'implementen adequadament,  i es porten a terme accions periòdiques de millora continua</t>
  </si>
  <si>
    <t>Cal definir la Política de  Govern de la dada, es pot iniciar amb regles bàsiques que defineixin les responsabilitats, classifiquin les dades, estableixin normes d'accés i seguretat, i projectar un Inventari de dades. Per tal de fer aquest camí més senzill i aprofitant l'experiència de la DIBA, aquesta facilita el procediment d'adhesió a les seves Polítiques.</t>
  </si>
  <si>
    <t>Cal revisar que les Polítiques definides son aplicables, si es poden simplificar i assegurar un lideratge en l'àmbit del Govern de la dada. Addicionalment, seria positiu reforçar la comunicació, assegurar la capacitació dels implicats i portar a terme accions que facin que el Govern de la dada s'integri a la operació diària.</t>
  </si>
  <si>
    <t>És recomanable revisar les Polítiques periòdicament per tal d'optimitzar-les i assegurar que s'adapten a les noves necessitats.</t>
  </si>
  <si>
    <t>_</t>
  </si>
  <si>
    <t>Establiment d'estratègies de dades</t>
  </si>
  <si>
    <t>GB01</t>
  </si>
  <si>
    <t>Existeix una estratègia de dades que inclogui iniciatives, objectius i fites, i aquesta es coneguda per l'Ajuntament/Organisme?</t>
  </si>
  <si>
    <t>Si, existeix una estratègia de dades coneguda que inclou el detall d'iniciatives, objectius i fites, i es fa un seguiment periòdic del compliment.</t>
  </si>
  <si>
    <t>No, no hi ha una estratègia de dades coneguda</t>
  </si>
  <si>
    <t>Sí, existeix una estratègia de dades però no es molt coneguda o no defineix clarament les iniciatives, objectius o fites.</t>
  </si>
  <si>
    <t>Si, existeix una estratègia de dades coneguda que inclou el detall d'iniciatives, objectius i fites</t>
  </si>
  <si>
    <t>Definir una estratègia de dades de manera clara i accessible per a tots els actors implicats, que detalli els objectius estratègics, concreti iniciatives/un pla d'acció amb prioritats i involucrar als equips de treball</t>
  </si>
  <si>
    <t>Revisar 'l'estratègia de dades per concretar iniciatives, objectius mesurables i fites clares, i assegurar que tots els equips implicats la coneguin i facin seva</t>
  </si>
  <si>
    <t>Assegurar el compliment de l'estratègia de dades fent un seguiment regular de les iniciatives, revisant els objectius i les fites i fomentant la millora continua</t>
  </si>
  <si>
    <t>GB02</t>
  </si>
  <si>
    <t>Hi ha mètriques d'utilització i rendiment de les dades?</t>
  </si>
  <si>
    <t>Si, hi ha mètriques d'utilització i rendiment a les àrees, es fa un seguiment i utilització d'aquestes dades, i periòdicament es revisen (definició, necessitat, llindars, etc.) per tal de garantir una millora contínua</t>
  </si>
  <si>
    <t>No, no hi ha mètriques d'utilització i rendiment de les dades</t>
  </si>
  <si>
    <t>Si, per a alguna àrea hi ha alguna mètrica d'utilització i rendiment, però no es fa un seguiment</t>
  </si>
  <si>
    <t>Si, hi ha mètriques d'utilització i rendiment a les àrees, i es fa un seguiment i utilització d'aquestes dades</t>
  </si>
  <si>
    <t>Cal establir indicadors clau (KPIs) per a mesurar la qualitat, accessibilitat i efectivitat de les dades. Aquestes mètriques haurien de mesurar qualitats com la precisió, integritat, consistència i rendiment de les dades. Això facilitarà la gestió i millora de les dades.</t>
  </si>
  <si>
    <t xml:space="preserve"> Es recomana fer un monitoreig de les mètriques d'ús i rendiment per a analitzar les mètriques de manera periòdica, i estendre l'activitat a les principals àrees de l'Ajuntament o Organització. Fer el seguiment d'aquestes mètriques ajudarà a identificar possibles millores.</t>
  </si>
  <si>
    <t>Es recomana optimitzar els processos d'anàlisi per tal d'identificar tendències i punts de millora de manera proactiva, i fer revisions periòdiques per alinear les mètriques amb els objectius estratègics (p.e. el PAM de l'Ajuntament).</t>
  </si>
  <si>
    <t>Establiment d'estructures organitzacionals</t>
  </si>
  <si>
    <t>GC01</t>
  </si>
  <si>
    <t>Existeix una estructura organitzativa formal per al Govern de la dada i es porten a terme comitès de dades?</t>
  </si>
  <si>
    <t>Si, existeix una estructura organitzativa formal per al Govern de la dada i si es porten a terme comitès de dades de manera regular</t>
  </si>
  <si>
    <t>No existeix una estructura organitzativa formal per al Govern de la dada ni es porten a terme comitès de dades</t>
  </si>
  <si>
    <t>Si, existeix una estructura organitzativa formal per al Govern de la dada, però no es porten a terme comitès de dades de manera regular</t>
  </si>
  <si>
    <t>Si, existeix una estructura organitzativa formal per al Govern de la dada i si es porten a terme comitès de dades de manera regular amb un alt grau de col·laboració entre les diferents àrees</t>
  </si>
  <si>
    <t>Crear una estructura organitzativa mínima viable que permeti iniciar la governança de manera efectiva, definint rols clau, com Responsable de dades i Propietari de dades, i establir un Comitè de Dades per a la coordinació entre àrees</t>
  </si>
  <si>
    <t>Establir reunions del comitè de dades amb la periodicitat que sigui necessari per fer seguiment de la governança de les dades</t>
  </si>
  <si>
    <t>Assegurar que les decisions i accions derivades dels comitès estan alineats amb l'estratègia, avaluar i optimitzar els resultats dels Comitès</t>
  </si>
  <si>
    <t>Gestió de recursos humans</t>
  </si>
  <si>
    <t>GD01</t>
  </si>
  <si>
    <t>Estan definits els rols i responsabilitats per al Govern de la dada (al menys Responsable de les dades i Propietari de les dades)?</t>
  </si>
  <si>
    <t>Sí, estan definits els rols i responsabilitats, es revisen periòdicament i es forma al personal assignat per a garantir una millora continua</t>
  </si>
  <si>
    <t>No, no estan definits els rols i responsabilitats  adequadament</t>
  </si>
  <si>
    <t>Sí, estan definits els rols i responsabilitats, però no estan assignats a personal qualificat.</t>
  </si>
  <si>
    <t>Sí, estan definits els rols i responsabilitats, i estan assignats a personal qualificat</t>
  </si>
  <si>
    <t>És fonamental assignar definir i assignar els rols de Propietari de la dada (Data Owners) i de Responsable de la dada (Data Steward) per a garantitzar la qualitat, seguretat i us adequat de la informació. La definició d'aquests rols ha de deixar clares les funcions i les responsabilitats.</t>
  </si>
  <si>
    <t>Cal identificar a les persones adequades dins de l'Ajuntament o Organisme i formalitzar l'assignació de rols, comunicar clarament les responsabilitats, capacitar-los i fer seguiment de les seves funcions.</t>
  </si>
  <si>
    <t xml:space="preserve">Cal considerar establir mètriques d'ús i rendiment, assegurar que s'utilitzen a la presa de decisions, i implantar processos de millora contínua. </t>
  </si>
  <si>
    <t>GD02</t>
  </si>
  <si>
    <t>Està definit i assignat el rol de  Responsable de les dades?</t>
  </si>
  <si>
    <t>Sí, està definit i assignat i el personal coneix clarament les seves funcions i es fan accions periòdiques per tal de garantir una millora continua</t>
  </si>
  <si>
    <t>No, no està definit clarament aquest rol i no hi ha personal assignat</t>
  </si>
  <si>
    <t>Sí, està definit i assignat però, però el personal no coneix clarament les seves funcions</t>
  </si>
  <si>
    <t>Sí, està definit i assignat, i el personal coneix clarament les seves funcions</t>
  </si>
  <si>
    <t>S'hauria de definir clarament les funcions del Responsable de dades (Data Stewart), identificar els perfils adequats dins de l'Ajuntament o Organisme i capacitar-los per a portar a terme les seves funcions de manera efectiva.</t>
  </si>
  <si>
    <t>Cal capacitar al Responsable de dades (Data Stewart) i comunicar clarament les seves funcions dins l'Ajuntament o Organisme per a que pugui desenvolupar les seves funcions de manera efectiva.</t>
  </si>
  <si>
    <t>És recomanable establir mètriques, optimitzar processos contínuament i fomentar la col·laboració entre els diferents rols per enfortir la governança de dades.</t>
  </si>
  <si>
    <t>GD03</t>
  </si>
  <si>
    <t>Està identificat i es coneix  el propietari de les dades de cada Àrea?</t>
  </si>
  <si>
    <t>Sí, està definit i assignat, i el personal a cada àrea coneix clarament les seves funcions.</t>
  </si>
  <si>
    <t>Sí, està definit i assignat però, però el personal no coneix clarament les seves funcions, o hi ha alguna àrea per a les que no hi ha personal assignat</t>
  </si>
  <si>
    <t>Sí, està definit i assignat, i el personal a cada àrea coneix clarament les seves funcions, i es fan accions periòdiques per tal de garantir una millora continua</t>
  </si>
  <si>
    <t>És important definir el rol de Propietari de dades (Data Owner) i assignar-lo a persones amb gran coneixement funcional i responsabilitat sobre les dades. El Responsable de dades ha de ser responsable de la qualitat , seguretat i accés a les dades, i tenir l'autoritat per a la presa de decisions i garantir que les dades es gestionen adequadament.</t>
  </si>
  <si>
    <t>Cal comunicar l'existència del rol de Propietari de dades, el personal que té assignat i les responsabilitats de manera clara dins l'Ajuntament o Organisme.</t>
  </si>
  <si>
    <t xml:space="preserve"> És interessant garantir l'autoritat i visibilitat dels Propietaris de dades, assegurant que tingui els recursos i que s'implementen activitats de millora contínua.</t>
  </si>
  <si>
    <t>Gestió de dades</t>
  </si>
  <si>
    <t>Gestió de seguretat de dades</t>
  </si>
  <si>
    <t>MA01</t>
  </si>
  <si>
    <t>Existeixen Polítiques de seguretat i privadesa de les dades alineades amb les regulacions vigents i s'avalua el seu compliment?</t>
  </si>
  <si>
    <t xml:space="preserve">Si, hi ha Polítiques de seguretat i privadesa alineades amb les regulacions vigents, però no son conegudes pel personal i/o no s'avalua el seu compliment </t>
  </si>
  <si>
    <t xml:space="preserve">No, no hi ha Polítiques de seguretat i privadesa alineades amb les regulacions vigents </t>
  </si>
  <si>
    <t xml:space="preserve">Si, hi ha Polítiques de seguretat i privadesa alineades amb les regulacions vigents que son  conegudes pel personal, i es fan revisions del seu compliment </t>
  </si>
  <si>
    <t>Si, hi ha Polítiques de seguretat i privadesa alineades amb les regulacions vigents que son  conegudes pel personal, i es fan revisions del seu compliment. Addicionalment es fan revisions d'aquestes per tal assegurar l'alineament amb noves regulacions i per optimitzar els processos</t>
  </si>
  <si>
    <t>Definir les Polítiques de seguretat i privadesa alineades amb les regulacions vigents. Per tal de fer aquest camí més senzill i aprofitant l'experiència de la DIBA, aquesta facilita el procediment d'adhesió a les seves Polítiques.</t>
  </si>
  <si>
    <t>Divulgar les Polítiques de seguretat i privadesa entre el personal per tal que aquestes siguin conegudes, i fer avaluacions periòdiques del seu compliment</t>
  </si>
  <si>
    <t>Fer revisions periòdiques de les Polítiques per tal d'assegurar que aquestes es mantenen actualitzades amb les regulacions vigents i cercar oportunitats de millora continua</t>
  </si>
  <si>
    <t>MA02</t>
  </si>
  <si>
    <t>Les dades s'identifiquen i classifiquen en nivells de sensibilitat en funció de l'àmbit d'actuació dins de l'Ajuntament/Organisme?</t>
  </si>
  <si>
    <t>No, no es classifiquen les dades en funció de la seva sensibilitat</t>
  </si>
  <si>
    <t>Si, algunes dades es classifiquen en funció de la seva sensibilitat i/o el personal no coneix aquesta classificació</t>
  </si>
  <si>
    <t>Si, les dades es classifiquen en funció de la seva sensibilitat i el personal coneix i utilitza les dades d'acord a aquesta classificació</t>
  </si>
  <si>
    <t>Si, les dades es classifiquen en funció de la seva sensibilitat i el personal coneix i utilitza les dades d'acord a aquesta classificació, i es fan auditories periòdiques per tal de detectar possibles errors i fer millora continua</t>
  </si>
  <si>
    <t>Identificar i classificar les dades clau en funció de la seva sensibilitat</t>
  </si>
  <si>
    <t>Assegurar que estan identificades i classificades totes les dades clau en funció de la seva sensibilitat i que el personal utilitza les dades d'acord a aquesta classificació</t>
  </si>
  <si>
    <t>Es recomana establir auditories que ajudin a detectar errors i definir accions de millora continua</t>
  </si>
  <si>
    <t>Gestió de dades històriques</t>
  </si>
  <si>
    <t>MB01</t>
  </si>
  <si>
    <t>Existeixen Polítiques d'arxivat i restauració de dades?</t>
  </si>
  <si>
    <t xml:space="preserve">No, no hi ha Polítiques d'arxivat i restauració de dades </t>
  </si>
  <si>
    <t>Si, hi ha Polítiques d'arxivat i restauració de dades, però no s'apliquen adequadament</t>
  </si>
  <si>
    <t>Si, hi ha Polítiques d'arxivat i restauració de dades que s'apliquen adequadament</t>
  </si>
  <si>
    <t>Si, hi ha Polítiques d'arxivat i restauració de dades que s'apliquen adequadament i son revisades de forma periòdica per tal de millorar-les</t>
  </si>
  <si>
    <t>Definir les Polítiques d'arxivat i restauració de dades . Per tal de fer aquest camí més senzill i aprofitant l'experiència de la DIBA, aquesta facilita el procediment d'adhesió a les seves Polítiques.</t>
  </si>
  <si>
    <t>Revisar i implicar al personal en l'aplicació de les Polítiques d'arxivat i restauració de dades</t>
  </si>
  <si>
    <t xml:space="preserve">Portar a terme accions de millora continua de les Polítiques d'arxivat i restauració de dades </t>
  </si>
  <si>
    <t>Gestió de fonts i destinacions de dades</t>
  </si>
  <si>
    <t>MC01</t>
  </si>
  <si>
    <t>Existeix un Inventari de dades, que inclou conjunts de dades, dades mestre i de referència, i metadades, i on s'identifiquen les fonts de dades de l'Ajuntament/Organisme que és compartit i conegut pel personal?</t>
  </si>
  <si>
    <t>Si, existeix el Catàleg de dades i l'Inventari de dades, però aquest no és complet i/o el seu us és bastant limitat</t>
  </si>
  <si>
    <t>No, no existeix un Catàleg de dades ni Inventari de dades</t>
  </si>
  <si>
    <t>Si, existeix el Catàleg de dades i l'Inventari de dades, on s'identifiquen les fonts de dades de l'Ajuntament/Organisme, les dades clau, i son coneguts i utilitzats de manera regular</t>
  </si>
  <si>
    <t>Si, existeix el Catàleg de dades i l'Inventari de dades, on s'identifiquen les fonts de dades de l'Ajuntament/Organisme, les dades clau, son coneguts i utilitzats de manera regular, i regularment es revisa per tal de fer millora continua i avaluar el seu us</t>
  </si>
  <si>
    <t>Iniciar les tasques d'implementació de l'Inventari de dades</t>
  </si>
  <si>
    <t>Ampliar l'Inventari de dades a totes les dades clau, i difondre i promoure la seva utilització</t>
  </si>
  <si>
    <t>Fer revisions periòdiques de l'Inventari de dades per tal d'assegurar que aquest es manté actualitzat i cercar oportunitats de millora continua</t>
  </si>
  <si>
    <t>MC02</t>
  </si>
  <si>
    <t>Estan identificades les dades i fonts de dades externes i aquestes es gestionen mitjançant acords formals i s'estableixen controls de qualitat específics?</t>
  </si>
  <si>
    <t>No, no estan identificades les dades ni fonts de dades externes</t>
  </si>
  <si>
    <t>Si, estan identificades les dades i les fonts de dades externes però no hi ha una gestió específica sobre aquestes</t>
  </si>
  <si>
    <t>Si, estan identificades les dades i les fonts de dades externes i es fa una gestió específica sobre aquestes per tal d'assegurar que son de qualitat i segures</t>
  </si>
  <si>
    <t>Si, estan identificades les dades i les fonts de dades externes i es fa una gestió específica sobre aquestes per tal d'assegurar que son de qualitat i segures, i es fan avaluacions periòdiques per tal de trobar punts de millora continua</t>
  </si>
  <si>
    <t>Identificar les fonts de dades externes i les dades associades per tal de poder fer una gestió específica d'aquestes</t>
  </si>
  <si>
    <t>Fer una gestió específica sobre les fonts de dades i dades externes per tal d'assegurar que son de qualitat i segures</t>
  </si>
  <si>
    <t>Establir mecanismes de millora continua als processos de gestió de dades i fonts de dades externes</t>
  </si>
  <si>
    <t>Gestió de la integració de les dades</t>
  </si>
  <si>
    <t>MD01</t>
  </si>
  <si>
    <t>Existeixen Polítiques i procediments d'integració, gestió i utilització de les dades?</t>
  </si>
  <si>
    <t>No, no hi ha Polítiques ni procediments d'integració, gestió ni utilització de les dades</t>
  </si>
  <si>
    <t>Si, hi ha Polítiques i procediments d'integració, gestió i utilització de les dades, però no s'apliquen adequadament</t>
  </si>
  <si>
    <t>Si, hi ha Polítiques i procediments d'integració, gestió i utilització de les dades, que s'apliquen adequadament</t>
  </si>
  <si>
    <t>Si, hi ha Polítiques i procediments d'integració, gestió i utilització de les dades, que s'apliquen adequadament, que son avaluats paròdicament per tal de trobar punts de millora continua</t>
  </si>
  <si>
    <t>Definir les Polítiques i procediments d'integració, gestió i utilització de les dades . Per tal de fer aquest camí més senzill i aprofitant l'experiència de la DIBA, aquesta facilita el procediment d'adhesió a les seves Polítiques.</t>
  </si>
  <si>
    <t>Revisar i implicar al personal en l'aplicació de les Polítiques i procediments d'integració, gestió i utilització de les dades</t>
  </si>
  <si>
    <t>Portar a terme accions de millora continua de les Polítiques i procediments d'integració, gestió i utilització de les dades</t>
  </si>
  <si>
    <t>Gestió de Dades Mestre i Dades de Referència</t>
  </si>
  <si>
    <t>ME01</t>
  </si>
  <si>
    <r>
      <t xml:space="preserve">Estan identificades les Dades Mestre i les Dades de Referència? 
</t>
    </r>
    <r>
      <rPr>
        <i/>
        <sz val="10"/>
        <color theme="1"/>
        <rFont val="Aptos Narrow"/>
        <family val="2"/>
        <scheme val="minor"/>
      </rPr>
      <t>Dades Mestre son les dades que representen la informació fonamental per a l'Ajuntament/Organisme (p.e. nom, cognoms, tributs, empleats, etc.)
Dades de Referència son les dades que s'utilitzen como referència o estàndard per a contextualitzar altres dades (p.e. codis postals, municipis, calendaris de festius, llistat de tributs, CNAE, etc.)</t>
    </r>
  </si>
  <si>
    <t>Si, hi ha identificades Dades Mestre i les Dades de Referència, però la identificació no és completa</t>
  </si>
  <si>
    <t>No, no estan identificades les Dades Mestre ni les Dades de Referència</t>
  </si>
  <si>
    <t>Si, hi ha identificades totes les Dades Mestre i les Dades de Referència clau per a l'Ajuntament/Organisme</t>
  </si>
  <si>
    <t>Si, hi ha identificades totes les Dades Mestre i les Dades de Referència clau per a l'Ajuntament/Organisme, i periòdicament es revisen les definicions d'aquestes, la completitut i es porten a terme tasques de millora continua</t>
  </si>
  <si>
    <t>Qualitat de la dada</t>
  </si>
  <si>
    <t>QA01</t>
  </si>
  <si>
    <t>Estan documentats els requeriments de qualitat de les dades (precisió, integritat, consistència, completitut, puntualitat, etc.?</t>
  </si>
  <si>
    <t>Si, estan documentats alguns requeriments de qualitat d'algunes dades</t>
  </si>
  <si>
    <t>No, no estan documentats els requeriments de qualitat de les dades</t>
  </si>
  <si>
    <t>Si, estan documentats els requeriments de qualitat de les dades i hi ha processos automàtics orientats a garantir la qualitat de les dades</t>
  </si>
  <si>
    <t>Si, estan documentats els requeriments de qualitat de les dades i hi ha processos automàtics orientats a garantir la qualitat de les dades, i aquests es revisen de manera regular per tal d'identificar i aplicar millores</t>
  </si>
  <si>
    <t>Iniciar la documentació dels requeriments de qualitat de les dades, prioritzant  les dades clau i crítiques</t>
  </si>
  <si>
    <t xml:space="preserve">Completar la documentació de requeriments de qualitat de les dades i valorar l'automatització de processos que ajudin a garantir la qualitat de les dades </t>
  </si>
  <si>
    <t>Maximitzar l'automatització de processos que ajudin a garantir la qualitat de les dades i establir mecanismes de millora continua</t>
  </si>
  <si>
    <t>Control i monitorització de la qualitat de les dades</t>
  </si>
  <si>
    <t>QB01</t>
  </si>
  <si>
    <t>Es fa un seguiment actiu i monitoratge de la qualitat de les dades?</t>
  </si>
  <si>
    <t>No, no es fa un seguiment actiu ni es monitoritza la qualitat de les dades</t>
  </si>
  <si>
    <t>Si, es fan seguiments i monitorització de la qualitat de les dades de manera esporàdica únicament quan es detecten errors, i s'estableixen mesures correctives.</t>
  </si>
  <si>
    <t>Si, es fan seguiments i monitorització de la qualitat de les dades de manera regular i planificada, per implantar mesures correctives i preventives</t>
  </si>
  <si>
    <t>Si, es fan seguiments i monitorització de la qualitat de les dades de manera regular i planificada, per implantar mesures correctives i preventives, i s'avaluen els propis criteris de seguiment i monitorització per tal d'optimitzar-los</t>
  </si>
  <si>
    <t xml:space="preserve">Començar a fer seguiment actiu i monitorització de la qualitat de les dades </t>
  </si>
  <si>
    <t>Periodificar i ampliar l'abast del seguiment i monitorització de la qualitat de les dades per tal que doni suport a la implantació accions orientades a la prevenció</t>
  </si>
  <si>
    <t>Implantar revisions periòdiques d'avaluació dels propis criteris de seguiment i monitorització de la qualitat per tal d'optimitzar-los</t>
  </si>
  <si>
    <t>Planificació de la qualitat de les dades</t>
  </si>
  <si>
    <t>QC01</t>
  </si>
  <si>
    <t>Existeix una planificació de les activitats d'assegurament de la qualitat de les dades que detalla els objectius de qualitat, planifica el seguiment i monitorització de la qualitat de les dades, etc.?</t>
  </si>
  <si>
    <t>No, no es planifiquen les activitats d'assegurament de la qualitat de les dades</t>
  </si>
  <si>
    <t>Si,  es planifiquen les activitats d'assegurament de la qualitat de les dades, però aquesta planificació no detalla els objectius de qualitat o les activitats de seguiment i monitorització de la qualitat</t>
  </si>
  <si>
    <t>Si, es planifiquen les activitats d'assegurament de la qualitat de les dades, detallant els objectius de qualitat i les activitats de seguiment i monitorització de la qualitat</t>
  </si>
  <si>
    <t>Si, es planifiquen les activitats d'assegurament de la qualitat de les dades, detallant els objectius de qualitat i les activitats de seguiment i monitorització de la qualitat, i es fan activitats de millora continua de les pròpies activitats de planificació</t>
  </si>
  <si>
    <t>Preparar un pla d'assegurament de la qualitat de les dades, que inicialment posi el focus en les dades crítiques i dades clau</t>
  </si>
  <si>
    <t>Ampliar el detall del pla d'assegurament de la qualitat de les dades, assegurant que aquest detalla els objectius de qualitat, i les activitats de seguiment i monitorització</t>
  </si>
  <si>
    <t>Incorporar avaluacions de millora continua per al propi procés de planificació de la qualitat de les dades.</t>
  </si>
  <si>
    <t>La Gestió de Dades es refereix al conjunt d'activitats i procediments utilitzats per recollir, emmagatzemar, organitzar, mantenir i utilitzar dades de manera eficient. Aquest procés és crucial per garantir que les dades siguin accessibles, fiables i segures. L'objectiu principal de la Gestió de Dades és assegurar que les dades siguin utilitzades de manera eficient i efectiva per aportar valor a l'Ajuntament, Organisme o Àrea.</t>
  </si>
  <si>
    <t>CD.01</t>
  </si>
  <si>
    <t>Existeix un catàleg de dades? (una relació de les agrupacions de dades de l'Ajuntament)</t>
  </si>
  <si>
    <t>No</t>
  </si>
  <si>
    <t>Si, però no el coneix tothom qui el pot necessitar</t>
  </si>
  <si>
    <t>Si, i és conegut per l'Ajuntament</t>
  </si>
  <si>
    <t>CD.02</t>
  </si>
  <si>
    <t>El Catàleg de dades està implementat i poblat amb els actius de dades existents?</t>
  </si>
  <si>
    <t>Si, però és poc complet</t>
  </si>
  <si>
    <t>Si, agrupa una gran quantitat de dades</t>
  </si>
  <si>
    <t>CD.03</t>
  </si>
  <si>
    <t xml:space="preserve">Existeix un Inventari de dades? (recopilació  centralitzada de metadades de l'Ajuntament) </t>
  </si>
  <si>
    <t>Si, és bastant complet</t>
  </si>
  <si>
    <t>Si, és complet</t>
  </si>
  <si>
    <t>CD.04</t>
  </si>
  <si>
    <t>Estan definits els rols i les responsabilitats associades al Catàleg de dades i a l'Inventari de dades?</t>
  </si>
  <si>
    <t>No sempre estan definits els rols/responsabilitats</t>
  </si>
  <si>
    <t>Estan definits els rols però les responsabilitats no estan clares</t>
  </si>
  <si>
    <t>Si, tant els rols com les responsabilitats estan clares</t>
  </si>
  <si>
    <t>CD.05</t>
  </si>
  <si>
    <t xml:space="preserve">El Catàleg de dades inclou Metadades de Negoci? (que descriuen les dades des de una perspectiva d'usuari de negoci) </t>
  </si>
  <si>
    <t>CD.06</t>
  </si>
  <si>
    <t xml:space="preserve">El Catàleg de dades inclou Metadades tècniques? (que descriuen els aspectes tècnics de les dades, com estructures de base de dades, tipus, longituds, allotjament, etc.) </t>
  </si>
  <si>
    <t>CD.07</t>
  </si>
  <si>
    <t xml:space="preserve">El Catàleg de dades inclou Metadades operacionals? (que descriuen els aspectes d'utilització i flux de les dades, com origen, registres d'auditoria, historial de canvis, processos ETL, etc.) </t>
  </si>
  <si>
    <t>CD.08</t>
  </si>
  <si>
    <t>Els diferents tipus d'Usuari coneixen i tenen accés al Catàleg de dades i tenen les capacitats per a utilitzar-lo?</t>
  </si>
  <si>
    <t>Si, però únicament uns usuaris avançats</t>
  </si>
  <si>
    <t>Si, tots els potencials usuaris</t>
  </si>
  <si>
    <t>CD.09</t>
  </si>
  <si>
    <t>Es monitoritza la qualitat i completitud del Catàleg de dades?</t>
  </si>
  <si>
    <t>Si, però únicament quan es detecten errors</t>
  </si>
  <si>
    <t>Si, es fan revisions periòdiques planificades, i d'aquestes es generen activitats de millora</t>
  </si>
  <si>
    <t>CD.10</t>
  </si>
  <si>
    <t>Es recullen dades dels usuaris de les dades i es tenen en compte a un procés de millora contínua?</t>
  </si>
  <si>
    <t>Per a algunes àrees, alguna vegada</t>
  </si>
  <si>
    <t>Per a algunes àrees de manera sistemàtica</t>
  </si>
  <si>
    <t>De manera sistemàtica per a totes les àrees</t>
  </si>
  <si>
    <t>La Gestió de la Qualitat de la Dada és refereix a tot un conjunt de pràctiques i processos destinats a assegurar que les dades compleixin amb els criteris de qualitat establerts. L'objectiu final és assegurar que les dades siguin fiables, precises i útils, permetent així la presa de decisions informades i millorant l'eficiència operativa de l'Ajuntament, Organisme o Àrea.</t>
  </si>
  <si>
    <t>QD.01</t>
  </si>
  <si>
    <t>Es planifiquen activitats orientades a garantir la qualitat de les dades</t>
  </si>
  <si>
    <t>No, mai</t>
  </si>
  <si>
    <t>S'ha fet alguna vegada puntualment</t>
  </si>
  <si>
    <t>Es planifica però no sempre s'executa</t>
  </si>
  <si>
    <t>És una activitat  planificada que s'executa amb periodicitat</t>
  </si>
  <si>
    <t>QD.02</t>
  </si>
  <si>
    <t>Hi ha documentats criteris de qualitat de les dades?</t>
  </si>
  <si>
    <t>Si, estan documentats els criteris de qualitat</t>
  </si>
  <si>
    <t>QD.03</t>
  </si>
  <si>
    <t>QD.04</t>
  </si>
  <si>
    <t>Hi ha activitats d'assegurament de la qualitat de les dades al moment en que aquestes es generen?</t>
  </si>
  <si>
    <t>Si, però es tracta d'activitats puntuals no sistemàtiques</t>
  </si>
  <si>
    <t>Si, es tracta d'activitats que es fan de manera planificada i sistemàtica</t>
  </si>
  <si>
    <t>QD.05</t>
  </si>
  <si>
    <t>Hi ha activitats d'assegurament de la qualitat de les dades ja existents? (p.e. processos de neteja i correcció)</t>
  </si>
  <si>
    <t>QD.06</t>
  </si>
  <si>
    <t>Es fa reporting de la qualitat de les dades?</t>
  </si>
  <si>
    <t>QD.07</t>
  </si>
  <si>
    <t>S'implementen processos de millora contínua?</t>
  </si>
  <si>
    <t>Pla d'accions</t>
  </si>
  <si>
    <t xml:space="preserve"> </t>
  </si>
  <si>
    <t>3 - Assegurar que les decisions i accions derivades dels comitès estan alineats amb l'estratègia, avaluar i optimitzar els resultats dels Comitès</t>
  </si>
  <si>
    <t>3 -  És interessant garantir l'autoritat i visibilitat dels Propietaris de dades, assegurant que tingui els recursos i que s'implementen activitats de millora contínua.</t>
  </si>
  <si>
    <t>1 - Identificar i classificar les dades clau en funció de la seva sensibilitat</t>
  </si>
  <si>
    <t>2 - Divulgar les Polítiques de seguretat i privadesa entre el personal per tal que aquestes siguin conegudes, i fer avaluacions periòdiques del seu compliment</t>
  </si>
  <si>
    <t>1 - Definir les Polítiques d'arxivat i restauració de dades . Per tal de fer aquest camí més senzill i aprofitant l'experiència de la DIBA, aquesta facilita el procediment d'adhesió a les seves Polítiques.</t>
  </si>
  <si>
    <t>1 - Identificar les fonts de dades externes i les dades associades per tal de poder fer una gestió específica d'aquestes</t>
  </si>
  <si>
    <t>2 - Ampliar l'Inventari de dades a totes les dades clau, i difondre i promoure la seva utilització</t>
  </si>
  <si>
    <t>1 - Definir les Polítiques i procediments d'integració, gestió i utilització de les dades . Per tal de fer aquest camí més senzill i aprofitant l'experiència de la DIBA, aquesta facilita el procediment d'adhesió a les seves Polítiques.</t>
  </si>
  <si>
    <t>2 - Revisar i implicar al personal en l'aplicació de les Polítiques i procediments d'integració, gestió i utilització de les dades</t>
  </si>
  <si>
    <t>1 - Preparar un pla d'assegurament de la qualitat de les dades, que inicialment posi el focus en les dades crítiques i dades clau</t>
  </si>
  <si>
    <t xml:space="preserve">1 - Començar a fer seguiment actiu i monitorització de la qualitat de les dades </t>
  </si>
  <si>
    <t xml:space="preserve">2 - Completar la documentació de requeriments de qualitat de les dades i valorar l'automatització de processos que ajudin a garantir la qualitat de les dades </t>
  </si>
  <si>
    <t>Resultat</t>
  </si>
  <si>
    <t>Ajuntament/Organisme</t>
  </si>
  <si>
    <t>Llegenda</t>
  </si>
  <si>
    <t>Info</t>
  </si>
  <si>
    <t>Atribut</t>
  </si>
  <si>
    <t>Requerimient de l'atribut</t>
  </si>
  <si>
    <t>Data de l'estudi</t>
  </si>
  <si>
    <t>Obligatori</t>
  </si>
  <si>
    <t>Persona que lidera l'estudi</t>
  </si>
  <si>
    <t>Detall de l'àmbit de l'estudi, pot ser Ajuntament o Organisme</t>
  </si>
  <si>
    <t>Ajuntament o Organisme concret subjecte d'estudi</t>
  </si>
  <si>
    <t>Detall de l'Àrea de l'Ajuntament o Organisme que s'avalua (pot identificar un àrea concreta o totes)</t>
  </si>
  <si>
    <t>Nom del rol a l'Ajuntament o Organisme identificat al quadre de Rols</t>
  </si>
  <si>
    <t>Nom de l'Area o Domini dades identificat al quadre d'Àrees i Dominis</t>
  </si>
  <si>
    <t>Nom del Procés identificat al quadre de Processos clau</t>
  </si>
  <si>
    <t>Nom del Procés identificat al quadre de Projectes estratègics i PAM</t>
  </si>
  <si>
    <t>Nom del rol a l'Ajuntament o Organisme identificat al quadre de altres responsables</t>
  </si>
  <si>
    <t>Nom complet del responsable</t>
  </si>
  <si>
    <t>Correu electrònic del responsable</t>
  </si>
  <si>
    <t>Número de telèfon de contacte del responsable</t>
  </si>
  <si>
    <t>Qualsevol comentari addicional que es consideri que ha de tenir-se en compte</t>
  </si>
  <si>
    <t>Sistema</t>
  </si>
  <si>
    <t>Nom curt del sistema d'informació</t>
  </si>
  <si>
    <t>Nom llarg del sistema d'informació</t>
  </si>
  <si>
    <t>Opcional</t>
  </si>
  <si>
    <t>Indica si el sistema és extern (Si) o intern (No).</t>
  </si>
  <si>
    <t>Descripció del sistema</t>
  </si>
  <si>
    <t>Tipus</t>
  </si>
  <si>
    <r>
      <t xml:space="preserve">Indica el tipus de tecnologia del sistema. Existeixen les següents possibilitats però s'en poden afegir de noves si fos necessari:
</t>
    </r>
    <r>
      <rPr>
        <b/>
        <i/>
        <sz val="11"/>
        <color rgb="FF000000"/>
        <rFont val="Calibri"/>
        <family val="2"/>
      </rPr>
      <t>- Oracle
- PostgreSQL
- MongoDB
- Sistema d'arxius
- CDP - Cloudera Data Platform</t>
    </r>
  </si>
  <si>
    <t>Nom del sistema pare, en cas que en tingui.</t>
  </si>
  <si>
    <t>Codi d'aplicació segons l'inventari.</t>
  </si>
  <si>
    <t>Nom de l'Administrador de sistemes</t>
  </si>
  <si>
    <t>Nom de l'Arquitecte de la dada</t>
  </si>
  <si>
    <t>Qüestionari</t>
  </si>
  <si>
    <t>Requeriment de l'atribut</t>
  </si>
  <si>
    <t>Id</t>
  </si>
  <si>
    <t>Es tracta d'un identificador clau de la qüestió.</t>
  </si>
  <si>
    <t>&lt;No aplica&gt;</t>
  </si>
  <si>
    <t>Pregunta que serveix per a obtenir una resposta precisa de l'estat de maduresa.</t>
  </si>
  <si>
    <t>El responsable d'omplir el qüestionari escollirà de la llista de respostes possibles, aquella que defineix millor la situació actual.</t>
  </si>
  <si>
    <t xml:space="preserve">El responsable d'omplir el qüestionari, pot aportar informació addicional per tal de precisar millor la resposta donada. </t>
  </si>
  <si>
    <t>El responsable d'omplir el qüestionari, pot fer referència a evidències o documentació que aportin garanties de la qualitat de la resposta.</t>
  </si>
  <si>
    <t>Organisme</t>
  </si>
  <si>
    <t>Rols</t>
  </si>
  <si>
    <t>Organisme de Gestió Tributària</t>
  </si>
  <si>
    <t>Abrera</t>
  </si>
  <si>
    <t>Institut del Teatre</t>
  </si>
  <si>
    <t>Aguilar de Segarra</t>
  </si>
  <si>
    <t>Presidència</t>
  </si>
  <si>
    <t>Patronat d’Apostes</t>
  </si>
  <si>
    <t>Aiguafreda</t>
  </si>
  <si>
    <t>Desenvolupament Econòmic i Turisme</t>
  </si>
  <si>
    <t>Arquitecto de datos (Data Architect)</t>
  </si>
  <si>
    <t>Xarxa Audiovisual Local, SL</t>
  </si>
  <si>
    <t>Alella</t>
  </si>
  <si>
    <t>Infraestructures i Territori</t>
  </si>
  <si>
    <t>Fundación Democracia y Gobierno Local</t>
  </si>
  <si>
    <t>Alpens</t>
  </si>
  <si>
    <t>Bon Govern, Assistència Local i Cohesió Territorial</t>
  </si>
  <si>
    <t>Consorci Centre de Cultura Contemporània de Barcelona – CCCB</t>
  </si>
  <si>
    <t>Arenys de Mar</t>
  </si>
  <si>
    <t>Acció Climàtica i Transició Energètica</t>
  </si>
  <si>
    <t>Consorci d’Estudis, Mediació i Conciliació a l’Administració Local – CEMICAL</t>
  </si>
  <si>
    <t>Arenys de Munt</t>
  </si>
  <si>
    <t>Feminismes i Igualtat</t>
  </si>
  <si>
    <t>Consorci de les Drassanes Reials i Museu Marítim de Barcelona</t>
  </si>
  <si>
    <t>Argençola</t>
  </si>
  <si>
    <t>Espais Naturals i Infraestructura Verda</t>
  </si>
  <si>
    <t>Consorci del Patrimoni de Sitges</t>
  </si>
  <si>
    <t>Argentona</t>
  </si>
  <si>
    <t>Serveis Generals i Transició Digital</t>
  </si>
  <si>
    <t>Consorci Centre de Documentació i Museu Tèxtil de Terrassa</t>
  </si>
  <si>
    <t>Artés</t>
  </si>
  <si>
    <t>Cultura</t>
  </si>
  <si>
    <t>Consorci Universitat Internacional Menéndez Pelayo de Barcelona, Centre Ernest Lluch – CUIMPB</t>
  </si>
  <si>
    <t>Avià</t>
  </si>
  <si>
    <t>Sostenibilitat Social, Cicle de Vida i Comunitat</t>
  </si>
  <si>
    <t>Consorci del Parc Agrari del Baix Llobregat</t>
  </si>
  <si>
    <t>Avinyó</t>
  </si>
  <si>
    <t>Educació</t>
  </si>
  <si>
    <t>Consorci del Parc de la Serralada de Marina</t>
  </si>
  <si>
    <t>Avinyonet del Penedès</t>
  </si>
  <si>
    <t>Urbanisme, Habitatge i Regeneració</t>
  </si>
  <si>
    <t>Fundació Privada Palau</t>
  </si>
  <si>
    <t>Badalona</t>
  </si>
  <si>
    <t>Esports i Activitat Física</t>
  </si>
  <si>
    <t>Consorci Institut de Ciències Polítiques i Socials – ICPS</t>
  </si>
  <si>
    <t>Badia del Vallès</t>
  </si>
  <si>
    <t>Comerç, Consum i Salut Pública</t>
  </si>
  <si>
    <t>Consorci de l’Espai Natural de les Guilleries-Savassona</t>
  </si>
  <si>
    <t>Bagà</t>
  </si>
  <si>
    <t>Consorci del Parc de Serralada Litoral</t>
  </si>
  <si>
    <t>Balenyà</t>
  </si>
  <si>
    <t>Fundació de Suport al Museu Marítim i Drassanes Reials de Barcelona</t>
  </si>
  <si>
    <t>Balsareny</t>
  </si>
  <si>
    <t>Barberà del Vallès</t>
  </si>
  <si>
    <t>Barcelona</t>
  </si>
  <si>
    <t>Begues</t>
  </si>
  <si>
    <t>Bellprat</t>
  </si>
  <si>
    <t>Bigues i Riells del Fai</t>
  </si>
  <si>
    <t>Borredà</t>
  </si>
  <si>
    <t>Cabrera d\'Anoia</t>
  </si>
  <si>
    <t>Cabrera de Mar</t>
  </si>
  <si>
    <t>Cabrils</t>
  </si>
  <si>
    <t>Calaf</t>
  </si>
  <si>
    <t>Calders</t>
  </si>
  <si>
    <t>Caldes d\'Estrac</t>
  </si>
  <si>
    <t>Caldes de Montbui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</si>
  <si>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</si>
  <si>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</si>
  <si>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</si>
  <si>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</si>
  <si>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</si>
  <si>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</si>
  <si>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</si>
  <si>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</si>
  <si>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</si>
  <si>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</si>
  <si>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</si>
  <si>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</si>
  <si>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</si>
  <si>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</si>
  <si>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</si>
  <si>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l\'Areny</t>
  </si>
  <si>
    <t>Castellar de n\'Hug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</si>
  <si>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</si>
  <si>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</si>
  <si>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</si>
  <si>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</si>
  <si>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</si>
  <si>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</si>
  <si>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</si>
  <si>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</si>
  <si>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</si>
  <si>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</si>
  <si>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</si>
  <si>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</si>
  <si>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</si>
  <si>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</si>
  <si>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</si>
  <si>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</si>
  <si>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</si>
  <si>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</si>
  <si>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</si>
  <si>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</si>
  <si>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</si>
  <si>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</si>
  <si>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</si>
  <si>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</si>
  <si>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</si>
  <si>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</si>
  <si>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El Bruc</t>
  </si>
  <si>
    <t>El Brull</t>
  </si>
  <si>
    <t>El Masnou</t>
  </si>
  <si>
    <t>El Papiol</t>
  </si>
  <si>
    <t>El Pla del Penedès</t>
  </si>
  <si>
    <t>El Pont de Vilomara i Rocafort</t>
  </si>
  <si>
    <t>El Prat de Llobregat</t>
  </si>
  <si>
    <t>Els Hostalets de Pierola</t>
  </si>
  <si>
    <t>Els Prats de Rei</t>
  </si>
  <si>
    <t>Esparreguera</t>
  </si>
  <si>
    <t>Esplugues de Llobregat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</si>
  <si>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</si>
  <si>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</si>
  <si>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</si>
  <si>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</si>
  <si>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</si>
  <si>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</si>
  <si>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</si>
  <si>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Gaià</t>
  </si>
  <si>
    <t>Gallifa</t>
  </si>
  <si>
    <t>Gavà</t>
  </si>
  <si>
    <t>Gelida</t>
  </si>
  <si>
    <t>Gironella</t>
  </si>
  <si>
    <t>Gisclareny</t>
  </si>
  <si>
    <t>Granera</t>
  </si>
  <si>
    <t>Granollers</t>
  </si>
  <si>
    <t>Gualba</t>
  </si>
  <si>
    <t>Guardiola de Berguedà</t>
  </si>
  <si>
    <t>Gurb</t>
  </si>
  <si>
    <t>Igualada</t>
  </si>
  <si>
    <t>Jorba</t>
  </si>
  <si>
    <t>L\'Ametlla del Vallès</t>
  </si>
  <si>
    <t>L\'Espunyola</t>
  </si>
  <si>
    <t>L\'Esquirol</t>
  </si>
  <si>
    <t>L\'Estany</t>
  </si>
  <si>
    <t>L\'Hospitalet de Llobregat</t>
  </si>
  <si>
    <t>La Garriga</t>
  </si>
  <si>
    <t>La Granada</t>
  </si>
  <si>
    <t>La Llacuna</t>
  </si>
  <si>
    <t>La Llagosta</t>
  </si>
  <si>
    <t>La Nou de Berguedà</t>
  </si>
  <si>
    <t>La Palma de Cervelló</t>
  </si>
  <si>
    <t>La Pobla de Claramunt</t>
  </si>
  <si>
    <t>La Pobla de Lillet</t>
  </si>
  <si>
    <t>La Quar</t>
  </si>
  <si>
    <t>La Roca del Vallès</t>
  </si>
  <si>
    <t>La Torre de Claramunt</t>
  </si>
  <si>
    <t>Les Cabanyes</t>
  </si>
  <si>
    <t>Les Franqueses del Vallès</t>
  </si>
  <si>
    <t>Les Masies de Roda</t>
  </si>
  <si>
    <t>Les Masies de Voltregà</t>
  </si>
  <si>
    <t>Lliçà d\'Amunt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</si>
  <si>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</si>
  <si>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</si>
  <si>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</si>
  <si>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</si>
  <si>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</si>
  <si>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</si>
  <si>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</si>
  <si>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</si>
  <si>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</si>
  <si>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</si>
  <si>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</si>
  <si>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</si>
  <si>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</si>
  <si>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</si>
  <si>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</si>
  <si>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</si>
  <si>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</si>
  <si>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</si>
  <si>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</si>
  <si>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</si>
  <si>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</si>
  <si>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</si>
  <si>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</si>
  <si>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</si>
  <si>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</si>
  <si>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</si>
  <si>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</si>
  <si>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</si>
  <si>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</si>
  <si>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</si>
  <si>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</si>
  <si>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</si>
  <si>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</si>
  <si>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</si>
  <si>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</si>
  <si>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</si>
  <si>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</si>
  <si>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</si>
  <si>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</si>
  <si>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</si>
  <si>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</si>
  <si>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</si>
  <si>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</si>
  <si>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</si>
  <si>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</si>
  <si>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</si>
  <si>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</si>
  <si>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Parets del Vallès</t>
  </si>
  <si>
    <t>Perafita</t>
  </si>
  <si>
    <t>Piera</t>
  </si>
  <si>
    <t>Pineda de Mar</t>
  </si>
  <si>
    <t>Polinyà</t>
  </si>
  <si>
    <t>Pontons</t>
  </si>
  <si>
    <t>Prats de Lluçanès</t>
  </si>
  <si>
    <t>Premià de Dalt</t>
  </si>
  <si>
    <t>Premià de Mar</t>
  </si>
  <si>
    <t>Puigdàlber</t>
  </si>
  <si>
    <t>Puig-reig</t>
  </si>
  <si>
    <t>Pujalt</t>
  </si>
  <si>
    <t>Rajadell</t>
  </si>
  <si>
    <t>Rellinars</t>
  </si>
  <si>
    <t>Ripollet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</si>
  <si>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</si>
  <si>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</si>
  <si>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</si>
  <si>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</si>
  <si>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</si>
  <si>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</si>
  <si>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</si>
  <si>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</si>
  <si>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</si>
  <si>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</si>
  <si>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</si>
  <si>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</si>
  <si>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</si>
  <si>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</si>
  <si>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</si>
  <si>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</si>
  <si>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</si>
  <si>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</si>
  <si>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</si>
  <si>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</si>
  <si>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</si>
  <si>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</si>
  <si>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</si>
  <si>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</si>
  <si>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</si>
  <si>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</si>
  <si>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</si>
  <si>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</si>
  <si>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</si>
  <si>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</si>
  <si>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</si>
  <si>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</si>
  <si>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</si>
  <si>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</si>
  <si>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</si>
  <si>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</si>
  <si>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d\'Hortons</t>
  </si>
  <si>
    <t>Sant Llorenç Savall</t>
  </si>
  <si>
    <t>Sant Martí d\'Albars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</si>
  <si>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</si>
  <si>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</si>
  <si>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</si>
  <si>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</si>
  <si>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</si>
  <si>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</si>
  <si>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</si>
  <si>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</si>
  <si>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</si>
  <si>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</si>
  <si>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</si>
  <si>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</si>
  <si>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</si>
  <si>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</si>
  <si>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</si>
  <si>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d\'Anoia</t>
  </si>
  <si>
    <t>Sant Sadurní d\'Osormort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</si>
  <si>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</si>
  <si>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</si>
  <si>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</si>
  <si>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</si>
  <si>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</si>
  <si>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</si>
  <si>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</si>
  <si>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</si>
  <si>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</si>
  <si>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</si>
  <si>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</si>
  <si>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</si>
  <si>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</si>
  <si>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</si>
  <si>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d\'Oló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</si>
  <si>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</si>
  <si>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</si>
  <si>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</si>
  <si>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</si>
  <si>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</si>
  <si>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</si>
  <si>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</si>
  <si>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</si>
  <si>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</si>
  <si>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</si>
  <si>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</si>
  <si>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</si>
  <si>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</si>
  <si>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</si>
  <si>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</si>
  <si>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</si>
  <si>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</si>
  <si>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</si>
  <si>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</si>
  <si>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</si>
  <si>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</si>
  <si>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</si>
  <si>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</si>
  <si>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</si>
  <si>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</si>
  <si>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</si>
  <si>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Torrelavit</t>
  </si>
  <si>
    <t>Torrelles de Foix</t>
  </si>
  <si>
    <t>Torrelles de Llobregat</t>
  </si>
  <si>
    <t>Ullastrell</t>
  </si>
  <si>
    <t>Vacarisses</t>
  </si>
  <si>
    <t>Vallbona d\'Anoia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</si>
  <si>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</si>
  <si>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</si>
  <si>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</si>
  <si>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</si>
  <si>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</si>
  <si>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</si>
  <si>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</si>
  <si>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</si>
  <si>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</si>
  <si>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</si>
  <si>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</si>
  <si>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</si>
  <si>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</si>
  <si>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</si>
  <si>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</si>
  <si>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</si>
  <si>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</si>
  <si>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</si>
  <si>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</si>
  <si>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Prioritat aut.</t>
  </si>
  <si>
    <t>Impacte</t>
  </si>
  <si>
    <t>2 - Mig</t>
  </si>
  <si>
    <t>Impacte + Dificultat</t>
  </si>
  <si>
    <t>Dificultat</t>
  </si>
  <si>
    <t>3 - Baix</t>
  </si>
  <si>
    <t>1 - Alt</t>
  </si>
  <si>
    <t>1 - Baixa</t>
  </si>
  <si>
    <t>2 - Mitja</t>
  </si>
  <si>
    <t>3 - Alta</t>
  </si>
  <si>
    <t>Termini</t>
  </si>
  <si>
    <t>Termini objectiu</t>
  </si>
  <si>
    <t>Curt termini (0 – 6 Mesos)</t>
  </si>
  <si>
    <t>Mig termini (6 – 18 mesos)</t>
  </si>
  <si>
    <r>
      <rPr>
        <sz val="10.5"/>
        <rFont val="Source Sans Pro"/>
        <family val="2"/>
      </rPr>
      <t xml:space="preserve">Llarg termini (18-36 mesos) </t>
    </r>
    <r>
      <rPr>
        <sz val="8"/>
        <color rgb="FF21211E"/>
        <rFont val="Source Sans Pro"/>
        <family val="2"/>
      </rPr>
      <t>  </t>
    </r>
  </si>
  <si>
    <t>Llarg termini (18-36 mesos) 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</si>
</sst>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000000"/>
      <name val="Calibri"/>
      <family val="2"/>
    </font>
    <font>
      <b/>
      <sz val="11"/>
      <color rgb="FFC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rgb="FF000000"/>
      <name val="Calibri"/>
      <family val="2"/>
    </font>
    <font>
      <b/>
      <i/>
      <sz val="11"/>
      <color theme="0" tint="-0.499984740745262"/>
      <name val="Aptos Narrow"/>
      <family val="2"/>
      <scheme val="minor"/>
    </font>
    <font>
      <i/>
      <sz val="11"/>
      <color theme="0" tint="-0.499984740745262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name val="Calibri"/>
      <family val="2"/>
    </font>
    <font>
      <sz val="11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Aptos Narrow"/>
      <family val="2"/>
      <scheme val="minor"/>
    </font>
    <font>
      <b/>
      <sz val="22"/>
      <color rgb="FF9E1732"/>
      <name val="Arial"/>
      <family val="2"/>
    </font>
    <font>
      <b/>
      <sz val="12"/>
      <color rgb="FFFFFFFF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4"/>
      <color rgb="FF9E1732"/>
      <name val="Aptos Narrow"/>
      <family val="2"/>
      <scheme val="minor"/>
    </font>
    <font>
      <b/>
      <i/>
      <sz val="10"/>
      <name val="Calibri"/>
      <family val="2"/>
    </font>
    <font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i/>
      <sz val="14"/>
      <color theme="0" tint="-0.499984740745262"/>
      <name val="Aptos Narrow"/>
      <family val="2"/>
      <scheme val="minor"/>
    </font>
    <font>
      <sz val="10"/>
      <name val="Verdana"/>
      <family val="2"/>
    </font>
    <font>
      <b/>
      <i/>
      <sz val="11"/>
      <color rgb="FF000000"/>
      <name val="Calibri"/>
      <family val="2"/>
    </font>
    <font>
      <b/>
      <sz val="14"/>
      <color rgb="FF000000"/>
      <name val="Calibri"/>
      <family val="2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16"/>
      <color rgb="FF9E1732"/>
      <name val="Arial"/>
      <family val="2"/>
    </font>
    <font>
      <sz val="20"/>
      <color rgb="FF000000"/>
      <name val="Calibri"/>
      <family val="2"/>
    </font>
    <font>
      <sz val="14"/>
      <color theme="1"/>
      <name val="Aptos Narrow"/>
      <family val="2"/>
      <scheme val="minor"/>
    </font>
    <font>
      <sz val="22"/>
      <color rgb="FF9E1732"/>
      <name val="Arial"/>
      <family val="2"/>
    </font>
    <font>
      <sz val="10.5"/>
      <name val="Source Sans Pro"/>
      <family val="2"/>
    </font>
    <font>
      <sz val="8"/>
      <color rgb="FF21211E"/>
      <name val="Source Sans Pro"/>
      <family val="2"/>
    </font>
    <font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CCD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E173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9E1732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9E1732"/>
      </bottom>
      <diagonal/>
    </border>
    <border>
      <left style="thin">
        <color rgb="FF9E1732"/>
      </left>
      <right style="thin">
        <color rgb="FF9E1732"/>
      </right>
      <top style="thin">
        <color rgb="FF9E1732"/>
      </top>
      <bottom style="thin">
        <color rgb="FF9E173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9E1732"/>
      </left>
      <right/>
      <top style="thin">
        <color rgb="FF9E1732"/>
      </top>
      <bottom style="thin">
        <color rgb="FF9E1732"/>
      </bottom>
      <diagonal/>
    </border>
    <border>
      <left/>
      <right/>
      <top style="thin">
        <color rgb="FF9E1732"/>
      </top>
      <bottom style="thin">
        <color rgb="FF9E1732"/>
      </bottom>
      <diagonal/>
    </border>
    <border>
      <left/>
      <right style="thin">
        <color rgb="FF9E1732"/>
      </right>
      <top style="thin">
        <color rgb="FF9E1732"/>
      </top>
      <bottom style="thin">
        <color rgb="FF9E173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1" fillId="0" borderId="0"/>
    <xf numFmtId="0" fontId="1" fillId="0" borderId="0"/>
    <xf numFmtId="0" fontId="1" fillId="0" borderId="0"/>
    <xf numFmtId="0" fontId="22" fillId="0" borderId="0" applyNumberFormat="0" applyFill="0" applyBorder="0" applyAlignment="0" applyProtection="0"/>
  </cellStyleXfs>
  <cellXfs count="130">
    <xf numFmtId="0" fontId="0" fillId="0" borderId="0" xfId="0"/>
    <xf numFmtId="0" fontId="0" fillId="2" borderId="0" xfId="0" applyFill="1" applyAlignment="1">
      <alignment vertical="top" wrapText="1"/>
    </xf>
    <xf numFmtId="0" fontId="0" fillId="2" borderId="0" xfId="0" applyFill="1"/>
    <xf numFmtId="0" fontId="3" fillId="2" borderId="1" xfId="0" applyFont="1" applyFill="1" applyBorder="1" applyAlignment="1">
      <alignment horizontal="left" vertical="center" readingOrder="1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/>
    <xf numFmtId="0" fontId="0" fillId="2" borderId="2" xfId="0" applyFill="1" applyBorder="1"/>
    <xf numFmtId="0" fontId="3" fillId="2" borderId="0" xfId="0" applyFont="1" applyFill="1" applyAlignment="1">
      <alignment horizontal="left" vertical="center" readingOrder="1"/>
    </xf>
    <xf numFmtId="0" fontId="2" fillId="2" borderId="0" xfId="0" applyFont="1" applyFill="1" applyAlignment="1">
      <alignment vertical="center"/>
    </xf>
    <xf numFmtId="9" fontId="4" fillId="2" borderId="1" xfId="1" applyFont="1" applyFill="1" applyBorder="1"/>
    <xf numFmtId="0" fontId="2" fillId="2" borderId="2" xfId="0" applyFont="1" applyFill="1" applyBorder="1" applyAlignment="1">
      <alignment vertical="top" wrapText="1"/>
    </xf>
    <xf numFmtId="9" fontId="4" fillId="2" borderId="0" xfId="1" applyFont="1" applyFill="1" applyBorder="1"/>
    <xf numFmtId="0" fontId="6" fillId="5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0" fontId="9" fillId="2" borderId="0" xfId="0" applyFont="1" applyFill="1"/>
    <xf numFmtId="0" fontId="9" fillId="2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vertical="center" wrapText="1"/>
    </xf>
    <xf numFmtId="0" fontId="7" fillId="2" borderId="0" xfId="0" applyFont="1" applyFill="1" applyAlignment="1">
      <alignment horizontal="left" vertical="top" wrapText="1" readingOrder="1"/>
    </xf>
    <xf numFmtId="0" fontId="13" fillId="2" borderId="0" xfId="2" applyFont="1" applyFill="1" applyAlignment="1">
      <alignment horizontal="left" vertical="center"/>
    </xf>
    <xf numFmtId="49" fontId="0" fillId="2" borderId="0" xfId="0" applyNumberFormat="1" applyFill="1"/>
    <xf numFmtId="49" fontId="0" fillId="2" borderId="0" xfId="0" applyNumberFormat="1" applyFill="1" applyAlignment="1">
      <alignment vertical="center"/>
    </xf>
    <xf numFmtId="0" fontId="15" fillId="2" borderId="0" xfId="2" applyFont="1" applyFill="1" applyAlignment="1">
      <alignment horizontal="left" vertical="center"/>
    </xf>
    <xf numFmtId="49" fontId="16" fillId="2" borderId="0" xfId="0" applyNumberFormat="1" applyFont="1" applyFill="1"/>
    <xf numFmtId="0" fontId="17" fillId="2" borderId="0" xfId="2" applyFont="1" applyFill="1" applyAlignment="1">
      <alignment horizontal="left" vertical="center"/>
    </xf>
    <xf numFmtId="0" fontId="14" fillId="0" borderId="0" xfId="0" applyFont="1"/>
    <xf numFmtId="0" fontId="14" fillId="2" borderId="0" xfId="0" applyFont="1" applyFill="1"/>
    <xf numFmtId="0" fontId="23" fillId="2" borderId="0" xfId="0" applyFont="1" applyFill="1"/>
    <xf numFmtId="0" fontId="22" fillId="2" borderId="0" xfId="5" applyFill="1" applyAlignment="1">
      <alignment horizontal="justify" vertical="center" wrapText="1"/>
    </xf>
    <xf numFmtId="0" fontId="23" fillId="5" borderId="0" xfId="0" applyFont="1" applyFill="1"/>
    <xf numFmtId="0" fontId="0" fillId="5" borderId="0" xfId="0" applyFill="1"/>
    <xf numFmtId="0" fontId="23" fillId="2" borderId="0" xfId="0" applyFont="1" applyFill="1" applyAlignment="1">
      <alignment vertical="center"/>
    </xf>
    <xf numFmtId="0" fontId="23" fillId="2" borderId="0" xfId="0" applyFont="1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49" fontId="16" fillId="2" borderId="0" xfId="0" applyNumberFormat="1" applyFont="1" applyFill="1" applyAlignment="1">
      <alignment vertical="center"/>
    </xf>
    <xf numFmtId="0" fontId="0" fillId="0" borderId="0" xfId="0" applyAlignment="1">
      <alignment vertical="center"/>
    </xf>
    <xf numFmtId="49" fontId="0" fillId="2" borderId="0" xfId="0" applyNumberFormat="1" applyFill="1" applyAlignment="1">
      <alignment vertical="center" wrapText="1"/>
    </xf>
    <xf numFmtId="49" fontId="16" fillId="2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5" fillId="5" borderId="2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3" xfId="0" applyFill="1" applyBorder="1" applyAlignment="1">
      <alignment vertical="center" wrapText="1"/>
    </xf>
    <xf numFmtId="0" fontId="2" fillId="2" borderId="3" xfId="0" applyFont="1" applyFill="1" applyBorder="1" applyAlignment="1">
      <alignment vertical="center"/>
    </xf>
    <xf numFmtId="0" fontId="0" fillId="0" borderId="0" xfId="0" applyAlignment="1">
      <alignment wrapText="1"/>
    </xf>
    <xf numFmtId="0" fontId="0" fillId="2" borderId="0" xfId="0" applyFill="1" applyAlignment="1">
      <alignment vertical="top"/>
    </xf>
    <xf numFmtId="0" fontId="9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9" fillId="13" borderId="2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horizontal="left" vertical="center"/>
    </xf>
    <xf numFmtId="164" fontId="8" fillId="2" borderId="0" xfId="0" applyNumberFormat="1" applyFont="1" applyFill="1" applyAlignment="1">
      <alignment horizontal="center" vertical="center"/>
    </xf>
    <xf numFmtId="164" fontId="27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vertical="top" wrapText="1" indent="2"/>
    </xf>
    <xf numFmtId="14" fontId="26" fillId="2" borderId="2" xfId="0" applyNumberFormat="1" applyFont="1" applyFill="1" applyBorder="1" applyAlignment="1">
      <alignment vertical="center"/>
    </xf>
    <xf numFmtId="0" fontId="26" fillId="2" borderId="2" xfId="0" applyFont="1" applyFill="1" applyBorder="1" applyAlignment="1">
      <alignment horizontal="center" vertical="center" wrapText="1"/>
    </xf>
    <xf numFmtId="0" fontId="15" fillId="2" borderId="0" xfId="2" applyFont="1" applyFill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21" fillId="2" borderId="0" xfId="2" applyFont="1" applyFill="1" applyAlignment="1">
      <alignment horizontal="left" vertical="center"/>
    </xf>
    <xf numFmtId="0" fontId="30" fillId="2" borderId="0" xfId="0" applyFont="1" applyFill="1" applyAlignment="1">
      <alignment horizontal="left" vertical="center" readingOrder="1"/>
    </xf>
    <xf numFmtId="0" fontId="30" fillId="2" borderId="0" xfId="0" applyFont="1" applyFill="1" applyAlignment="1">
      <alignment horizontal="left" readingOrder="1"/>
    </xf>
    <xf numFmtId="0" fontId="2" fillId="13" borderId="7" xfId="0" applyFont="1" applyFill="1" applyBorder="1" applyAlignment="1">
      <alignment vertical="top" wrapText="1"/>
    </xf>
    <xf numFmtId="0" fontId="2" fillId="13" borderId="8" xfId="0" applyFont="1" applyFill="1" applyBorder="1" applyAlignment="1">
      <alignment vertical="top" wrapText="1"/>
    </xf>
    <xf numFmtId="0" fontId="3" fillId="2" borderId="0" xfId="0" applyFont="1" applyFill="1" applyAlignment="1">
      <alignment horizontal="left" readingOrder="1"/>
    </xf>
    <xf numFmtId="0" fontId="0" fillId="13" borderId="3" xfId="0" applyFill="1" applyBorder="1" applyAlignment="1">
      <alignment vertical="top" wrapText="1"/>
    </xf>
    <xf numFmtId="0" fontId="0" fillId="6" borderId="3" xfId="0" applyFill="1" applyBorder="1" applyAlignment="1">
      <alignment vertical="center" wrapText="1"/>
    </xf>
    <xf numFmtId="0" fontId="0" fillId="2" borderId="3" xfId="0" applyFill="1" applyBorder="1"/>
    <xf numFmtId="0" fontId="32" fillId="2" borderId="0" xfId="0" applyFont="1" applyFill="1" applyAlignment="1">
      <alignment horizontal="center" vertical="center"/>
    </xf>
    <xf numFmtId="0" fontId="32" fillId="2" borderId="3" xfId="0" applyFont="1" applyFill="1" applyBorder="1" applyAlignment="1">
      <alignment horizontal="center" vertical="center"/>
    </xf>
    <xf numFmtId="164" fontId="32" fillId="2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164" fontId="33" fillId="2" borderId="0" xfId="0" applyNumberFormat="1" applyFont="1" applyFill="1" applyAlignment="1">
      <alignment horizontal="center" vertical="center"/>
    </xf>
    <xf numFmtId="0" fontId="25" fillId="5" borderId="3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vertical="center" wrapText="1"/>
    </xf>
    <xf numFmtId="49" fontId="11" fillId="0" borderId="3" xfId="2" applyNumberFormat="1" applyBorder="1" applyAlignment="1">
      <alignment vertical="center"/>
    </xf>
    <xf numFmtId="0" fontId="26" fillId="3" borderId="3" xfId="0" applyFont="1" applyFill="1" applyBorder="1" applyAlignment="1">
      <alignment horizontal="center" vertical="center"/>
    </xf>
    <xf numFmtId="49" fontId="11" fillId="2" borderId="3" xfId="2" applyNumberFormat="1" applyFill="1" applyBorder="1" applyAlignment="1">
      <alignment vertical="center" wrapText="1"/>
    </xf>
    <xf numFmtId="49" fontId="11" fillId="2" borderId="3" xfId="2" applyNumberFormat="1" applyFill="1" applyBorder="1" applyAlignment="1">
      <alignment vertical="center"/>
    </xf>
    <xf numFmtId="49" fontId="11" fillId="0" borderId="3" xfId="2" applyNumberFormat="1" applyBorder="1" applyAlignment="1">
      <alignment vertical="center" wrapText="1"/>
    </xf>
    <xf numFmtId="49" fontId="28" fillId="0" borderId="3" xfId="2" applyNumberFormat="1" applyFont="1" applyBorder="1" applyAlignment="1">
      <alignment vertical="center"/>
    </xf>
    <xf numFmtId="0" fontId="24" fillId="12" borderId="3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12" fillId="11" borderId="3" xfId="0" applyFont="1" applyFill="1" applyBorder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0" fontId="15" fillId="2" borderId="0" xfId="2" applyFont="1" applyFill="1" applyAlignment="1">
      <alignment horizontal="left" vertical="center" wrapText="1"/>
    </xf>
    <xf numFmtId="0" fontId="17" fillId="2" borderId="0" xfId="2" applyFont="1" applyFill="1" applyAlignment="1">
      <alignment horizontal="left" vertical="center" wrapText="1"/>
    </xf>
    <xf numFmtId="49" fontId="0" fillId="2" borderId="0" xfId="0" applyNumberFormat="1" applyFill="1" applyAlignment="1">
      <alignment wrapText="1"/>
    </xf>
    <xf numFmtId="0" fontId="19" fillId="2" borderId="0" xfId="2" applyFont="1" applyFill="1" applyAlignment="1">
      <alignment wrapText="1"/>
    </xf>
    <xf numFmtId="0" fontId="13" fillId="2" borderId="0" xfId="2" applyFont="1" applyFill="1" applyAlignment="1">
      <alignment wrapText="1"/>
    </xf>
    <xf numFmtId="0" fontId="0" fillId="2" borderId="0" xfId="0" applyFill="1" applyAlignment="1">
      <alignment wrapText="1"/>
    </xf>
    <xf numFmtId="0" fontId="2" fillId="2" borderId="0" xfId="0" applyFont="1" applyFill="1" applyAlignment="1">
      <alignment wrapText="1"/>
    </xf>
    <xf numFmtId="0" fontId="13" fillId="2" borderId="0" xfId="2" quotePrefix="1" applyFont="1" applyFill="1" applyAlignment="1">
      <alignment wrapText="1"/>
    </xf>
    <xf numFmtId="0" fontId="6" fillId="5" borderId="3" xfId="0" applyFont="1" applyFill="1" applyBorder="1" applyAlignment="1">
      <alignment horizontal="center" vertical="center" wrapText="1"/>
    </xf>
    <xf numFmtId="14" fontId="0" fillId="6" borderId="3" xfId="0" applyNumberFormat="1" applyFill="1" applyBorder="1" applyAlignment="1">
      <alignment horizontal="center" vertical="center"/>
    </xf>
    <xf numFmtId="0" fontId="23" fillId="6" borderId="3" xfId="0" applyFont="1" applyFill="1" applyBorder="1" applyAlignment="1">
      <alignment vertical="center" wrapText="1"/>
    </xf>
    <xf numFmtId="0" fontId="16" fillId="2" borderId="0" xfId="0" applyFont="1" applyFill="1" applyAlignment="1">
      <alignment horizontal="right" vertical="center"/>
    </xf>
    <xf numFmtId="164" fontId="34" fillId="2" borderId="0" xfId="2" applyNumberFormat="1" applyFont="1" applyFill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6" fillId="5" borderId="0" xfId="0" applyFont="1" applyFill="1" applyAlignment="1">
      <alignment vertical="center"/>
    </xf>
    <xf numFmtId="0" fontId="2" fillId="2" borderId="0" xfId="0" applyFont="1" applyFill="1"/>
    <xf numFmtId="0" fontId="2" fillId="0" borderId="0" xfId="0" applyFont="1" applyAlignment="1">
      <alignment vertical="center"/>
    </xf>
    <xf numFmtId="0" fontId="35" fillId="2" borderId="1" xfId="0" applyFont="1" applyFill="1" applyBorder="1" applyAlignment="1">
      <alignment horizontal="left" vertical="center" readingOrder="1"/>
    </xf>
    <xf numFmtId="49" fontId="36" fillId="2" borderId="0" xfId="0" applyNumberFormat="1" applyFont="1" applyFill="1" applyAlignment="1">
      <alignment vertical="center" wrapText="1"/>
    </xf>
    <xf numFmtId="0" fontId="37" fillId="2" borderId="0" xfId="2" applyFont="1" applyFill="1" applyAlignment="1">
      <alignment horizontal="left" vertical="center"/>
    </xf>
    <xf numFmtId="0" fontId="0" fillId="13" borderId="9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0" fillId="2" borderId="7" xfId="0" applyFill="1" applyBorder="1" applyAlignment="1">
      <alignment vertical="top" wrapText="1"/>
    </xf>
    <xf numFmtId="0" fontId="0" fillId="2" borderId="10" xfId="0" applyFill="1" applyBorder="1" applyAlignment="1">
      <alignment vertical="top" wrapText="1"/>
    </xf>
    <xf numFmtId="0" fontId="0" fillId="2" borderId="9" xfId="0" applyFill="1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top" wrapText="1" readingOrder="1"/>
    </xf>
    <xf numFmtId="0" fontId="7" fillId="7" borderId="0" xfId="0" applyFont="1" applyFill="1" applyAlignment="1">
      <alignment horizontal="left" vertical="top" wrapText="1" readingOrder="1"/>
    </xf>
    <xf numFmtId="0" fontId="32" fillId="2" borderId="3" xfId="0" applyFont="1" applyFill="1" applyBorder="1" applyAlignment="1">
      <alignment vertical="center" wrapText="1"/>
    </xf>
  </cellXfs>
  <cellStyles count="6">
    <cellStyle name="Enllaç" xfId="5" builtinId="8"/>
    <cellStyle name="Normal" xfId="0" builtinId="0"/>
    <cellStyle name="Normal 2" xfId="2" xr:uid="{D63E08BA-A6F1-46EF-8B7F-D5F4DA3CBFEF}"/>
    <cellStyle name="Normal 2 2" xfId="3" xr:uid="{B2721F9D-8CBA-4766-BF6A-BA7050C1DA0A}"/>
    <cellStyle name="Normal 3" xfId="4" xr:uid="{0D0A6EDF-07E1-4A3D-A1A1-A34D91CE0AE5}"/>
    <cellStyle name="Percentatge" xfId="1" builtinId="5"/>
  </cellStyles>
  <dxfs count="3">
    <dxf>
      <alignment vertical="top"/>
    </dxf>
    <dxf>
      <alignment vertical="center" wrapText="1"/>
    </dxf>
    <dxf>
      <fill>
        <patternFill patternType="solid">
          <bgColor rgb="FF9E1732"/>
        </patternFill>
      </fill>
    </dxf>
  </dxfs>
  <tableStyles count="0" defaultTableStyle="TableStyleMedium2" defaultPivotStyle="PivotStyleLight16"/>
  <colors>
    <mruColors>
      <color rgb="FFF8CCD4"/>
      <color rgb="FF9E1732"/>
      <color rgb="FFFFFFCC"/>
      <color rgb="FFF098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2.374890638670182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Resultat!$B$6</c:f>
              <c:strCache>
                <c:ptCount val="1"/>
                <c:pt idx="0">
                  <c:v>Resultat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Resultat!$B$31:$B$33</c:f>
              <c:strCache>
                <c:ptCount val="3"/>
                <c:pt idx="0">
                  <c:v>Govern</c:v>
                </c:pt>
                <c:pt idx="1">
                  <c:v>Gestió de dades</c:v>
                </c:pt>
                <c:pt idx="2">
                  <c:v>Qualitat de la dada</c:v>
                </c:pt>
              </c:strCache>
            </c:strRef>
          </c:cat>
          <c:val>
            <c:numRef>
              <c:f>Resultat!$C$31:$C$33</c:f>
              <c:numCache>
                <c:formatCode>0.0</c:formatCode>
                <c:ptCount val="3"/>
                <c:pt idx="0">
                  <c:v>3.1666666666666665</c:v>
                </c:pt>
                <c:pt idx="1">
                  <c:v>1.4</c:v>
                </c:pt>
                <c:pt idx="2">
                  <c:v>1.3333333333333333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8-48F4-8AFE-A29163678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872767"/>
        <c:axId val="1130873247"/>
      </c:radarChart>
      <c:catAx>
        <c:axId val="113087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130873247"/>
        <c:crosses val="autoZero"/>
        <c:auto val="1"/>
        <c:lblAlgn val="ctr"/>
        <c:lblOffset val="100"/>
        <c:noMultiLvlLbl val="0"/>
      </c:catAx>
      <c:valAx>
        <c:axId val="1130873247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1308727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2.374890638670182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Resultat!$B$12</c:f>
              <c:strCache>
                <c:ptCount val="1"/>
                <c:pt idx="0">
                  <c:v>Govern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Resultat!$C$13:$F$16</c:f>
              <c:strCache>
                <c:ptCount val="4"/>
                <c:pt idx="0">
                  <c:v>Establiment d'estàndards, polítiques, bones pràctiques i procediments</c:v>
                </c:pt>
                <c:pt idx="1">
                  <c:v>Establiment d'estratègies de dades</c:v>
                </c:pt>
                <c:pt idx="2">
                  <c:v>Establiment d'estructures organitzacionals</c:v>
                </c:pt>
                <c:pt idx="3">
                  <c:v>Gestió de recursos humans</c:v>
                </c:pt>
              </c:strCache>
            </c:strRef>
          </c:cat>
          <c:val>
            <c:numRef>
              <c:f>Resultat!$G$13:$G$16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 formatCode="0.0">
                  <c:v>3.6666666666666665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6-494A-A7BC-257A18AC9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872767"/>
        <c:axId val="1130873247"/>
      </c:radarChart>
      <c:catAx>
        <c:axId val="113087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130873247"/>
        <c:crosses val="autoZero"/>
        <c:auto val="1"/>
        <c:lblAlgn val="ctr"/>
        <c:lblOffset val="100"/>
        <c:noMultiLvlLbl val="0"/>
      </c:catAx>
      <c:valAx>
        <c:axId val="1130873247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1308727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2.374890638670182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Resultat!$B$18</c:f>
              <c:strCache>
                <c:ptCount val="1"/>
                <c:pt idx="0">
                  <c:v>Gestió de dades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Resultat!$C$19:$F$23</c:f>
              <c:strCache>
                <c:ptCount val="5"/>
                <c:pt idx="0">
                  <c:v>Gestió de seguretat de dades</c:v>
                </c:pt>
                <c:pt idx="1">
                  <c:v>Gestió de dades històriques</c:v>
                </c:pt>
                <c:pt idx="2">
                  <c:v>Gestió de fonts i destinacions de dades</c:v>
                </c:pt>
                <c:pt idx="3">
                  <c:v>Gestió de la integració de les dades</c:v>
                </c:pt>
                <c:pt idx="4">
                  <c:v>Gestió de Dades Mestre i Dades de Referència</c:v>
                </c:pt>
              </c:strCache>
            </c:strRef>
          </c:cat>
          <c:val>
            <c:numRef>
              <c:f>Resultat!$G$19:$G$23</c:f>
              <c:numCache>
                <c:formatCode>General</c:formatCode>
                <c:ptCount val="5"/>
                <c:pt idx="0">
                  <c:v>1.5</c:v>
                </c:pt>
                <c:pt idx="1">
                  <c:v>1</c:v>
                </c:pt>
                <c:pt idx="2">
                  <c:v>1.5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24-417A-97EE-A6CD36BC5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872767"/>
        <c:axId val="1130873247"/>
      </c:radarChart>
      <c:catAx>
        <c:axId val="113087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130873247"/>
        <c:crosses val="autoZero"/>
        <c:auto val="1"/>
        <c:lblAlgn val="ctr"/>
        <c:lblOffset val="100"/>
        <c:noMultiLvlLbl val="0"/>
      </c:catAx>
      <c:valAx>
        <c:axId val="1130873247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1308727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2.374890638670182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>
        <c:manualLayout>
          <c:layoutTarget val="inner"/>
          <c:xMode val="edge"/>
          <c:yMode val="edge"/>
          <c:x val="0.30498724398428501"/>
          <c:y val="0.29857259564408756"/>
          <c:w val="0.39002551203142993"/>
          <c:h val="0.61517268950652693"/>
        </c:manualLayout>
      </c:layout>
      <c:radarChart>
        <c:radarStyle val="marker"/>
        <c:varyColors val="0"/>
        <c:ser>
          <c:idx val="0"/>
          <c:order val="0"/>
          <c:tx>
            <c:strRef>
              <c:f>Resultat!$B$25</c:f>
              <c:strCache>
                <c:ptCount val="1"/>
                <c:pt idx="0">
                  <c:v>Qualitat de la dada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Resultat!$C$26:$F$28</c:f>
              <c:strCache>
                <c:ptCount val="3"/>
                <c:pt idx="0">
                  <c:v>Establiment d'estàndards, polítiques, bones pràctiques i procediments</c:v>
                </c:pt>
                <c:pt idx="1">
                  <c:v>Control i monitorització de la qualitat de les dades</c:v>
                </c:pt>
                <c:pt idx="2">
                  <c:v>Planificació de la qualitat de les dades</c:v>
                </c:pt>
              </c:strCache>
            </c:strRef>
          </c:cat>
          <c:val>
            <c:numRef>
              <c:f>Resultat!$G$26:$G$28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24-417A-97EE-A6CD36BC5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872767"/>
        <c:axId val="1130873247"/>
      </c:radarChart>
      <c:catAx>
        <c:axId val="113087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130873247"/>
        <c:crosses val="autoZero"/>
        <c:auto val="1"/>
        <c:lblAlgn val="ctr"/>
        <c:lblOffset val="100"/>
        <c:noMultiLvlLbl val="0"/>
      </c:catAx>
      <c:valAx>
        <c:axId val="1130873247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1308727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1438275</xdr:colOff>
      <xdr:row>1</xdr:row>
      <xdr:rowOff>485775</xdr:rowOff>
    </xdr:to>
    <xdr:pic>
      <xdr:nvPicPr>
        <xdr:cNvPr id="2" name="Gráfico 413">
          <a:extLst>
            <a:ext uri="{FF2B5EF4-FFF2-40B4-BE49-F238E27FC236}">
              <a16:creationId xmlns:a16="http://schemas.microsoft.com/office/drawing/2014/main" id="{4D3EFAB2-EC2C-440F-82C4-0CF50CCF6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0975" y="180975"/>
          <a:ext cx="1438275" cy="485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342900</xdr:colOff>
      <xdr:row>1</xdr:row>
      <xdr:rowOff>482600</xdr:rowOff>
    </xdr:to>
    <xdr:pic>
      <xdr:nvPicPr>
        <xdr:cNvPr id="2" name="Gráfico 413">
          <a:extLst>
            <a:ext uri="{FF2B5EF4-FFF2-40B4-BE49-F238E27FC236}">
              <a16:creationId xmlns:a16="http://schemas.microsoft.com/office/drawing/2014/main" id="{A0BFCA88-C407-4FCC-97B2-C1F01679E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52425" y="180975"/>
          <a:ext cx="1428750" cy="485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1577975</xdr:colOff>
      <xdr:row>0</xdr:row>
      <xdr:rowOff>6350</xdr:rowOff>
    </xdr:from>
    <xdr:to>
      <xdr:col>9</xdr:col>
      <xdr:colOff>0</xdr:colOff>
      <xdr:row>1</xdr:row>
      <xdr:rowOff>313690</xdr:rowOff>
    </xdr:to>
    <xdr:pic>
      <xdr:nvPicPr>
        <xdr:cNvPr id="2" name="Gráfico 413">
          <a:extLst>
            <a:ext uri="{FF2B5EF4-FFF2-40B4-BE49-F238E27FC236}">
              <a16:creationId xmlns:a16="http://schemas.microsoft.com/office/drawing/2014/main" id="{6A6D3EF6-8836-4D60-A169-52EB4C848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31375" y="6350"/>
          <a:ext cx="1438275" cy="4857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1577975</xdr:colOff>
      <xdr:row>0</xdr:row>
      <xdr:rowOff>6350</xdr:rowOff>
    </xdr:from>
    <xdr:to>
      <xdr:col>7</xdr:col>
      <xdr:colOff>0</xdr:colOff>
      <xdr:row>1</xdr:row>
      <xdr:rowOff>314325</xdr:rowOff>
    </xdr:to>
    <xdr:pic>
      <xdr:nvPicPr>
        <xdr:cNvPr id="3" name="Gráfico 413">
          <a:extLst>
            <a:ext uri="{FF2B5EF4-FFF2-40B4-BE49-F238E27FC236}">
              <a16:creationId xmlns:a16="http://schemas.microsoft.com/office/drawing/2014/main" id="{3A8C882A-9230-49DC-8525-92582FBA8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31375" y="9525"/>
          <a:ext cx="1441450" cy="4857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1577975</xdr:colOff>
      <xdr:row>0</xdr:row>
      <xdr:rowOff>6350</xdr:rowOff>
    </xdr:from>
    <xdr:to>
      <xdr:col>7</xdr:col>
      <xdr:colOff>0</xdr:colOff>
      <xdr:row>1</xdr:row>
      <xdr:rowOff>314325</xdr:rowOff>
    </xdr:to>
    <xdr:pic>
      <xdr:nvPicPr>
        <xdr:cNvPr id="3" name="Gráfico 413">
          <a:extLst>
            <a:ext uri="{FF2B5EF4-FFF2-40B4-BE49-F238E27FC236}">
              <a16:creationId xmlns:a16="http://schemas.microsoft.com/office/drawing/2014/main" id="{F53A3DC3-1096-4E33-824F-23E418BBA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31375" y="9525"/>
          <a:ext cx="1441450" cy="4857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139065</xdr:colOff>
      <xdr:row>0</xdr:row>
      <xdr:rowOff>0</xdr:rowOff>
    </xdr:from>
    <xdr:to>
      <xdr:col>10</xdr:col>
      <xdr:colOff>1450340</xdr:colOff>
      <xdr:row>1</xdr:row>
      <xdr:rowOff>317500</xdr:rowOff>
    </xdr:to>
    <xdr:pic>
      <xdr:nvPicPr>
        <xdr:cNvPr id="2" name="Gráfico 413">
          <a:extLst>
            <a:ext uri="{FF2B5EF4-FFF2-40B4-BE49-F238E27FC236}">
              <a16:creationId xmlns:a16="http://schemas.microsoft.com/office/drawing/2014/main" id="{84FC8E13-A918-4F19-9D5E-BB3EF85BD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17405" y="0"/>
          <a:ext cx="1311275" cy="5003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7362825</xdr:colOff>
      <xdr:row>0</xdr:row>
      <xdr:rowOff>19050</xdr:rowOff>
    </xdr:from>
    <xdr:to>
      <xdr:col>2</xdr:col>
      <xdr:colOff>2540</xdr:colOff>
      <xdr:row>2</xdr:row>
      <xdr:rowOff>1270</xdr:rowOff>
    </xdr:to>
    <xdr:pic>
      <xdr:nvPicPr>
        <xdr:cNvPr id="2" name="Gráfico 413">
          <a:extLst>
            <a:ext uri="{FF2B5EF4-FFF2-40B4-BE49-F238E27FC236}">
              <a16:creationId xmlns:a16="http://schemas.microsoft.com/office/drawing/2014/main" id="{370EE9BB-0FA1-4D6C-A7F6-6D75C837C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715250" y="19050"/>
          <a:ext cx="1428750" cy="4826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190500</xdr:colOff>
      <xdr:row>1</xdr:row>
      <xdr:rowOff>485775</xdr:rowOff>
    </xdr:to>
    <xdr:pic>
      <xdr:nvPicPr>
        <xdr:cNvPr id="3" name="Gráfico 413">
          <a:extLst>
            <a:ext uri="{FF2B5EF4-FFF2-40B4-BE49-F238E27FC236}">
              <a16:creationId xmlns:a16="http://schemas.microsoft.com/office/drawing/2014/main" id="{E02EA294-344F-4B4B-9C12-897B9465B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52425" y="180975"/>
          <a:ext cx="1438275" cy="485775"/>
        </a:xfrm>
        <a:prstGeom prst="rect">
          <a:avLst/>
        </a:prstGeom>
      </xdr:spPr>
    </xdr:pic>
    <xdr:clientData/>
  </xdr:twoCellAnchor>
  <xdr:twoCellAnchor>
    <xdr:from>
      <xdr:col>1</xdr:col>
      <xdr:colOff>196850</xdr:colOff>
      <xdr:row>35</xdr:row>
      <xdr:rowOff>53975</xdr:rowOff>
    </xdr:from>
    <xdr:to>
      <xdr:col>7</xdr:col>
      <xdr:colOff>15875</xdr:colOff>
      <xdr:row>50</xdr:row>
      <xdr:rowOff>76200</xdr:rowOff>
    </xdr:to>
    <xdr:graphicFrame macro="">
      <xdr:nvGraphicFramePr>
        <xdr:cNvPr id="8" name="Gráfico 3">
          <a:extLst>
            <a:ext uri="{FF2B5EF4-FFF2-40B4-BE49-F238E27FC236}">
              <a16:creationId xmlns:a16="http://schemas.microsoft.com/office/drawing/2014/main" id="{63A2F7D6-60B5-4316-81CB-39FAE2658BCE}"/>
            </a:ext>
            <a:ext uri="{147F2762-F138-4A5C-976F-8EAC2B608ADB}">
              <a16:predDERef xmlns:a16="http://schemas.microsoft.com/office/drawing/2014/main" pred="{E02EA294-344F-4B4B-9C12-897B9465BD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152400</xdr:colOff>
      <xdr:row>9</xdr:row>
      <xdr:rowOff>158750</xdr:rowOff>
    </xdr:from>
    <xdr:to>
      <xdr:col>21</xdr:col>
      <xdr:colOff>190500</xdr:colOff>
      <xdr:row>23</xdr:row>
      <xdr:rowOff>168275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3A20F699-D96A-483C-B1D9-2E4E79CA2A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25400</xdr:colOff>
      <xdr:row>9</xdr:row>
      <xdr:rowOff>158750</xdr:rowOff>
    </xdr:from>
    <xdr:to>
      <xdr:col>33</xdr:col>
      <xdr:colOff>577850</xdr:colOff>
      <xdr:row>23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2A38B5E-3274-4042-9C43-4D0E3D751C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161925</xdr:colOff>
      <xdr:row>25</xdr:row>
      <xdr:rowOff>19050</xdr:rowOff>
    </xdr:from>
    <xdr:to>
      <xdr:col>21</xdr:col>
      <xdr:colOff>196850</xdr:colOff>
      <xdr:row>40</xdr:row>
      <xdr:rowOff>44450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26D8E05-0D6E-41C1-8739-173716D08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1425575</xdr:colOff>
      <xdr:row>1</xdr:row>
      <xdr:rowOff>482600</xdr:rowOff>
    </xdr:to>
    <xdr:pic>
      <xdr:nvPicPr>
        <xdr:cNvPr id="6" name="Gráfico 413">
          <a:extLst>
            <a:ext uri="{FF2B5EF4-FFF2-40B4-BE49-F238E27FC236}">
              <a16:creationId xmlns:a16="http://schemas.microsoft.com/office/drawing/2014/main" id="{2CF9747F-7FCF-49EC-B834-E84C20D35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0975" y="180975"/>
          <a:ext cx="1431925" cy="47942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rentemm" refreshedDate="45769.53550474537" createdVersion="8" refreshedVersion="8" minRefreshableVersion="3" recordCount="33" xr:uid="{B23E5A5F-9A70-4A69-8916-3F768F017466}">
  <cacheSource type="worksheet">
    <worksheetSource ref="W5:Y38" sheet="Qüestionari"/>
  </cacheSource>
  <cacheFields count="3">
    <cacheField name="Àmbit" numFmtId="0">
      <sharedItems containsBlank="1" count="5">
        <s v="Govern"/>
        <s v="Gestió de dades"/>
        <s v="Qualitat de la dada"/>
        <m/>
        <s v="Àmbit" u="1"/>
      </sharedItems>
    </cacheField>
    <cacheField name="Procés" numFmtId="0">
      <sharedItems containsBlank="1" count="15">
        <s v="Establiment d'estàndards, polítiques, bones pràctiques i procediments"/>
        <s v="Establiment d'estratègies de dades"/>
        <s v="Establiment d'estructures organitzacionals"/>
        <s v="Gestió de recursos humans"/>
        <s v="Gestió de seguretat de dades"/>
        <s v="Gestió de dades històriques"/>
        <s v="Gestió de fonts i destinacions de dades"/>
        <s v="Gestió de la integració de les dades"/>
        <s v="Gestió de Dades Mestre i Dades de Referència"/>
        <s v="Control i monitorització de la qualitat de les dades"/>
        <s v="Planificació de la qualitat de les dades"/>
        <m/>
        <s v="Establiment d'estàndars, polítiques, bones pràctiques i procediments" u="1"/>
        <s v="Establiment d'estàndars , polítiques, bones pràctiques i procediments" u="1"/>
        <s v="Procés" u="1"/>
      </sharedItems>
    </cacheField>
    <cacheField name="Pla acció" numFmtId="0">
      <sharedItems containsBlank="1" containsMixedTypes="1" containsNumber="1" containsInteger="1" minValue="0" maxValue="0" count="15">
        <m/>
        <s v=""/>
        <s v="3 - Assegurar que les decisions i accions derivades dels comitès estan alineats amb l'estratègia, avaluar i optimitzar els resultats dels Comitès"/>
        <s v="3 -  És interessant garantir l'autoritat i visibilitat dels Propietaris de dades, assegurant que tingui els recursos i que s'implementen activitats de millora contínua."/>
        <s v="2 - Divulgar les Polítiques de seguretat i privadesa entre el personal per tal que aquestes siguin conegudes, i fer avaluacions periòdiques del seu compliment"/>
        <s v="1 - Identificar i classificar les dades clau en funció de la seva sensibilitat"/>
        <s v="1 - Definir les Polítiques d'arxivat i restauració de dades . Per tal de fer aquest camí més senzill i aprofitant l'experiència de la DIBA, aquesta facilita el procediment d'adhesió a les seves Polítiques."/>
        <s v="2 - Ampliar l'Inventari de dades a totes les dades clau, i difondre i promoure la seva utilització"/>
        <s v="1 - Identificar les fonts de dades externes i les dades associades per tal de poder fer una gestió específica d'aquestes"/>
        <s v="1 - Definir les Polítiques i procediments d'integració, gestió i utilització de les dades . Per tal de fer aquest camí més senzill i aprofitant l'experiència de la DIBA, aquesta facilita el procediment d'adhesió a les seves Polítiques."/>
        <s v="2 - Revisar i implicar al personal en l'aplicació de les Polítiques i procediments d'integració, gestió i utilització de les dades"/>
        <s v="2 - Completar la documentació de requeriments de qualitat de les dades i valorar l'automatització de processos que ajudin a garantir la qualitat de les dades "/>
        <s v="1 - Començar a fer seguiment actiu i monitorització de la qualitat de les dades "/>
        <s v="1 - Preparar un pla d'assegurament de la qualitat de les dades, que inicialment posi el focus en les dades crítiques i dades clau"/>
        <n v="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x v="0"/>
    <x v="0"/>
  </r>
  <r>
    <x v="0"/>
    <x v="0"/>
    <x v="1"/>
  </r>
  <r>
    <x v="0"/>
    <x v="0"/>
    <x v="1"/>
  </r>
  <r>
    <x v="0"/>
    <x v="1"/>
    <x v="0"/>
  </r>
  <r>
    <x v="0"/>
    <x v="1"/>
    <x v="1"/>
  </r>
  <r>
    <x v="0"/>
    <x v="1"/>
    <x v="1"/>
  </r>
  <r>
    <x v="0"/>
    <x v="2"/>
    <x v="0"/>
  </r>
  <r>
    <x v="0"/>
    <x v="2"/>
    <x v="2"/>
  </r>
  <r>
    <x v="0"/>
    <x v="3"/>
    <x v="0"/>
  </r>
  <r>
    <x v="0"/>
    <x v="3"/>
    <x v="1"/>
  </r>
  <r>
    <x v="0"/>
    <x v="3"/>
    <x v="1"/>
  </r>
  <r>
    <x v="0"/>
    <x v="3"/>
    <x v="3"/>
  </r>
  <r>
    <x v="0"/>
    <x v="3"/>
    <x v="0"/>
  </r>
  <r>
    <x v="1"/>
    <x v="4"/>
    <x v="0"/>
  </r>
  <r>
    <x v="1"/>
    <x v="4"/>
    <x v="4"/>
  </r>
  <r>
    <x v="1"/>
    <x v="4"/>
    <x v="5"/>
  </r>
  <r>
    <x v="1"/>
    <x v="5"/>
    <x v="0"/>
  </r>
  <r>
    <x v="1"/>
    <x v="5"/>
    <x v="6"/>
  </r>
  <r>
    <x v="1"/>
    <x v="6"/>
    <x v="0"/>
  </r>
  <r>
    <x v="1"/>
    <x v="6"/>
    <x v="7"/>
  </r>
  <r>
    <x v="1"/>
    <x v="6"/>
    <x v="8"/>
  </r>
  <r>
    <x v="1"/>
    <x v="7"/>
    <x v="0"/>
  </r>
  <r>
    <x v="1"/>
    <x v="7"/>
    <x v="9"/>
  </r>
  <r>
    <x v="1"/>
    <x v="8"/>
    <x v="0"/>
  </r>
  <r>
    <x v="1"/>
    <x v="8"/>
    <x v="10"/>
  </r>
  <r>
    <x v="1"/>
    <x v="8"/>
    <x v="0"/>
  </r>
  <r>
    <x v="2"/>
    <x v="0"/>
    <x v="0"/>
  </r>
  <r>
    <x v="2"/>
    <x v="0"/>
    <x v="11"/>
  </r>
  <r>
    <x v="2"/>
    <x v="9"/>
    <x v="0"/>
  </r>
  <r>
    <x v="2"/>
    <x v="0"/>
    <x v="12"/>
  </r>
  <r>
    <x v="2"/>
    <x v="10"/>
    <x v="0"/>
  </r>
  <r>
    <x v="2"/>
    <x v="10"/>
    <x v="13"/>
  </r>
  <r>
    <x v="3"/>
    <x v="1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0A30F6-7E57-454F-8710-C0439DDE8109}" name="TablaDinámica1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rowHeaderCaption=" ">
  <location ref="B6:B35" firstHeaderRow="1" firstDataRow="1" firstDataCol="1"/>
  <pivotFields count="3">
    <pivotField axis="axisRow" showAll="0">
      <items count="6">
        <item x="0"/>
        <item m="1" x="4"/>
        <item x="1"/>
        <item x="3"/>
        <item x="2"/>
        <item t="default"/>
      </items>
    </pivotField>
    <pivotField axis="axisRow" showAll="0">
      <items count="16">
        <item x="1"/>
        <item x="2"/>
        <item x="3"/>
        <item m="1" x="13"/>
        <item m="1" x="14"/>
        <item x="11"/>
        <item x="4"/>
        <item x="5"/>
        <item x="6"/>
        <item x="7"/>
        <item x="8"/>
        <item m="1" x="12"/>
        <item x="9"/>
        <item x="10"/>
        <item x="0"/>
        <item t="default"/>
      </items>
    </pivotField>
    <pivotField axis="axisRow" showAll="0" sortType="ascending">
      <items count="16">
        <item m="1" x="14"/>
        <item x="1"/>
        <item x="12"/>
        <item x="6"/>
        <item x="9"/>
        <item x="5"/>
        <item x="8"/>
        <item x="13"/>
        <item x="7"/>
        <item x="11"/>
        <item x="4"/>
        <item x="10"/>
        <item x="3"/>
        <item x="2"/>
        <item x="0"/>
        <item t="default"/>
      </items>
    </pivotField>
  </pivotFields>
  <rowFields count="3">
    <field x="0"/>
    <field x="1"/>
    <field x="2"/>
  </rowFields>
  <rowItems count="29">
    <i>
      <x/>
    </i>
    <i r="1">
      <x/>
    </i>
    <i r="2">
      <x v="1"/>
    </i>
    <i r="1">
      <x v="1"/>
    </i>
    <i r="2">
      <x v="13"/>
    </i>
    <i r="1">
      <x v="2"/>
    </i>
    <i r="2">
      <x v="1"/>
    </i>
    <i r="2">
      <x v="12"/>
    </i>
    <i r="1">
      <x v="14"/>
    </i>
    <i r="2">
      <x v="1"/>
    </i>
    <i>
      <x v="2"/>
    </i>
    <i r="1">
      <x v="6"/>
    </i>
    <i r="2">
      <x v="5"/>
    </i>
    <i r="2">
      <x v="10"/>
    </i>
    <i r="1">
      <x v="7"/>
    </i>
    <i r="2">
      <x v="3"/>
    </i>
    <i r="1">
      <x v="8"/>
    </i>
    <i r="2">
      <x v="6"/>
    </i>
    <i r="2">
      <x v="8"/>
    </i>
    <i r="1">
      <x v="9"/>
    </i>
    <i r="2">
      <x v="4"/>
    </i>
    <i r="1">
      <x v="10"/>
    </i>
    <i r="2">
      <x v="11"/>
    </i>
    <i>
      <x v="4"/>
    </i>
    <i r="1">
      <x v="13"/>
    </i>
    <i r="2">
      <x v="7"/>
    </i>
    <i r="1">
      <x v="14"/>
    </i>
    <i r="2">
      <x v="2"/>
    </i>
    <i r="2">
      <x v="9"/>
    </i>
  </rowItems>
  <colItems count="1">
    <i/>
  </colItems>
  <formats count="3">
    <format dxfId="2">
      <pivotArea field="0" type="button" dataOnly="0" labelOnly="1" outline="0" axis="axisRow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filters count="1">
    <filter fld="2" type="captionNotEqual" evalOrder="-1" id="1" stringValue1="">
      <autoFilter ref="A1">
        <filterColumn colId="0">
          <customFilters>
            <customFilter operator="notEqual" val=" 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eu-e.cat/web/cdrassanesreialsimuseumaritim/govern-obert-i-transparencia" TargetMode="External"/><Relationship Id="rId13" Type="http://schemas.openxmlformats.org/officeDocument/2006/relationships/hyperlink" Target="https://parcs.diba.cat/web/marina" TargetMode="External"/><Relationship Id="rId18" Type="http://schemas.openxmlformats.org/officeDocument/2006/relationships/hyperlink" Target="https://www.seu-e.cat/ca/web/cdrassanesreialsimuseumaritim/govern-obert-i-transparencia/informacio-institucional-i-organitzativa/informacio-institucional/fundacio-de-suport-al-museu-maritim-i-drassanes-reials-de-barcelona-214" TargetMode="External"/><Relationship Id="rId3" Type="http://schemas.openxmlformats.org/officeDocument/2006/relationships/hyperlink" Target="https://transparencia-patronat-apostes.diba.cat/" TargetMode="External"/><Relationship Id="rId7" Type="http://schemas.openxmlformats.org/officeDocument/2006/relationships/hyperlink" Target="https://transparencia-cemical.diba.cat/" TargetMode="External"/><Relationship Id="rId12" Type="http://schemas.openxmlformats.org/officeDocument/2006/relationships/hyperlink" Target="https://parcagrari.cat/" TargetMode="External"/><Relationship Id="rId17" Type="http://schemas.openxmlformats.org/officeDocument/2006/relationships/hyperlink" Target="https://seu-e.cat/web/cparcdelaserraladalitoral" TargetMode="External"/><Relationship Id="rId2" Type="http://schemas.openxmlformats.org/officeDocument/2006/relationships/hyperlink" Target="http://transparencia.institutdelteatre.cat/" TargetMode="External"/><Relationship Id="rId16" Type="http://schemas.openxmlformats.org/officeDocument/2006/relationships/hyperlink" Target="https://seu-e.cat/web/cespainaturalguilleries-savassona" TargetMode="External"/><Relationship Id="rId1" Type="http://schemas.openxmlformats.org/officeDocument/2006/relationships/hyperlink" Target="https://transparencia-orgt.diba.cat/" TargetMode="External"/><Relationship Id="rId6" Type="http://schemas.openxmlformats.org/officeDocument/2006/relationships/hyperlink" Target="https://seu-e.cat/es/web/cccb/govern-obert-i-transparencia" TargetMode="External"/><Relationship Id="rId11" Type="http://schemas.openxmlformats.org/officeDocument/2006/relationships/hyperlink" Target="https://cuimpb.cat/" TargetMode="External"/><Relationship Id="rId5" Type="http://schemas.openxmlformats.org/officeDocument/2006/relationships/hyperlink" Target="https://gobiernolocal.org/" TargetMode="External"/><Relationship Id="rId15" Type="http://schemas.openxmlformats.org/officeDocument/2006/relationships/hyperlink" Target="https://www.icps.cat/" TargetMode="External"/><Relationship Id="rId10" Type="http://schemas.openxmlformats.org/officeDocument/2006/relationships/hyperlink" Target="https://cdmt.cat/portal-de-transparencia/" TargetMode="External"/><Relationship Id="rId4" Type="http://schemas.openxmlformats.org/officeDocument/2006/relationships/hyperlink" Target="https://www.xal.cat/" TargetMode="External"/><Relationship Id="rId9" Type="http://schemas.openxmlformats.org/officeDocument/2006/relationships/hyperlink" Target="https://museusdesitges.cat/ca/el-consorci-del-patrimoni-de-sitges" TargetMode="External"/><Relationship Id="rId14" Type="http://schemas.openxmlformats.org/officeDocument/2006/relationships/hyperlink" Target="https://www.fundaciopalau.cat/la-fundac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DD783-3DC6-4EBD-AB83-DB0895D62B46}">
  <dimension ref="A1:O24"/>
  <sheetViews>
    <sheetView workbookViewId="0">
      <pane ySplit="8" topLeftCell="A9" activePane="bottomLeft" state="frozen"/>
      <selection activeCell="B17" sqref="B17"/>
      <selection pane="bottomLeft" activeCell="B17" sqref="B17"/>
    </sheetView>
  </sheetViews>
  <sheetFormatPr defaultColWidth="11.453125" defaultRowHeight="14.5" x14ac:dyDescent="0.35"/>
  <cols>
    <col min="1" max="1" width="2.54296875" style="2" customWidth="1"/>
    <col min="2" max="2" width="125.90625" style="49" customWidth="1"/>
    <col min="3" max="3" width="75.453125" customWidth="1"/>
    <col min="4" max="4" width="29" customWidth="1"/>
    <col min="5" max="15" width="10.90625" style="2"/>
  </cols>
  <sheetData>
    <row r="1" spans="1:10" s="24" customFormat="1" x14ac:dyDescent="0.35">
      <c r="A1" s="23"/>
      <c r="B1" s="93"/>
      <c r="C1" s="23"/>
    </row>
    <row r="2" spans="1:10" s="24" customFormat="1" ht="41.4" customHeight="1" x14ac:dyDescent="0.35">
      <c r="A2" s="23"/>
      <c r="B2" s="93"/>
      <c r="C2" s="23"/>
    </row>
    <row r="3" spans="1:10" s="24" customFormat="1" x14ac:dyDescent="0.35">
      <c r="A3" s="23"/>
      <c r="B3" s="93"/>
      <c r="C3" s="23"/>
    </row>
    <row r="4" spans="1:10" s="27" customFormat="1" ht="18.5" x14ac:dyDescent="0.45">
      <c r="A4" s="26"/>
      <c r="B4" s="94" t="s">
        <v>0</v>
      </c>
      <c r="C4" s="26"/>
    </row>
    <row r="5" spans="1:10" s="24" customFormat="1" ht="28" x14ac:dyDescent="0.35">
      <c r="A5" s="23"/>
      <c r="B5" s="95" t="s">
        <v>1</v>
      </c>
      <c r="C5" s="23"/>
    </row>
    <row r="6" spans="1:10" s="24" customFormat="1" x14ac:dyDescent="0.35">
      <c r="A6" s="23"/>
      <c r="B6" s="93"/>
      <c r="C6" s="23"/>
    </row>
    <row r="7" spans="1:10" s="24" customFormat="1" ht="14.4" customHeight="1" x14ac:dyDescent="0.35">
      <c r="B7" s="96"/>
      <c r="J7" s="25"/>
    </row>
    <row r="8" spans="1:10" s="24" customFormat="1" ht="14.4" customHeight="1" x14ac:dyDescent="0.35">
      <c r="B8" s="96"/>
      <c r="J8" s="25"/>
    </row>
    <row r="9" spans="1:10" s="2" customFormat="1" x14ac:dyDescent="0.35">
      <c r="B9" s="97" t="s">
        <v>2</v>
      </c>
    </row>
    <row r="10" spans="1:10" s="2" customFormat="1" x14ac:dyDescent="0.35">
      <c r="B10" s="98"/>
    </row>
    <row r="11" spans="1:10" s="2" customFormat="1" x14ac:dyDescent="0.35">
      <c r="B11" s="98" t="s">
        <v>3</v>
      </c>
    </row>
    <row r="12" spans="1:10" s="2" customFormat="1" x14ac:dyDescent="0.35">
      <c r="B12" s="98"/>
    </row>
    <row r="13" spans="1:10" s="2" customFormat="1" ht="28.5" x14ac:dyDescent="0.35">
      <c r="B13" s="98" t="s">
        <v>4</v>
      </c>
    </row>
    <row r="14" spans="1:10" s="2" customFormat="1" x14ac:dyDescent="0.35">
      <c r="B14" s="98"/>
    </row>
    <row r="15" spans="1:10" s="2" customFormat="1" ht="28.5" x14ac:dyDescent="0.35">
      <c r="B15" s="101" t="s">
        <v>5</v>
      </c>
    </row>
    <row r="16" spans="1:10" s="2" customFormat="1" x14ac:dyDescent="0.35">
      <c r="B16" s="98"/>
    </row>
    <row r="17" spans="2:2" s="2" customFormat="1" ht="28.5" x14ac:dyDescent="0.35">
      <c r="B17" s="101" t="s">
        <v>6</v>
      </c>
    </row>
    <row r="18" spans="2:2" s="2" customFormat="1" x14ac:dyDescent="0.35">
      <c r="B18" s="98"/>
    </row>
    <row r="19" spans="2:2" s="2" customFormat="1" ht="28.5" x14ac:dyDescent="0.35">
      <c r="B19" s="101" t="s">
        <v>7</v>
      </c>
    </row>
    <row r="20" spans="2:2" s="2" customFormat="1" x14ac:dyDescent="0.35">
      <c r="B20" s="98"/>
    </row>
    <row r="21" spans="2:2" s="2" customFormat="1" x14ac:dyDescent="0.35">
      <c r="B21" s="98" t="s">
        <v>8</v>
      </c>
    </row>
    <row r="22" spans="2:2" s="2" customFormat="1" x14ac:dyDescent="0.35">
      <c r="B22" s="99"/>
    </row>
    <row r="23" spans="2:2" s="2" customFormat="1" x14ac:dyDescent="0.35">
      <c r="B23" s="100" t="s">
        <v>9</v>
      </c>
    </row>
    <row r="24" spans="2:2" s="2" customFormat="1" x14ac:dyDescent="0.35">
      <c r="B24" s="9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742B5-041A-41F5-9701-DC12F2B1426A}">
  <dimension ref="A1:G50"/>
  <sheetViews>
    <sheetView workbookViewId="0">
      <pane ySplit="4" topLeftCell="A11" activePane="bottomLeft" state="frozen"/>
      <selection pane="bottomLeft" activeCell="D16" sqref="D16"/>
    </sheetView>
  </sheetViews>
  <sheetFormatPr defaultColWidth="11.453125" defaultRowHeight="14.5" x14ac:dyDescent="0.35"/>
  <cols>
    <col min="1" max="1" width="2.54296875" style="37" customWidth="1"/>
    <col min="2" max="2" width="15.54296875" style="40" customWidth="1"/>
    <col min="3" max="3" width="34.453125" style="40" customWidth="1"/>
    <col min="4" max="4" width="24.54296875" style="43" customWidth="1"/>
    <col min="5" max="5" width="18.08984375" style="40" bestFit="1" customWidth="1"/>
    <col min="6" max="6" width="24.90625" style="40" customWidth="1"/>
    <col min="7" max="7" width="56.90625" style="43" customWidth="1"/>
    <col min="8" max="16384" width="11.453125" style="40"/>
  </cols>
  <sheetData>
    <row r="1" spans="1:7" s="25" customFormat="1" x14ac:dyDescent="0.35">
      <c r="A1" s="23"/>
      <c r="B1" s="23"/>
      <c r="C1" s="23"/>
      <c r="D1" s="41"/>
      <c r="G1" s="41"/>
    </row>
    <row r="2" spans="1:7" s="25" customFormat="1" ht="41.4" customHeight="1" x14ac:dyDescent="0.35">
      <c r="A2" s="23"/>
      <c r="B2" s="23"/>
      <c r="C2" s="23"/>
      <c r="D2" s="41"/>
      <c r="G2" s="41"/>
    </row>
    <row r="3" spans="1:7" s="25" customFormat="1" x14ac:dyDescent="0.35">
      <c r="A3" s="23"/>
      <c r="B3" s="23"/>
      <c r="C3" s="23"/>
      <c r="D3" s="41"/>
      <c r="G3" s="41"/>
    </row>
    <row r="4" spans="1:7" s="39" customFormat="1" ht="18.5" x14ac:dyDescent="0.35">
      <c r="A4" s="26"/>
      <c r="B4" s="26" t="s">
        <v>10</v>
      </c>
      <c r="C4" s="26"/>
      <c r="D4" s="42"/>
      <c r="G4" s="42"/>
    </row>
    <row r="5" spans="1:7" s="39" customFormat="1" ht="18.5" x14ac:dyDescent="0.35">
      <c r="A5" s="26"/>
      <c r="B5" s="26"/>
      <c r="C5" s="26"/>
      <c r="D5" s="42"/>
      <c r="G5" s="42"/>
    </row>
    <row r="6" spans="1:7" s="25" customFormat="1" ht="28" x14ac:dyDescent="0.35">
      <c r="A6" s="23"/>
      <c r="B6" s="28" t="s">
        <v>11</v>
      </c>
      <c r="C6" s="23"/>
      <c r="D6" s="41"/>
      <c r="G6" s="41"/>
    </row>
    <row r="7" spans="1:7" s="25" customFormat="1" x14ac:dyDescent="0.35">
      <c r="A7" s="23"/>
      <c r="B7" s="23"/>
      <c r="C7" s="23"/>
      <c r="D7" s="41"/>
      <c r="G7" s="41"/>
    </row>
    <row r="8" spans="1:7" s="37" customFormat="1" ht="18.5" x14ac:dyDescent="0.35">
      <c r="B8" s="105" t="s">
        <v>12</v>
      </c>
      <c r="C8" s="103">
        <v>45716</v>
      </c>
      <c r="G8" s="38"/>
    </row>
    <row r="9" spans="1:7" s="37" customFormat="1" ht="18.5" x14ac:dyDescent="0.35">
      <c r="B9" s="105" t="s">
        <v>13</v>
      </c>
      <c r="C9" s="104"/>
      <c r="D9" s="36"/>
      <c r="E9" s="35"/>
      <c r="G9" s="38"/>
    </row>
    <row r="10" spans="1:7" s="37" customFormat="1" ht="18.5" x14ac:dyDescent="0.35">
      <c r="B10" s="105" t="s">
        <v>14</v>
      </c>
      <c r="C10" s="72" t="s">
        <v>15</v>
      </c>
      <c r="D10" s="38"/>
      <c r="G10" s="38"/>
    </row>
    <row r="11" spans="1:7" s="37" customFormat="1" ht="18.5" x14ac:dyDescent="0.35">
      <c r="B11" s="105" t="str">
        <f>C10</f>
        <v>Ajuntament</v>
      </c>
      <c r="C11" s="72" t="s">
        <v>16</v>
      </c>
      <c r="D11" s="38"/>
      <c r="G11" s="38"/>
    </row>
    <row r="12" spans="1:7" s="37" customFormat="1" ht="18.5" x14ac:dyDescent="0.35">
      <c r="B12" s="105" t="s">
        <v>17</v>
      </c>
      <c r="C12" s="72" t="s">
        <v>18</v>
      </c>
      <c r="D12" s="38"/>
      <c r="G12" s="38"/>
    </row>
    <row r="13" spans="1:7" s="37" customFormat="1" x14ac:dyDescent="0.35">
      <c r="D13" s="38"/>
      <c r="G13" s="38"/>
    </row>
    <row r="14" spans="1:7" s="37" customFormat="1" x14ac:dyDescent="0.35">
      <c r="D14" s="38"/>
      <c r="G14" s="38"/>
    </row>
    <row r="15" spans="1:7" s="39" customFormat="1" ht="18.5" x14ac:dyDescent="0.35">
      <c r="A15" s="26"/>
      <c r="B15" s="26" t="s">
        <v>19</v>
      </c>
      <c r="C15" s="26"/>
      <c r="D15" s="42"/>
      <c r="G15" s="42"/>
    </row>
    <row r="16" spans="1:7" s="37" customFormat="1" x14ac:dyDescent="0.35">
      <c r="C16" s="102" t="s">
        <v>20</v>
      </c>
      <c r="D16" s="102" t="s">
        <v>21</v>
      </c>
      <c r="E16" s="102" t="s">
        <v>22</v>
      </c>
      <c r="F16" s="102" t="s">
        <v>23</v>
      </c>
      <c r="G16" s="102" t="s">
        <v>24</v>
      </c>
    </row>
    <row r="17" spans="1:7" s="37" customFormat="1" x14ac:dyDescent="0.35">
      <c r="C17" s="48" t="s">
        <v>25</v>
      </c>
      <c r="D17" s="47"/>
      <c r="E17" s="46"/>
      <c r="F17" s="46"/>
      <c r="G17" s="47"/>
    </row>
    <row r="18" spans="1:7" s="37" customFormat="1" x14ac:dyDescent="0.35">
      <c r="C18" s="48" t="s">
        <v>26</v>
      </c>
      <c r="D18" s="47"/>
      <c r="E18" s="46"/>
      <c r="F18" s="46"/>
      <c r="G18" s="47"/>
    </row>
    <row r="19" spans="1:7" s="37" customFormat="1" x14ac:dyDescent="0.35">
      <c r="C19" s="48"/>
      <c r="D19" s="47"/>
      <c r="E19" s="46"/>
      <c r="F19" s="46"/>
      <c r="G19" s="47"/>
    </row>
    <row r="20" spans="1:7" s="37" customFormat="1" x14ac:dyDescent="0.35">
      <c r="C20" s="48"/>
      <c r="D20" s="47"/>
      <c r="E20" s="46"/>
      <c r="F20" s="46"/>
      <c r="G20" s="47"/>
    </row>
    <row r="21" spans="1:7" s="37" customFormat="1" x14ac:dyDescent="0.35">
      <c r="C21" s="48"/>
      <c r="D21" s="47"/>
      <c r="E21" s="46"/>
      <c r="F21" s="46"/>
      <c r="G21" s="47"/>
    </row>
    <row r="22" spans="1:7" s="37" customFormat="1" x14ac:dyDescent="0.35">
      <c r="D22" s="38"/>
      <c r="G22" s="38"/>
    </row>
    <row r="23" spans="1:7" s="39" customFormat="1" ht="18.5" x14ac:dyDescent="0.35">
      <c r="A23" s="26"/>
      <c r="B23" s="26" t="s">
        <v>28</v>
      </c>
      <c r="C23" s="26"/>
      <c r="D23" s="42"/>
      <c r="G23" s="42"/>
    </row>
    <row r="24" spans="1:7" s="37" customFormat="1" x14ac:dyDescent="0.35">
      <c r="C24" s="102" t="s">
        <v>29</v>
      </c>
      <c r="D24" s="102" t="s">
        <v>21</v>
      </c>
      <c r="E24" s="102" t="s">
        <v>22</v>
      </c>
      <c r="F24" s="102" t="s">
        <v>23</v>
      </c>
      <c r="G24" s="102" t="s">
        <v>24</v>
      </c>
    </row>
    <row r="25" spans="1:7" s="37" customFormat="1" x14ac:dyDescent="0.35">
      <c r="C25" s="48"/>
      <c r="D25" s="47"/>
      <c r="E25" s="46"/>
      <c r="F25" s="46"/>
      <c r="G25" s="47"/>
    </row>
    <row r="26" spans="1:7" s="37" customFormat="1" x14ac:dyDescent="0.35">
      <c r="C26" s="48"/>
      <c r="D26" s="47"/>
      <c r="E26" s="46"/>
      <c r="F26" s="46"/>
      <c r="G26" s="47"/>
    </row>
    <row r="27" spans="1:7" s="37" customFormat="1" x14ac:dyDescent="0.35">
      <c r="C27" s="48"/>
      <c r="D27" s="47"/>
      <c r="E27" s="46"/>
      <c r="F27" s="46"/>
      <c r="G27" s="47"/>
    </row>
    <row r="28" spans="1:7" s="37" customFormat="1" x14ac:dyDescent="0.35">
      <c r="C28" s="48"/>
      <c r="D28" s="47"/>
      <c r="E28" s="46"/>
      <c r="F28" s="46"/>
      <c r="G28" s="47"/>
    </row>
    <row r="29" spans="1:7" s="37" customFormat="1" x14ac:dyDescent="0.35">
      <c r="C29" s="48"/>
      <c r="D29" s="47"/>
      <c r="E29" s="46"/>
      <c r="F29" s="46"/>
      <c r="G29" s="47"/>
    </row>
    <row r="30" spans="1:7" s="37" customFormat="1" x14ac:dyDescent="0.35">
      <c r="D30" s="38"/>
      <c r="G30" s="38"/>
    </row>
    <row r="31" spans="1:7" s="39" customFormat="1" ht="18.5" x14ac:dyDescent="0.35">
      <c r="A31" s="26"/>
      <c r="B31" s="26" t="s">
        <v>30</v>
      </c>
      <c r="C31" s="26"/>
      <c r="D31" s="42"/>
      <c r="G31" s="42"/>
    </row>
    <row r="32" spans="1:7" s="37" customFormat="1" x14ac:dyDescent="0.35">
      <c r="C32" s="102" t="s">
        <v>31</v>
      </c>
      <c r="D32" s="102" t="s">
        <v>21</v>
      </c>
      <c r="E32" s="102" t="s">
        <v>22</v>
      </c>
      <c r="F32" s="102" t="s">
        <v>23</v>
      </c>
      <c r="G32" s="102" t="s">
        <v>24</v>
      </c>
    </row>
    <row r="33" spans="1:7" s="37" customFormat="1" x14ac:dyDescent="0.35">
      <c r="C33" s="48"/>
      <c r="D33" s="47"/>
      <c r="E33" s="46"/>
      <c r="F33" s="46"/>
      <c r="G33" s="47"/>
    </row>
    <row r="34" spans="1:7" s="37" customFormat="1" x14ac:dyDescent="0.35">
      <c r="C34" s="48"/>
      <c r="D34" s="47"/>
      <c r="E34" s="46"/>
      <c r="F34" s="46"/>
      <c r="G34" s="47"/>
    </row>
    <row r="35" spans="1:7" s="37" customFormat="1" x14ac:dyDescent="0.35">
      <c r="C35" s="48"/>
      <c r="D35" s="47"/>
      <c r="E35" s="46"/>
      <c r="F35" s="46"/>
      <c r="G35" s="47"/>
    </row>
    <row r="36" spans="1:7" s="37" customFormat="1" x14ac:dyDescent="0.35">
      <c r="C36" s="48"/>
      <c r="D36" s="47"/>
      <c r="E36" s="46"/>
      <c r="F36" s="46"/>
      <c r="G36" s="47"/>
    </row>
    <row r="37" spans="1:7" s="37" customFormat="1" x14ac:dyDescent="0.35">
      <c r="C37" s="48"/>
      <c r="D37" s="47"/>
      <c r="E37" s="46"/>
      <c r="F37" s="46"/>
      <c r="G37" s="47"/>
    </row>
    <row r="38" spans="1:7" s="37" customFormat="1" x14ac:dyDescent="0.35">
      <c r="D38" s="38"/>
      <c r="G38" s="38"/>
    </row>
    <row r="39" spans="1:7" s="39" customFormat="1" ht="18.5" x14ac:dyDescent="0.35">
      <c r="A39" s="26"/>
      <c r="B39" s="26" t="s">
        <v>32</v>
      </c>
      <c r="C39" s="26"/>
      <c r="D39" s="42"/>
      <c r="G39" s="42"/>
    </row>
    <row r="40" spans="1:7" s="37" customFormat="1" x14ac:dyDescent="0.35">
      <c r="C40" s="102" t="s">
        <v>33</v>
      </c>
      <c r="D40" s="102" t="s">
        <v>21</v>
      </c>
      <c r="E40" s="102" t="s">
        <v>22</v>
      </c>
      <c r="F40" s="102" t="s">
        <v>23</v>
      </c>
      <c r="G40" s="102" t="s">
        <v>24</v>
      </c>
    </row>
    <row r="41" spans="1:7" s="37" customFormat="1" x14ac:dyDescent="0.35">
      <c r="C41" s="48" t="s">
        <v>34</v>
      </c>
      <c r="D41" s="47"/>
      <c r="E41" s="46"/>
      <c r="F41" s="46"/>
      <c r="G41" s="47"/>
    </row>
    <row r="42" spans="1:7" s="37" customFormat="1" x14ac:dyDescent="0.35">
      <c r="C42" s="48" t="s">
        <v>35</v>
      </c>
      <c r="D42" s="47"/>
      <c r="E42" s="46"/>
      <c r="F42" s="46"/>
      <c r="G42" s="47"/>
    </row>
    <row r="43" spans="1:7" s="37" customFormat="1" x14ac:dyDescent="0.35">
      <c r="C43" s="48"/>
      <c r="D43" s="47"/>
      <c r="E43" s="46"/>
      <c r="F43" s="46"/>
      <c r="G43" s="47"/>
    </row>
    <row r="44" spans="1:7" s="37" customFormat="1" x14ac:dyDescent="0.35">
      <c r="C44" s="48"/>
      <c r="D44" s="47"/>
      <c r="E44" s="46"/>
      <c r="F44" s="46"/>
      <c r="G44" s="47"/>
    </row>
    <row r="45" spans="1:7" s="37" customFormat="1" x14ac:dyDescent="0.35">
      <c r="C45" s="48"/>
      <c r="D45" s="47"/>
      <c r="E45" s="46"/>
      <c r="F45" s="46"/>
      <c r="G45" s="47"/>
    </row>
    <row r="46" spans="1:7" s="37" customFormat="1" x14ac:dyDescent="0.35">
      <c r="D46" s="38"/>
      <c r="G46" s="38"/>
    </row>
    <row r="47" spans="1:7" s="37" customFormat="1" x14ac:dyDescent="0.35">
      <c r="D47" s="38"/>
      <c r="G47" s="38"/>
    </row>
    <row r="48" spans="1:7" s="37" customFormat="1" x14ac:dyDescent="0.35">
      <c r="D48" s="38"/>
      <c r="G48" s="38"/>
    </row>
    <row r="49" spans="4:7" s="37" customFormat="1" x14ac:dyDescent="0.35">
      <c r="D49" s="38"/>
      <c r="G49" s="38"/>
    </row>
    <row r="50" spans="4:7" s="37" customFormat="1" x14ac:dyDescent="0.35">
      <c r="D50" s="38"/>
      <c r="G50" s="38"/>
    </row>
  </sheetData>
  <dataValidations count="5">
    <dataValidation type="date" operator="greaterThan" allowBlank="1" showInputMessage="1" showErrorMessage="1" sqref="C8" xr:uid="{B73920AE-A779-4488-9D8C-76E3D1A15952}">
      <formula1>44986</formula1>
    </dataValidation>
    <dataValidation type="list" allowBlank="1" showInputMessage="1" showErrorMessage="1" sqref="C12" xr:uid="{E6077B03-080F-4450-B0C4-1197881DFFDF}">
      <formula1>Àrea</formula1>
    </dataValidation>
    <dataValidation type="list" allowBlank="1" showInputMessage="1" showErrorMessage="1" sqref="C11" xr:uid="{CC38888C-EF83-407B-8BF2-F72522D40EBE}">
      <formula1>INDIRECT($C$10)</formula1>
    </dataValidation>
    <dataValidation type="list" allowBlank="1" showInputMessage="1" showErrorMessage="1" sqref="C10" xr:uid="{81BD5829-815C-46B4-8062-EA6C6F1C8F44}">
      <formula1>Tipus</formula1>
    </dataValidation>
    <dataValidation type="list" allowBlank="1" showInputMessage="1" showErrorMessage="1" sqref="C17:C21" xr:uid="{EA2E71AE-B557-465B-B6AB-AB53CEB2FCC2}">
      <formula1>Rols</formula1>
    </dataValidation>
  </dataValidations>
  <pageMargins left="0.7" right="0.7" top="0.75" bottom="0.75" header="0.3" footer="0.3"/>
  <colBreaks count="1" manualBreakCount="1">
    <brk id="7" max="1048575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1E1E7-DF2D-47F0-95EA-DF30A09EA956}">
  <dimension ref="B1:AB37"/>
  <sheetViews>
    <sheetView zoomScale="85" zoomScaleNormal="85" workbookViewId="0">
      <pane ySplit="4" topLeftCell="A5" activePane="bottomLeft" state="frozen"/>
      <selection activeCell="B47" sqref="B47"/>
      <selection pane="bottomLeft" activeCell="G7" sqref="G7"/>
    </sheetView>
  </sheetViews>
  <sheetFormatPr defaultColWidth="10.90625" defaultRowHeight="14.5" x14ac:dyDescent="0.35"/>
  <cols>
    <col min="1" max="3" width="2.54296875" style="2" customWidth="1"/>
    <col min="4" max="4" width="5.54296875" style="2" bestFit="1" customWidth="1"/>
    <col min="5" max="5" width="7.453125" style="2" customWidth="1"/>
    <col min="6" max="6" width="41.36328125" style="1" customWidth="1"/>
    <col min="7" max="7" width="20.453125" style="2" customWidth="1"/>
    <col min="8" max="9" width="43.90625" style="2" customWidth="1"/>
    <col min="10" max="10" width="7.36328125" style="2" customWidth="1"/>
    <col min="11" max="11" width="10.90625" style="2"/>
    <col min="12" max="12" width="9" style="2" customWidth="1"/>
    <col min="13" max="16" width="28.36328125" style="2" customWidth="1"/>
    <col min="17" max="17" width="2.453125" style="2" customWidth="1"/>
    <col min="18" max="21" width="16.54296875" style="53" customWidth="1"/>
    <col min="22" max="22" width="3.90625" style="2" customWidth="1"/>
    <col min="23" max="23" width="18.54296875" style="2" customWidth="1"/>
    <col min="24" max="24" width="18.54296875" style="38" customWidth="1"/>
    <col min="25" max="25" width="45.90625" style="2" customWidth="1"/>
    <col min="26" max="26" width="7.90625" style="2" bestFit="1" customWidth="1"/>
    <col min="27" max="16384" width="10.90625" style="2"/>
  </cols>
  <sheetData>
    <row r="1" spans="2:28" x14ac:dyDescent="0.35">
      <c r="I1" s="122"/>
    </row>
    <row r="2" spans="2:28" ht="26.5" thickBot="1" x14ac:dyDescent="0.4">
      <c r="B2" s="3" t="s">
        <v>0</v>
      </c>
      <c r="C2" s="3"/>
      <c r="D2" s="3"/>
      <c r="E2" s="3"/>
      <c r="F2" s="4"/>
      <c r="G2" s="5"/>
      <c r="H2" s="5"/>
      <c r="I2" s="123"/>
      <c r="J2" s="9"/>
    </row>
    <row r="3" spans="2:28" ht="26.5" thickTop="1" x14ac:dyDescent="0.35">
      <c r="B3" s="7"/>
      <c r="C3" s="7"/>
      <c r="D3" s="7"/>
      <c r="E3" s="7"/>
      <c r="J3" s="11"/>
    </row>
    <row r="4" spans="2:28" s="8" customFormat="1" ht="26" x14ac:dyDescent="0.35">
      <c r="B4" s="7"/>
      <c r="C4" s="7"/>
      <c r="D4" s="12" t="s">
        <v>48</v>
      </c>
      <c r="E4" s="12" t="s">
        <v>49</v>
      </c>
      <c r="F4" s="12" t="s">
        <v>50</v>
      </c>
      <c r="G4" s="13" t="s">
        <v>51</v>
      </c>
      <c r="H4" s="13" t="s">
        <v>24</v>
      </c>
      <c r="I4" s="13" t="s">
        <v>52</v>
      </c>
      <c r="L4" s="16"/>
      <c r="M4" s="124" t="s">
        <v>53</v>
      </c>
      <c r="N4" s="125"/>
      <c r="O4" s="125"/>
      <c r="P4" s="126"/>
      <c r="R4" s="124" t="s">
        <v>54</v>
      </c>
      <c r="S4" s="125"/>
      <c r="T4" s="125"/>
      <c r="U4" s="126"/>
      <c r="X4" s="64"/>
      <c r="Y4" s="2"/>
      <c r="Z4" s="2"/>
    </row>
    <row r="5" spans="2:28" s="8" customFormat="1" ht="34.5" customHeight="1" x14ac:dyDescent="0.6">
      <c r="B5" s="70" t="s">
        <v>55</v>
      </c>
      <c r="C5" s="7"/>
      <c r="E5" s="7"/>
      <c r="F5" s="7"/>
      <c r="G5" s="7"/>
      <c r="H5" s="7"/>
      <c r="I5" s="7"/>
      <c r="J5" s="57">
        <f>AVERAGE(J6,J9,J12,J14)</f>
        <v>3.1666666666666665</v>
      </c>
      <c r="L5" s="16"/>
      <c r="M5" s="17">
        <v>1</v>
      </c>
      <c r="N5" s="17">
        <v>2</v>
      </c>
      <c r="O5" s="17">
        <v>3</v>
      </c>
      <c r="P5" s="17">
        <v>4</v>
      </c>
      <c r="R5" s="17">
        <v>1</v>
      </c>
      <c r="S5" s="17">
        <v>2</v>
      </c>
      <c r="T5" s="17">
        <v>3</v>
      </c>
      <c r="U5" s="17">
        <v>4</v>
      </c>
      <c r="W5" s="13" t="s">
        <v>14</v>
      </c>
      <c r="X5" s="12" t="s">
        <v>49</v>
      </c>
      <c r="Y5" s="13" t="s">
        <v>56</v>
      </c>
      <c r="Z5" s="109" t="s">
        <v>57</v>
      </c>
      <c r="AA5" s="50" t="s">
        <v>57</v>
      </c>
      <c r="AB5" s="8" t="s">
        <v>58</v>
      </c>
    </row>
    <row r="6" spans="2:28" ht="27.65" customHeight="1" x14ac:dyDescent="0.45">
      <c r="E6" s="67" t="s">
        <v>59</v>
      </c>
      <c r="F6" s="66"/>
      <c r="G6" s="66"/>
      <c r="H6" s="66"/>
      <c r="I6" s="66"/>
      <c r="J6" s="56">
        <f>SUM(J7:J8)/COUNT(J7:J8)</f>
        <v>2</v>
      </c>
      <c r="L6" s="17"/>
      <c r="M6" s="54"/>
      <c r="N6" s="54"/>
      <c r="O6" s="54"/>
      <c r="P6" s="54"/>
      <c r="R6" s="55"/>
      <c r="S6" s="55"/>
      <c r="T6" s="55"/>
      <c r="U6" s="55"/>
      <c r="W6" s="51" t="str">
        <f>IF(B5="",W5,B5)</f>
        <v>Govern</v>
      </c>
      <c r="X6" s="19" t="str">
        <f>IF(E6="",X5,E6)</f>
        <v>Establiment d'estàndards, polítiques, bones pràctiques i procediments</v>
      </c>
      <c r="Y6" s="55"/>
      <c r="Z6" s="55"/>
      <c r="AA6" s="50"/>
    </row>
    <row r="7" spans="2:28" ht="87" x14ac:dyDescent="0.35">
      <c r="D7" s="68" t="s">
        <v>60</v>
      </c>
      <c r="E7" s="69"/>
      <c r="F7" s="71" t="s">
        <v>61</v>
      </c>
      <c r="G7" s="72" t="s">
        <v>62</v>
      </c>
      <c r="H7" s="73"/>
      <c r="I7" s="73"/>
      <c r="J7" s="15">
        <f>SUMIF(M7:P7,G7,$M$5:$P$5)</f>
        <v>2</v>
      </c>
      <c r="L7" s="17" t="str">
        <f>D7</f>
        <v>GA01</v>
      </c>
      <c r="M7" s="19" t="s">
        <v>63</v>
      </c>
      <c r="N7" s="19" t="s">
        <v>62</v>
      </c>
      <c r="O7" s="19" t="s">
        <v>64</v>
      </c>
      <c r="P7" s="19" t="s">
        <v>65</v>
      </c>
      <c r="R7" s="52" t="s">
        <v>66</v>
      </c>
      <c r="S7" s="52" t="s">
        <v>67</v>
      </c>
      <c r="T7" s="52" t="s">
        <v>68</v>
      </c>
      <c r="U7" s="52" t="s">
        <v>69</v>
      </c>
      <c r="W7" s="51" t="str">
        <f t="shared" ref="W7:W17" si="0">IF(B6="",W6,B6)</f>
        <v>Govern</v>
      </c>
      <c r="X7" s="19" t="str">
        <f t="shared" ref="X7:X17" si="1">IF(E7="",X6,E7)</f>
        <v>Establiment d'estàndards, polítiques, bones pràctiques i procediments</v>
      </c>
      <c r="Y7" s="19" t="str">
        <f t="shared" ref="Y7:Y17" si="2">IF(OR($G7=$M7,$G7=""),CONCATENATE(J7," - ",$R7),IF($G7=$N7,CONCATENATE(J7," - ",$S7),IF($G7=$O7,CONCATENATE(J7," - ",$T7),"")))</f>
        <v>2 - Establir un marc de Govern del Dada unificat per garantir coherència i alineació entre àrees fent un treball de centralització de la governança i unificació de criteris.</v>
      </c>
      <c r="Z7" s="19">
        <f>J7</f>
        <v>2</v>
      </c>
      <c r="AA7" s="50"/>
    </row>
    <row r="8" spans="2:28" ht="101.5" x14ac:dyDescent="0.35">
      <c r="D8" s="68" t="s">
        <v>70</v>
      </c>
      <c r="E8" s="69"/>
      <c r="F8" s="71" t="s">
        <v>71</v>
      </c>
      <c r="G8" s="72" t="s">
        <v>72</v>
      </c>
      <c r="H8" s="73"/>
      <c r="I8" s="73"/>
      <c r="J8" s="15">
        <f>SUMIF(M8:P8,G8,$M$5:$P$5)</f>
        <v>2</v>
      </c>
      <c r="L8" s="17" t="str">
        <f>D8</f>
        <v>GA02</v>
      </c>
      <c r="M8" s="19" t="s">
        <v>73</v>
      </c>
      <c r="N8" s="19" t="s">
        <v>72</v>
      </c>
      <c r="O8" s="19" t="s">
        <v>74</v>
      </c>
      <c r="P8" s="19" t="s">
        <v>75</v>
      </c>
      <c r="R8" s="52" t="s">
        <v>76</v>
      </c>
      <c r="S8" s="52" t="s">
        <v>77</v>
      </c>
      <c r="T8" s="52" t="s">
        <v>78</v>
      </c>
      <c r="U8" s="52" t="s">
        <v>79</v>
      </c>
      <c r="W8" s="51" t="str">
        <f t="shared" si="0"/>
        <v>Govern</v>
      </c>
      <c r="X8" s="19" t="str">
        <f t="shared" si="1"/>
        <v>Establiment d'estàndards, polítiques, bones pràctiques i procediments</v>
      </c>
      <c r="Y8" s="19" t="str">
        <f t="shared" si="2"/>
        <v>2 - Cal revisar que les Polítiques definides son aplicables, si es poden simplificar i assegurar un lideratge en l'àmbit del Govern de la dada. Addicionalment, seria positiu reforçar la comunicació, assegurar la capacitació dels implicats i portar a terme accions que facin que el Govern de la dada s'integri a la operació diària.</v>
      </c>
      <c r="Z8" s="19">
        <f>J8</f>
        <v>2</v>
      </c>
      <c r="AA8" s="50"/>
    </row>
    <row r="9" spans="2:28" ht="27.65" customHeight="1" x14ac:dyDescent="0.45">
      <c r="E9" s="67" t="s">
        <v>80</v>
      </c>
      <c r="F9" s="66"/>
      <c r="G9" s="66"/>
      <c r="H9" s="66"/>
      <c r="I9" s="66"/>
      <c r="J9" s="56">
        <f>SUM(J10:J11)/COUNT(J10:J11)</f>
        <v>4</v>
      </c>
      <c r="L9" s="17"/>
      <c r="M9" s="54"/>
      <c r="N9" s="54"/>
      <c r="O9" s="54"/>
      <c r="P9" s="54"/>
      <c r="R9" s="55"/>
      <c r="S9" s="55"/>
      <c r="T9" s="55"/>
      <c r="U9" s="55"/>
      <c r="W9" s="51" t="str">
        <f>IF(B8="",W8,B8)</f>
        <v>Govern</v>
      </c>
      <c r="X9" s="19" t="str">
        <f>IF(E9="",X8,E9)</f>
        <v>Establiment d'estratègies de dades</v>
      </c>
      <c r="Y9" s="55"/>
      <c r="Z9" s="55"/>
      <c r="AA9" s="50"/>
    </row>
    <row r="10" spans="2:28" ht="101.5" x14ac:dyDescent="0.35">
      <c r="D10" s="68" t="s">
        <v>81</v>
      </c>
      <c r="E10" s="69"/>
      <c r="F10" s="71" t="s">
        <v>82</v>
      </c>
      <c r="G10" s="72" t="s">
        <v>83</v>
      </c>
      <c r="H10" s="73"/>
      <c r="I10" s="73"/>
      <c r="J10" s="15">
        <f>SUMIF(M10:P10,G10,$M$5:$P$5)</f>
        <v>4</v>
      </c>
      <c r="L10" s="17" t="str">
        <f t="shared" ref="L10" si="3">D10</f>
        <v>GB01</v>
      </c>
      <c r="M10" s="19" t="s">
        <v>84</v>
      </c>
      <c r="N10" s="19" t="s">
        <v>85</v>
      </c>
      <c r="O10" s="19" t="s">
        <v>86</v>
      </c>
      <c r="P10" s="19" t="s">
        <v>83</v>
      </c>
      <c r="R10" s="52" t="s">
        <v>87</v>
      </c>
      <c r="S10" s="52" t="s">
        <v>88</v>
      </c>
      <c r="T10" s="52" t="s">
        <v>89</v>
      </c>
      <c r="U10" s="52" t="s">
        <v>69</v>
      </c>
      <c r="W10" s="51" t="str">
        <f t="shared" si="0"/>
        <v>Govern</v>
      </c>
      <c r="X10" s="19" t="str">
        <f t="shared" si="1"/>
        <v>Establiment d'estratègies de dades</v>
      </c>
      <c r="Y10" s="19" t="str">
        <f t="shared" si="2"/>
        <v/>
      </c>
      <c r="Z10" s="19">
        <f t="shared" ref="Z10:Z37" si="4">J10</f>
        <v>4</v>
      </c>
      <c r="AA10" s="50"/>
    </row>
    <row r="11" spans="2:28" ht="145" x14ac:dyDescent="0.35">
      <c r="D11" s="68" t="s">
        <v>90</v>
      </c>
      <c r="E11" s="69"/>
      <c r="F11" s="71" t="s">
        <v>91</v>
      </c>
      <c r="G11" s="72" t="s">
        <v>92</v>
      </c>
      <c r="H11" s="73"/>
      <c r="I11" s="73"/>
      <c r="J11" s="15">
        <f>SUMIF(M11:P11,G11,$M$5:$P$5)</f>
        <v>4</v>
      </c>
      <c r="L11" s="17" t="str">
        <f>D11</f>
        <v>GB02</v>
      </c>
      <c r="M11" s="19" t="s">
        <v>93</v>
      </c>
      <c r="N11" s="19" t="s">
        <v>94</v>
      </c>
      <c r="O11" s="19" t="s">
        <v>95</v>
      </c>
      <c r="P11" s="19" t="s">
        <v>92</v>
      </c>
      <c r="R11" s="52" t="s">
        <v>96</v>
      </c>
      <c r="S11" s="52" t="s">
        <v>97</v>
      </c>
      <c r="T11" s="52" t="s">
        <v>98</v>
      </c>
      <c r="U11" s="52" t="s">
        <v>79</v>
      </c>
      <c r="W11" s="51" t="str">
        <f t="shared" si="0"/>
        <v>Govern</v>
      </c>
      <c r="X11" s="19" t="str">
        <f t="shared" si="1"/>
        <v>Establiment d'estratègies de dades</v>
      </c>
      <c r="Y11" s="19" t="str">
        <f t="shared" si="2"/>
        <v/>
      </c>
      <c r="Z11" s="19">
        <f t="shared" si="4"/>
        <v>4</v>
      </c>
      <c r="AA11" s="50"/>
    </row>
    <row r="12" spans="2:28" ht="27.65" customHeight="1" x14ac:dyDescent="0.45">
      <c r="E12" s="67" t="s">
        <v>99</v>
      </c>
      <c r="F12" s="66"/>
      <c r="G12" s="66"/>
      <c r="H12" s="66"/>
      <c r="I12" s="66"/>
      <c r="J12" s="56">
        <f>SUM(J13)/COUNT(J13)</f>
        <v>3</v>
      </c>
      <c r="L12" s="17"/>
      <c r="M12" s="54"/>
      <c r="N12" s="54"/>
      <c r="O12" s="54"/>
      <c r="P12" s="54"/>
      <c r="R12" s="55"/>
      <c r="S12" s="55"/>
      <c r="T12" s="55"/>
      <c r="U12" s="55"/>
      <c r="W12" s="51" t="str">
        <f>IF(B11="",W11,B11)</f>
        <v>Govern</v>
      </c>
      <c r="X12" s="19" t="str">
        <f>IF(E12="",X11,E12)</f>
        <v>Establiment d'estructures organitzacionals</v>
      </c>
      <c r="Y12" s="55"/>
      <c r="Z12" s="55"/>
      <c r="AA12" s="50"/>
    </row>
    <row r="13" spans="2:28" ht="101.5" x14ac:dyDescent="0.35">
      <c r="D13" s="68" t="s">
        <v>100</v>
      </c>
      <c r="E13" s="69"/>
      <c r="F13" s="71" t="s">
        <v>101</v>
      </c>
      <c r="G13" s="72" t="s">
        <v>102</v>
      </c>
      <c r="H13" s="73"/>
      <c r="I13" s="73"/>
      <c r="J13" s="15">
        <f>SUMIF(M13:P13,G13,$M$5:$P$5)</f>
        <v>3</v>
      </c>
      <c r="L13" s="17" t="str">
        <f t="shared" ref="L13" si="5">D13</f>
        <v>GC01</v>
      </c>
      <c r="M13" s="19" t="s">
        <v>103</v>
      </c>
      <c r="N13" s="19" t="s">
        <v>104</v>
      </c>
      <c r="O13" s="19" t="s">
        <v>102</v>
      </c>
      <c r="P13" s="19" t="s">
        <v>105</v>
      </c>
      <c r="R13" s="52" t="s">
        <v>106</v>
      </c>
      <c r="S13" s="52" t="s">
        <v>107</v>
      </c>
      <c r="T13" s="52" t="s">
        <v>108</v>
      </c>
      <c r="U13" s="52" t="s">
        <v>69</v>
      </c>
      <c r="W13" s="51" t="str">
        <f t="shared" si="0"/>
        <v>Govern</v>
      </c>
      <c r="X13" s="19" t="str">
        <f t="shared" si="1"/>
        <v>Establiment d'estructures organitzacionals</v>
      </c>
      <c r="Y13" s="19" t="str">
        <f t="shared" si="2"/>
        <v>3 - Assegurar que les decisions i accions derivades dels comitès estan alineats amb l'estratègia, avaluar i optimitzar els resultats dels Comitès</v>
      </c>
      <c r="Z13" s="19">
        <f t="shared" si="4"/>
        <v>3</v>
      </c>
      <c r="AA13" s="50"/>
    </row>
    <row r="14" spans="2:28" ht="27.65" customHeight="1" x14ac:dyDescent="0.45">
      <c r="E14" s="67" t="s">
        <v>109</v>
      </c>
      <c r="F14" s="66"/>
      <c r="G14" s="66"/>
      <c r="H14" s="66"/>
      <c r="I14" s="66"/>
      <c r="J14" s="56">
        <f>SUM(J15:J17)/COUNT(J15:J17)</f>
        <v>3.6666666666666665</v>
      </c>
      <c r="L14" s="17"/>
      <c r="M14" s="54"/>
      <c r="N14" s="54"/>
      <c r="O14" s="54"/>
      <c r="P14" s="54"/>
      <c r="R14" s="55"/>
      <c r="S14" s="55"/>
      <c r="T14" s="55"/>
      <c r="U14" s="55"/>
      <c r="W14" s="51" t="str">
        <f t="shared" si="0"/>
        <v>Govern</v>
      </c>
      <c r="X14" s="19" t="str">
        <f t="shared" si="1"/>
        <v>Gestió de recursos humans</v>
      </c>
      <c r="Y14" s="55"/>
      <c r="Z14" s="55"/>
      <c r="AA14" s="50"/>
    </row>
    <row r="15" spans="2:28" ht="87" x14ac:dyDescent="0.35">
      <c r="D15" s="68" t="s">
        <v>110</v>
      </c>
      <c r="E15" s="69"/>
      <c r="F15" s="71" t="s">
        <v>111</v>
      </c>
      <c r="G15" s="72" t="s">
        <v>112</v>
      </c>
      <c r="H15" s="73"/>
      <c r="I15" s="73"/>
      <c r="J15" s="15">
        <f>SUMIF(M15:P15,G15,$M$5:$P$5)</f>
        <v>4</v>
      </c>
      <c r="L15" s="17" t="str">
        <f>D15</f>
        <v>GD01</v>
      </c>
      <c r="M15" s="19" t="s">
        <v>113</v>
      </c>
      <c r="N15" s="19" t="s">
        <v>114</v>
      </c>
      <c r="O15" s="19" t="s">
        <v>115</v>
      </c>
      <c r="P15" s="19" t="s">
        <v>112</v>
      </c>
      <c r="R15" s="52" t="s">
        <v>116</v>
      </c>
      <c r="S15" s="52" t="s">
        <v>117</v>
      </c>
      <c r="T15" s="52" t="s">
        <v>118</v>
      </c>
      <c r="U15" s="52" t="s">
        <v>79</v>
      </c>
      <c r="W15" s="51" t="str">
        <f t="shared" si="0"/>
        <v>Govern</v>
      </c>
      <c r="X15" s="19" t="str">
        <f t="shared" si="1"/>
        <v>Gestió de recursos humans</v>
      </c>
      <c r="Y15" s="19" t="str">
        <f t="shared" si="2"/>
        <v/>
      </c>
      <c r="Z15" s="19">
        <f t="shared" si="4"/>
        <v>4</v>
      </c>
      <c r="AA15" s="50"/>
    </row>
    <row r="16" spans="2:28" ht="101.5" x14ac:dyDescent="0.35">
      <c r="D16" s="68" t="s">
        <v>119</v>
      </c>
      <c r="E16" s="69"/>
      <c r="F16" s="71" t="s">
        <v>120</v>
      </c>
      <c r="G16" s="72" t="s">
        <v>121</v>
      </c>
      <c r="H16" s="73"/>
      <c r="I16" s="73"/>
      <c r="J16" s="15">
        <f>SUMIF(M16:P16,G16,$M$5:$P$5)</f>
        <v>4</v>
      </c>
      <c r="L16" s="17" t="str">
        <f t="shared" ref="L16:L17" si="6">D16</f>
        <v>GD02</v>
      </c>
      <c r="M16" s="19" t="s">
        <v>122</v>
      </c>
      <c r="N16" s="19" t="s">
        <v>123</v>
      </c>
      <c r="O16" s="19" t="s">
        <v>124</v>
      </c>
      <c r="P16" s="19" t="s">
        <v>121</v>
      </c>
      <c r="R16" s="52" t="s">
        <v>125</v>
      </c>
      <c r="S16" s="52" t="s">
        <v>126</v>
      </c>
      <c r="T16" s="52" t="s">
        <v>127</v>
      </c>
      <c r="U16" s="52" t="s">
        <v>79</v>
      </c>
      <c r="W16" s="51" t="str">
        <f t="shared" si="0"/>
        <v>Govern</v>
      </c>
      <c r="X16" s="19" t="str">
        <f t="shared" si="1"/>
        <v>Gestió de recursos humans</v>
      </c>
      <c r="Y16" s="19" t="str">
        <f t="shared" si="2"/>
        <v/>
      </c>
      <c r="Z16" s="19">
        <f t="shared" si="4"/>
        <v>4</v>
      </c>
      <c r="AA16" s="50"/>
    </row>
    <row r="17" spans="2:27" ht="72.5" x14ac:dyDescent="0.35">
      <c r="D17" s="68" t="s">
        <v>128</v>
      </c>
      <c r="E17" s="69"/>
      <c r="F17" s="71" t="s">
        <v>129</v>
      </c>
      <c r="G17" s="72" t="s">
        <v>130</v>
      </c>
      <c r="H17" s="73"/>
      <c r="I17" s="73"/>
      <c r="J17" s="15">
        <f>SUMIF(M17:P17,G17,$M$5:$P$5)</f>
        <v>3</v>
      </c>
      <c r="L17" s="17" t="str">
        <f t="shared" si="6"/>
        <v>GD03</v>
      </c>
      <c r="M17" s="19" t="s">
        <v>122</v>
      </c>
      <c r="N17" s="19" t="s">
        <v>131</v>
      </c>
      <c r="O17" s="19" t="s">
        <v>130</v>
      </c>
      <c r="P17" s="19" t="s">
        <v>132</v>
      </c>
      <c r="R17" s="52" t="s">
        <v>133</v>
      </c>
      <c r="S17" s="52" t="s">
        <v>134</v>
      </c>
      <c r="T17" s="52" t="s">
        <v>135</v>
      </c>
      <c r="U17" s="52" t="s">
        <v>79</v>
      </c>
      <c r="W17" s="51" t="str">
        <f t="shared" si="0"/>
        <v>Govern</v>
      </c>
      <c r="X17" s="19" t="str">
        <f t="shared" si="1"/>
        <v>Gestió de recursos humans</v>
      </c>
      <c r="Y17" s="19" t="str">
        <f t="shared" si="2"/>
        <v>3 -  És interessant garantir l'autoritat i visibilitat dels Propietaris de dades, assegurant que tingui els recursos i que s'implementen activitats de millora contínua.</v>
      </c>
      <c r="Z17" s="19">
        <f t="shared" si="4"/>
        <v>3</v>
      </c>
      <c r="AA17" s="50"/>
    </row>
    <row r="18" spans="2:27" s="8" customFormat="1" ht="52.5" customHeight="1" x14ac:dyDescent="0.6">
      <c r="B18" s="70" t="s">
        <v>136</v>
      </c>
      <c r="C18" s="7"/>
      <c r="E18" s="7"/>
      <c r="F18" s="7"/>
      <c r="G18" s="7"/>
      <c r="H18" s="7"/>
      <c r="I18" s="7"/>
      <c r="J18" s="57">
        <f>AVERAGE(J19,J22,J24,J27,J29)</f>
        <v>1.4</v>
      </c>
      <c r="L18" s="16"/>
      <c r="M18" s="17"/>
      <c r="N18" s="17"/>
      <c r="O18" s="17"/>
      <c r="P18" s="17"/>
      <c r="R18" s="17"/>
      <c r="S18" s="17"/>
      <c r="T18" s="17"/>
      <c r="U18" s="17"/>
      <c r="W18" s="17" t="str">
        <f t="shared" ref="W18" si="7">IF(B17="",W17,B17)</f>
        <v>Govern</v>
      </c>
      <c r="X18" s="107" t="str">
        <f t="shared" ref="X18" si="8">IF(E18="",X17,E18)</f>
        <v>Gestió de recursos humans</v>
      </c>
      <c r="Y18" s="17"/>
      <c r="Z18" s="17"/>
      <c r="AA18" s="50"/>
    </row>
    <row r="19" spans="2:27" ht="27.65" customHeight="1" x14ac:dyDescent="0.45">
      <c r="E19" s="67" t="s">
        <v>137</v>
      </c>
      <c r="F19" s="66"/>
      <c r="G19" s="66"/>
      <c r="H19" s="66"/>
      <c r="I19" s="66"/>
      <c r="J19" s="56">
        <f>SUM(J20:J21)/COUNT(J20:J21)</f>
        <v>1.5</v>
      </c>
      <c r="L19" s="17"/>
      <c r="M19" s="54"/>
      <c r="N19" s="54"/>
      <c r="O19" s="54"/>
      <c r="P19" s="54"/>
      <c r="R19" s="55"/>
      <c r="S19" s="55"/>
      <c r="T19" s="55"/>
      <c r="U19" s="55"/>
      <c r="W19" s="51" t="str">
        <f>IF(B18="",W18,B18)</f>
        <v>Gestió de dades</v>
      </c>
      <c r="X19" s="19" t="str">
        <f>IF(E19="",X18,E19)</f>
        <v>Gestió de seguretat de dades</v>
      </c>
      <c r="Y19" s="55"/>
      <c r="Z19" s="55"/>
      <c r="AA19" s="50"/>
    </row>
    <row r="20" spans="2:27" ht="145" x14ac:dyDescent="0.35">
      <c r="D20" s="68" t="s">
        <v>138</v>
      </c>
      <c r="E20" s="69"/>
      <c r="F20" s="71" t="s">
        <v>139</v>
      </c>
      <c r="G20" s="72" t="s">
        <v>140</v>
      </c>
      <c r="H20" s="73"/>
      <c r="I20" s="73"/>
      <c r="J20" s="15">
        <f>SUMIF(M20:P20,G20,$M$5:$P$5)</f>
        <v>2</v>
      </c>
      <c r="L20" s="17" t="str">
        <f t="shared" ref="L20" si="9">D20</f>
        <v>MA01</v>
      </c>
      <c r="M20" s="19" t="s">
        <v>141</v>
      </c>
      <c r="N20" s="19" t="s">
        <v>140</v>
      </c>
      <c r="O20" s="19" t="s">
        <v>142</v>
      </c>
      <c r="P20" s="19" t="s">
        <v>143</v>
      </c>
      <c r="R20" s="52" t="s">
        <v>144</v>
      </c>
      <c r="S20" s="52" t="s">
        <v>145</v>
      </c>
      <c r="T20" s="52" t="s">
        <v>146</v>
      </c>
      <c r="U20" s="52" t="s">
        <v>69</v>
      </c>
      <c r="W20" s="51" t="str">
        <f t="shared" ref="W20:W21" si="10">IF(B19="",W19,B19)</f>
        <v>Gestió de dades</v>
      </c>
      <c r="X20" s="19" t="str">
        <f t="shared" ref="X20:X21" si="11">IF(E20="",X19,E20)</f>
        <v>Gestió de seguretat de dades</v>
      </c>
      <c r="Y20" s="19" t="str">
        <f>IF(OR($G20=$M20,$G20=""),CONCATENATE(J20," - ",$R20),IF($G20=$N20,CONCATENATE(J20," - ",$S20),IF($G20=$O20,CONCATENATE(J20," - ",$T20),"")))</f>
        <v>2 - Divulgar les Polítiques de seguretat i privadesa entre el personal per tal que aquestes siguin conegudes, i fer avaluacions periòdiques del seu compliment</v>
      </c>
      <c r="Z20" s="19">
        <f t="shared" si="4"/>
        <v>2</v>
      </c>
      <c r="AA20" s="50"/>
    </row>
    <row r="21" spans="2:27" ht="116" x14ac:dyDescent="0.35">
      <c r="D21" s="68" t="s">
        <v>147</v>
      </c>
      <c r="E21" s="69"/>
      <c r="F21" s="71" t="s">
        <v>148</v>
      </c>
      <c r="G21" s="72" t="s">
        <v>149</v>
      </c>
      <c r="H21" s="73"/>
      <c r="I21" s="73"/>
      <c r="J21" s="15">
        <f>SUMIF(M21:P21,G21,$M$5:$P$5)</f>
        <v>1</v>
      </c>
      <c r="L21" s="17" t="str">
        <f>D21</f>
        <v>MA02</v>
      </c>
      <c r="M21" s="19" t="s">
        <v>149</v>
      </c>
      <c r="N21" s="19" t="s">
        <v>150</v>
      </c>
      <c r="O21" s="19" t="s">
        <v>151</v>
      </c>
      <c r="P21" s="19" t="s">
        <v>152</v>
      </c>
      <c r="R21" s="52" t="s">
        <v>153</v>
      </c>
      <c r="S21" s="52" t="s">
        <v>154</v>
      </c>
      <c r="T21" s="52" t="s">
        <v>155</v>
      </c>
      <c r="U21" s="52" t="s">
        <v>79</v>
      </c>
      <c r="W21" s="51" t="str">
        <f t="shared" si="10"/>
        <v>Gestió de dades</v>
      </c>
      <c r="X21" s="19" t="str">
        <f t="shared" si="11"/>
        <v>Gestió de seguretat de dades</v>
      </c>
      <c r="Y21" s="19" t="str">
        <f>IF(OR($G21=$M21,$G21=""),CONCATENATE(J21," - ",$R21),IF($G21=$N21,CONCATENATE(J21," - ",$S21),IF($G21=$O21,CONCATENATE(J21," - ",$T21),"")))</f>
        <v>1 - Identificar i classificar les dades clau en funció de la seva sensibilitat</v>
      </c>
      <c r="Z21" s="19">
        <f t="shared" si="4"/>
        <v>1</v>
      </c>
      <c r="AA21" s="50"/>
    </row>
    <row r="22" spans="2:27" ht="27.65" customHeight="1" x14ac:dyDescent="0.45">
      <c r="E22" s="67" t="s">
        <v>156</v>
      </c>
      <c r="F22" s="66"/>
      <c r="G22" s="66"/>
      <c r="H22" s="66"/>
      <c r="I22" s="66"/>
      <c r="J22" s="56">
        <f>SUM(J23)/COUNT(J23)</f>
        <v>1</v>
      </c>
      <c r="L22" s="17"/>
      <c r="M22" s="54"/>
      <c r="N22" s="54"/>
      <c r="O22" s="54"/>
      <c r="P22" s="54"/>
      <c r="R22" s="55"/>
      <c r="S22" s="55"/>
      <c r="T22" s="55"/>
      <c r="U22" s="55"/>
      <c r="W22" s="51" t="str">
        <f>IF(B21="",W21,B21)</f>
        <v>Gestió de dades</v>
      </c>
      <c r="X22" s="19" t="str">
        <f>IF(E22="",X21,E22)</f>
        <v>Gestió de dades històriques</v>
      </c>
      <c r="Y22" s="55"/>
      <c r="Z22" s="55"/>
      <c r="AA22" s="50"/>
    </row>
    <row r="23" spans="2:27" ht="72.5" x14ac:dyDescent="0.35">
      <c r="D23" s="68" t="s">
        <v>157</v>
      </c>
      <c r="E23" s="69"/>
      <c r="F23" s="71" t="s">
        <v>158</v>
      </c>
      <c r="G23" s="72" t="s">
        <v>159</v>
      </c>
      <c r="H23" s="73"/>
      <c r="I23" s="73"/>
      <c r="J23" s="15">
        <f>SUMIF(M23:P23,G23,$M$5:$P$5)</f>
        <v>1</v>
      </c>
      <c r="L23" s="17" t="str">
        <f t="shared" ref="L23" si="12">D23</f>
        <v>MB01</v>
      </c>
      <c r="M23" s="19" t="s">
        <v>159</v>
      </c>
      <c r="N23" s="19" t="s">
        <v>160</v>
      </c>
      <c r="O23" s="19" t="s">
        <v>161</v>
      </c>
      <c r="P23" s="19" t="s">
        <v>162</v>
      </c>
      <c r="R23" s="52" t="s">
        <v>163</v>
      </c>
      <c r="S23" s="52" t="s">
        <v>164</v>
      </c>
      <c r="T23" s="52" t="s">
        <v>165</v>
      </c>
      <c r="U23" s="52" t="s">
        <v>69</v>
      </c>
      <c r="W23" s="51" t="str">
        <f t="shared" ref="W23" si="13">IF(B22="",W22,B22)</f>
        <v>Gestió de dades</v>
      </c>
      <c r="X23" s="19" t="str">
        <f t="shared" ref="X23" si="14">IF(E23="",X22,E23)</f>
        <v>Gestió de dades històriques</v>
      </c>
      <c r="Y23" s="19" t="str">
        <f>IF(OR($G23=$M23,$G23=""),CONCATENATE(J23," - ",$R23),IF($G23=$N23,CONCATENATE(J23," - ",$S23),IF($G23=$O23,CONCATENATE(J23," - ",$T23),"")))</f>
        <v>1 - Definir les Polítiques d'arxivat i restauració de dades . Per tal de fer aquest camí més senzill i aprofitant l'experiència de la DIBA, aquesta facilita el procediment d'adhesió a les seves Polítiques.</v>
      </c>
      <c r="Z23" s="19">
        <f t="shared" si="4"/>
        <v>1</v>
      </c>
      <c r="AA23" s="50"/>
    </row>
    <row r="24" spans="2:27" ht="27.65" customHeight="1" x14ac:dyDescent="0.45">
      <c r="E24" s="67" t="s">
        <v>166</v>
      </c>
      <c r="F24" s="66"/>
      <c r="G24" s="66"/>
      <c r="H24" s="66"/>
      <c r="I24" s="66"/>
      <c r="J24" s="56">
        <f>SUM(J25:J26)/COUNT(J25:J26)</f>
        <v>1.5</v>
      </c>
      <c r="L24" s="17"/>
      <c r="M24" s="54"/>
      <c r="N24" s="54"/>
      <c r="O24" s="54"/>
      <c r="P24" s="54"/>
      <c r="R24" s="55"/>
      <c r="S24" s="55"/>
      <c r="T24" s="55"/>
      <c r="U24" s="55"/>
      <c r="W24" s="51" t="str">
        <f>IF(B23="",W23,B23)</f>
        <v>Gestió de dades</v>
      </c>
      <c r="X24" s="19" t="str">
        <f>IF(E24="",X23,E24)</f>
        <v>Gestió de fonts i destinacions de dades</v>
      </c>
      <c r="Y24" s="55"/>
      <c r="Z24" s="55"/>
      <c r="AA24" s="50"/>
    </row>
    <row r="25" spans="2:27" ht="130.5" x14ac:dyDescent="0.35">
      <c r="D25" s="68" t="s">
        <v>167</v>
      </c>
      <c r="E25" s="69"/>
      <c r="F25" s="71" t="s">
        <v>168</v>
      </c>
      <c r="G25" s="72" t="s">
        <v>169</v>
      </c>
      <c r="H25" s="73"/>
      <c r="I25" s="73"/>
      <c r="J25" s="15">
        <f>SUMIF(M25:P25,G25,$M$5:$P$5)</f>
        <v>2</v>
      </c>
      <c r="L25" s="17" t="str">
        <f t="shared" ref="L25" si="15">D25</f>
        <v>MC01</v>
      </c>
      <c r="M25" s="19" t="s">
        <v>170</v>
      </c>
      <c r="N25" s="19" t="s">
        <v>169</v>
      </c>
      <c r="O25" s="19" t="s">
        <v>171</v>
      </c>
      <c r="P25" s="19" t="s">
        <v>172</v>
      </c>
      <c r="R25" s="19" t="s">
        <v>173</v>
      </c>
      <c r="S25" s="52" t="s">
        <v>174</v>
      </c>
      <c r="T25" s="52" t="s">
        <v>175</v>
      </c>
      <c r="U25" s="52" t="s">
        <v>69</v>
      </c>
      <c r="W25" s="51" t="str">
        <f t="shared" ref="W25:W26" si="16">IF(B24="",W24,B24)</f>
        <v>Gestió de dades</v>
      </c>
      <c r="X25" s="19" t="str">
        <f t="shared" ref="X25:X26" si="17">IF(E25="",X24,E25)</f>
        <v>Gestió de fonts i destinacions de dades</v>
      </c>
      <c r="Y25" s="19" t="str">
        <f>IF(OR($G25=$M25,$G25=""),CONCATENATE(J25," - ",$R25),IF($G25=$N25,CONCATENATE(J25," - ",$S25),IF($G25=$O25,CONCATENATE(J25," - ",$T25),"")))</f>
        <v>2 - Ampliar l'Inventari de dades a totes les dades clau, i difondre i promoure la seva utilització</v>
      </c>
      <c r="Z25" s="19">
        <f t="shared" si="4"/>
        <v>2</v>
      </c>
      <c r="AA25" s="50"/>
    </row>
    <row r="26" spans="2:27" ht="116" x14ac:dyDescent="0.35">
      <c r="D26" s="68" t="s">
        <v>176</v>
      </c>
      <c r="E26" s="69"/>
      <c r="F26" s="71" t="s">
        <v>177</v>
      </c>
      <c r="G26" s="72" t="s">
        <v>178</v>
      </c>
      <c r="H26" s="73"/>
      <c r="I26" s="73"/>
      <c r="J26" s="15">
        <f>SUMIF(M26:P26,G26,$M$5:$P$5)</f>
        <v>1</v>
      </c>
      <c r="L26" s="17" t="str">
        <f>D26</f>
        <v>MC02</v>
      </c>
      <c r="M26" s="19" t="s">
        <v>178</v>
      </c>
      <c r="N26" s="19" t="s">
        <v>179</v>
      </c>
      <c r="O26" s="19" t="s">
        <v>180</v>
      </c>
      <c r="P26" s="19" t="s">
        <v>181</v>
      </c>
      <c r="R26" s="52" t="s">
        <v>182</v>
      </c>
      <c r="S26" s="52" t="s">
        <v>183</v>
      </c>
      <c r="T26" s="52" t="s">
        <v>184</v>
      </c>
      <c r="U26" s="52" t="s">
        <v>79</v>
      </c>
      <c r="W26" s="51" t="str">
        <f t="shared" si="16"/>
        <v>Gestió de dades</v>
      </c>
      <c r="X26" s="19" t="str">
        <f t="shared" si="17"/>
        <v>Gestió de fonts i destinacions de dades</v>
      </c>
      <c r="Y26" s="19" t="str">
        <f>IF(OR($G26=$M26,$G26=""),CONCATENATE(J26," - ",$R26),IF($G26=$N26,CONCATENATE(J26," - ",$S26),IF($G26=$O26,CONCATENATE(J26," - ",$T26),"")))</f>
        <v>1 - Identificar les fonts de dades externes i les dades associades per tal de poder fer una gestió específica d'aquestes</v>
      </c>
      <c r="Z26" s="19">
        <f t="shared" si="4"/>
        <v>1</v>
      </c>
      <c r="AA26" s="50"/>
    </row>
    <row r="27" spans="2:27" ht="43.5" x14ac:dyDescent="0.45">
      <c r="E27" s="67" t="s">
        <v>185</v>
      </c>
      <c r="F27" s="66"/>
      <c r="G27" s="66"/>
      <c r="H27" s="66"/>
      <c r="I27" s="66"/>
      <c r="J27" s="56">
        <f>SUM(J28)/COUNT(J28)</f>
        <v>1</v>
      </c>
      <c r="L27" s="17"/>
      <c r="M27" s="54"/>
      <c r="N27" s="54"/>
      <c r="O27" s="54"/>
      <c r="P27" s="54"/>
      <c r="R27" s="55"/>
      <c r="S27" s="55"/>
      <c r="T27" s="55"/>
      <c r="U27" s="55"/>
      <c r="W27" s="51" t="str">
        <f t="shared" ref="W27:W37" si="18">IF(B26="",W26,B26)</f>
        <v>Gestió de dades</v>
      </c>
      <c r="X27" s="19" t="str">
        <f t="shared" ref="X27:X37" si="19">IF(E27="",X26,E27)</f>
        <v>Gestió de la integració de les dades</v>
      </c>
      <c r="Y27" s="55"/>
      <c r="Z27" s="55"/>
      <c r="AA27" s="50"/>
    </row>
    <row r="28" spans="2:27" ht="87" x14ac:dyDescent="0.35">
      <c r="D28" s="68" t="s">
        <v>186</v>
      </c>
      <c r="E28" s="69"/>
      <c r="F28" s="71" t="s">
        <v>187</v>
      </c>
      <c r="G28" s="72" t="s">
        <v>188</v>
      </c>
      <c r="H28" s="73"/>
      <c r="I28" s="73"/>
      <c r="J28" s="15">
        <f>SUMIF(M28:P28,G28,$M$5:$P$5)</f>
        <v>1</v>
      </c>
      <c r="L28" s="17" t="str">
        <f>D28</f>
        <v>MD01</v>
      </c>
      <c r="M28" s="19" t="s">
        <v>188</v>
      </c>
      <c r="N28" s="19" t="s">
        <v>189</v>
      </c>
      <c r="O28" s="19" t="s">
        <v>190</v>
      </c>
      <c r="P28" s="19" t="s">
        <v>191</v>
      </c>
      <c r="R28" s="52" t="s">
        <v>192</v>
      </c>
      <c r="S28" s="52" t="s">
        <v>193</v>
      </c>
      <c r="T28" s="52" t="s">
        <v>194</v>
      </c>
      <c r="U28" s="52" t="s">
        <v>69</v>
      </c>
      <c r="W28" s="51" t="str">
        <f t="shared" si="18"/>
        <v>Gestió de dades</v>
      </c>
      <c r="X28" s="19" t="str">
        <f t="shared" si="19"/>
        <v>Gestió de la integració de les dades</v>
      </c>
      <c r="Y28" s="19" t="str">
        <f>IF(OR($G28=$M28,$G28=""),CONCATENATE(J28," - ",$R28),IF($G28=$N28,CONCATENATE(J28," - ",$S28),IF($G28=$O28,CONCATENATE(J28," - ",$T28),"")))</f>
        <v>1 - Definir les Polítiques i procediments d'integració, gestió i utilització de les dades . Per tal de fer aquest camí més senzill i aprofitant l'experiència de la DIBA, aquesta facilita el procediment d'adhesió a les seves Polítiques.</v>
      </c>
      <c r="Z28" s="19">
        <f t="shared" si="4"/>
        <v>1</v>
      </c>
      <c r="AA28" s="50"/>
    </row>
    <row r="29" spans="2:27" ht="43.5" x14ac:dyDescent="0.45">
      <c r="E29" s="67" t="s">
        <v>195</v>
      </c>
      <c r="F29" s="66"/>
      <c r="G29" s="66"/>
      <c r="H29" s="66"/>
      <c r="I29" s="66"/>
      <c r="J29" s="56">
        <f>SUM(J30)/COUNT(J30)</f>
        <v>2</v>
      </c>
      <c r="L29" s="17"/>
      <c r="M29" s="54"/>
      <c r="N29" s="54"/>
      <c r="O29" s="54"/>
      <c r="P29" s="54"/>
      <c r="R29" s="55"/>
      <c r="S29" s="55"/>
      <c r="T29" s="55"/>
      <c r="U29" s="55"/>
      <c r="W29" s="51" t="str">
        <f t="shared" si="18"/>
        <v>Gestió de dades</v>
      </c>
      <c r="X29" s="19" t="str">
        <f t="shared" si="19"/>
        <v>Gestió de Dades Mestre i Dades de Referència</v>
      </c>
      <c r="Y29" s="55"/>
      <c r="Z29" s="55"/>
      <c r="AA29" s="50"/>
    </row>
    <row r="30" spans="2:27" ht="120" x14ac:dyDescent="0.35">
      <c r="D30" s="68" t="s">
        <v>196</v>
      </c>
      <c r="E30" s="69"/>
      <c r="F30" s="71" t="s">
        <v>197</v>
      </c>
      <c r="G30" s="72" t="s">
        <v>198</v>
      </c>
      <c r="H30" s="73"/>
      <c r="I30" s="73"/>
      <c r="J30" s="15">
        <f>SUMIF(M30:P30,G30,$M$5:$P$5)</f>
        <v>2</v>
      </c>
      <c r="L30" s="17" t="str">
        <f>D30</f>
        <v>ME01</v>
      </c>
      <c r="M30" s="19" t="s">
        <v>199</v>
      </c>
      <c r="N30" s="19" t="s">
        <v>198</v>
      </c>
      <c r="O30" s="19" t="s">
        <v>200</v>
      </c>
      <c r="P30" s="19" t="s">
        <v>201</v>
      </c>
      <c r="R30" s="52" t="s">
        <v>192</v>
      </c>
      <c r="S30" s="52" t="s">
        <v>193</v>
      </c>
      <c r="T30" s="52" t="s">
        <v>194</v>
      </c>
      <c r="U30" s="52" t="s">
        <v>69</v>
      </c>
      <c r="W30" s="51" t="str">
        <f t="shared" si="18"/>
        <v>Gestió de dades</v>
      </c>
      <c r="X30" s="19" t="str">
        <f t="shared" si="19"/>
        <v>Gestió de Dades Mestre i Dades de Referència</v>
      </c>
      <c r="Y30" s="19" t="str">
        <f>IF(OR($G30=$M30,$G30=""),CONCATENATE(J30," - ",$R30),IF($G30=$N30,CONCATENATE(J30," - ",$S30),IF($G30=$O30,CONCATENATE(J30," - ",$T30),"")))</f>
        <v>2 - Revisar i implicar al personal en l'aplicació de les Polítiques i procediments d'integració, gestió i utilització de les dades</v>
      </c>
      <c r="Z30" s="19">
        <f t="shared" si="4"/>
        <v>2</v>
      </c>
      <c r="AA30" s="50"/>
    </row>
    <row r="31" spans="2:27" s="8" customFormat="1" ht="43.5" x14ac:dyDescent="0.6">
      <c r="B31" s="70" t="s">
        <v>202</v>
      </c>
      <c r="C31" s="7"/>
      <c r="E31" s="7"/>
      <c r="F31" s="7"/>
      <c r="G31" s="7"/>
      <c r="H31" s="7"/>
      <c r="I31" s="7"/>
      <c r="J31" s="57">
        <f>AVERAGE(J32,J36,J34)</f>
        <v>1.3333333333333333</v>
      </c>
      <c r="L31" s="16"/>
      <c r="M31" s="17"/>
      <c r="N31" s="17"/>
      <c r="O31" s="17"/>
      <c r="P31" s="17"/>
      <c r="R31" s="17"/>
      <c r="S31" s="17"/>
      <c r="T31" s="17"/>
      <c r="U31" s="17"/>
      <c r="W31" s="17" t="str">
        <f t="shared" si="18"/>
        <v>Gestió de dades</v>
      </c>
      <c r="X31" s="107" t="str">
        <f t="shared" si="19"/>
        <v>Gestió de Dades Mestre i Dades de Referència</v>
      </c>
      <c r="Y31" s="17"/>
      <c r="Z31" s="17"/>
      <c r="AA31" s="50"/>
    </row>
    <row r="32" spans="2:27" ht="72.5" x14ac:dyDescent="0.45">
      <c r="E32" s="67" t="s">
        <v>59</v>
      </c>
      <c r="F32" s="66"/>
      <c r="G32" s="66"/>
      <c r="H32" s="66"/>
      <c r="I32" s="66"/>
      <c r="J32" s="56">
        <f>SUM(J33:J33)/COUNT(J33:J33)</f>
        <v>2</v>
      </c>
      <c r="L32" s="17"/>
      <c r="M32" s="54"/>
      <c r="N32" s="54"/>
      <c r="O32" s="54"/>
      <c r="P32" s="54"/>
      <c r="R32" s="55"/>
      <c r="S32" s="55"/>
      <c r="T32" s="55"/>
      <c r="U32" s="55"/>
      <c r="W32" s="51" t="str">
        <f t="shared" si="18"/>
        <v>Qualitat de la dada</v>
      </c>
      <c r="X32" s="19" t="str">
        <f t="shared" si="19"/>
        <v>Establiment d'estàndards, polítiques, bones pràctiques i procediments</v>
      </c>
      <c r="Y32" s="55"/>
      <c r="Z32" s="55"/>
      <c r="AA32" s="50"/>
    </row>
    <row r="33" spans="4:27" ht="101.5" x14ac:dyDescent="0.35">
      <c r="D33" s="68" t="s">
        <v>203</v>
      </c>
      <c r="E33" s="69"/>
      <c r="F33" s="71" t="s">
        <v>204</v>
      </c>
      <c r="G33" s="72" t="s">
        <v>205</v>
      </c>
      <c r="H33" s="73"/>
      <c r="I33" s="73"/>
      <c r="J33" s="15">
        <f>SUMIF(M33:P33,G33,$M$5:$P$5)</f>
        <v>2</v>
      </c>
      <c r="L33" s="17" t="str">
        <f>D33</f>
        <v>QA01</v>
      </c>
      <c r="M33" s="19" t="s">
        <v>206</v>
      </c>
      <c r="N33" s="19" t="s">
        <v>205</v>
      </c>
      <c r="O33" s="19" t="s">
        <v>207</v>
      </c>
      <c r="P33" s="19" t="s">
        <v>208</v>
      </c>
      <c r="R33" s="52" t="s">
        <v>209</v>
      </c>
      <c r="S33" s="52" t="s">
        <v>210</v>
      </c>
      <c r="T33" s="52" t="s">
        <v>211</v>
      </c>
      <c r="U33" s="52" t="s">
        <v>69</v>
      </c>
      <c r="W33" s="51" t="str">
        <f t="shared" si="18"/>
        <v>Qualitat de la dada</v>
      </c>
      <c r="X33" s="19" t="str">
        <f t="shared" si="19"/>
        <v>Establiment d'estàndards, polítiques, bones pràctiques i procediments</v>
      </c>
      <c r="Y33" s="19" t="str">
        <f>IF(OR($G33=$M33,$G33=""),CONCATENATE(J33," - ",$R33),IF($G33=$N33,CONCATENATE(J33," - ",$S33),IF($G33=$O33,CONCATENATE(J33," - ",$T33),"")))</f>
        <v xml:space="preserve">2 - Completar la documentació de requeriments de qualitat de les dades i valorar l'automatització de processos que ajudin a garantir la qualitat de les dades </v>
      </c>
      <c r="Z33" s="19">
        <f t="shared" si="4"/>
        <v>2</v>
      </c>
      <c r="AA33" s="50"/>
    </row>
    <row r="34" spans="4:27" ht="43.5" x14ac:dyDescent="0.45">
      <c r="E34" s="67" t="s">
        <v>212</v>
      </c>
      <c r="F34" s="66"/>
      <c r="G34" s="66"/>
      <c r="H34" s="66"/>
      <c r="I34" s="66"/>
      <c r="J34" s="56">
        <f>SUM(J35:J35)/COUNT(J35:J35)</f>
        <v>1</v>
      </c>
      <c r="L34" s="17"/>
      <c r="M34" s="54"/>
      <c r="N34" s="54"/>
      <c r="O34" s="54"/>
      <c r="P34" s="54"/>
      <c r="R34" s="55"/>
      <c r="S34" s="55"/>
      <c r="T34" s="55"/>
      <c r="U34" s="55"/>
      <c r="W34" s="51" t="str">
        <f t="shared" ref="W34" si="20">IF(B33="",W33,B33)</f>
        <v>Qualitat de la dada</v>
      </c>
      <c r="X34" s="19" t="str">
        <f t="shared" ref="X34" si="21">IF(E34="",X33,E34)</f>
        <v>Control i monitorització de la qualitat de les dades</v>
      </c>
      <c r="Y34" s="55"/>
      <c r="Z34" s="55"/>
      <c r="AA34" s="50"/>
    </row>
    <row r="35" spans="4:27" ht="130.5" x14ac:dyDescent="0.35">
      <c r="D35" s="68" t="s">
        <v>213</v>
      </c>
      <c r="E35" s="69"/>
      <c r="F35" s="71" t="s">
        <v>214</v>
      </c>
      <c r="G35" s="72" t="s">
        <v>215</v>
      </c>
      <c r="H35" s="73"/>
      <c r="I35" s="73"/>
      <c r="J35" s="15">
        <f>SUMIF(M35:P35,G35,$M$5:$P$5)</f>
        <v>1</v>
      </c>
      <c r="L35" s="17" t="str">
        <f>D35</f>
        <v>QB01</v>
      </c>
      <c r="M35" s="19" t="s">
        <v>215</v>
      </c>
      <c r="N35" s="19" t="s">
        <v>216</v>
      </c>
      <c r="O35" s="19" t="s">
        <v>217</v>
      </c>
      <c r="P35" s="19" t="s">
        <v>218</v>
      </c>
      <c r="R35" s="52" t="s">
        <v>219</v>
      </c>
      <c r="S35" s="52" t="s">
        <v>220</v>
      </c>
      <c r="T35" s="52" t="s">
        <v>221</v>
      </c>
      <c r="U35" s="52" t="s">
        <v>79</v>
      </c>
      <c r="W35" s="51" t="str">
        <f>IF(B33="",W33,B33)</f>
        <v>Qualitat de la dada</v>
      </c>
      <c r="X35" s="19" t="str">
        <f>IF(E35="",X33,E35)</f>
        <v>Establiment d'estàndards, polítiques, bones pràctiques i procediments</v>
      </c>
      <c r="Y35" s="19" t="str">
        <f>IF(OR($G35=$M35,$G35=""),CONCATENATE(J35," - ",$R35),IF($G35=$N35,CONCATENATE(J35," - ",$S35),IF($G35=$O35,CONCATENATE(J35," - ",$T35),"")))</f>
        <v xml:space="preserve">1 - Començar a fer seguiment actiu i monitorització de la qualitat de les dades </v>
      </c>
      <c r="Z35" s="19">
        <f t="shared" si="4"/>
        <v>1</v>
      </c>
      <c r="AA35" s="50"/>
    </row>
    <row r="36" spans="4:27" ht="29" x14ac:dyDescent="0.45">
      <c r="E36" s="67" t="s">
        <v>222</v>
      </c>
      <c r="F36" s="66"/>
      <c r="G36" s="66"/>
      <c r="H36" s="66"/>
      <c r="I36" s="66"/>
      <c r="J36" s="56">
        <f>SUM(J37:J37)/COUNT(J37:J37)</f>
        <v>1</v>
      </c>
      <c r="L36" s="17"/>
      <c r="M36" s="54"/>
      <c r="N36" s="54"/>
      <c r="O36" s="54"/>
      <c r="P36" s="54"/>
      <c r="R36" s="55"/>
      <c r="S36" s="55"/>
      <c r="T36" s="55"/>
      <c r="U36" s="55"/>
      <c r="W36" s="51" t="str">
        <f t="shared" si="18"/>
        <v>Qualitat de la dada</v>
      </c>
      <c r="X36" s="19" t="str">
        <f t="shared" si="19"/>
        <v>Planificació de la qualitat de les dades</v>
      </c>
      <c r="Y36" s="55"/>
      <c r="Z36" s="55"/>
      <c r="AA36" s="50"/>
    </row>
    <row r="37" spans="4:27" ht="116" x14ac:dyDescent="0.35">
      <c r="D37" s="68" t="s">
        <v>223</v>
      </c>
      <c r="E37" s="69"/>
      <c r="F37" s="71" t="s">
        <v>224</v>
      </c>
      <c r="G37" s="72" t="s">
        <v>225</v>
      </c>
      <c r="H37" s="73"/>
      <c r="I37" s="73"/>
      <c r="J37" s="15">
        <f>SUMIF(M37:P37,G37,$M$5:$P$5)</f>
        <v>1</v>
      </c>
      <c r="L37" s="17" t="str">
        <f>D37</f>
        <v>QC01</v>
      </c>
      <c r="M37" s="19" t="s">
        <v>225</v>
      </c>
      <c r="N37" s="19" t="s">
        <v>226</v>
      </c>
      <c r="O37" s="19" t="s">
        <v>227</v>
      </c>
      <c r="P37" s="19" t="s">
        <v>228</v>
      </c>
      <c r="R37" s="52" t="s">
        <v>229</v>
      </c>
      <c r="S37" s="52" t="s">
        <v>230</v>
      </c>
      <c r="T37" s="52" t="s">
        <v>231</v>
      </c>
      <c r="U37" s="52" t="s">
        <v>69</v>
      </c>
      <c r="W37" s="51" t="str">
        <f t="shared" si="18"/>
        <v>Qualitat de la dada</v>
      </c>
      <c r="X37" s="19" t="str">
        <f t="shared" si="19"/>
        <v>Planificació de la qualitat de les dades</v>
      </c>
      <c r="Y37" s="19" t="str">
        <f>IF(OR($G37=$M37,$G37=""),CONCATENATE(J37," - ",$R37),IF($G37=$N37,CONCATENATE(J37," - ",$S37),IF($G37=$O37,CONCATENATE(J37," - ",$T37),"")))</f>
        <v>1 - Preparar un pla d'assegurament de la qualitat de les dades, que inicialment posi el focus en les dades crítiques i dades clau</v>
      </c>
      <c r="Z37" s="19">
        <f t="shared" si="4"/>
        <v>1</v>
      </c>
      <c r="AA37" s="50"/>
    </row>
  </sheetData>
  <mergeCells count="3">
    <mergeCell ref="I1:I2"/>
    <mergeCell ref="M4:P4"/>
    <mergeCell ref="R4:U4"/>
  </mergeCells>
  <dataValidations count="1">
    <dataValidation type="list" allowBlank="1" showInputMessage="1" showErrorMessage="1" sqref="G7:G17 G19:G30 G32:G37" xr:uid="{624A96FF-C89C-4C78-AFD4-4878DC43580B}">
      <formula1>M7:P7</formula1>
    </dataValidation>
  </dataValidations>
  <pageMargins left="0.70866141732283472" right="0.70866141732283472" top="0.74803149606299213" bottom="0.74803149606299213" header="0.31496062992125984" footer="0.31496062992125984"/>
  <pageSetup paperSize="9" scale="44" orientation="portrait" r:id="rId1"/>
  <headerFooter>
    <oddFooter>&amp;L_x000D_&amp;1#&amp;"Tahoma"&amp;9&amp;KCF022B C2 – Uso Restringida</oddFooter>
  </headerFooter>
  <colBreaks count="1" manualBreakCount="1">
    <brk id="10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8BDD6-ABE9-491C-A619-743DE3C92A02}">
  <dimension ref="B1:P16"/>
  <sheetViews>
    <sheetView zoomScaleNormal="100" workbookViewId="0">
      <pane ySplit="6" topLeftCell="A7" activePane="bottomLeft" state="frozen"/>
      <selection pane="bottomLeft" activeCell="D7" sqref="D7"/>
    </sheetView>
  </sheetViews>
  <sheetFormatPr defaultColWidth="10.90625" defaultRowHeight="14.5" x14ac:dyDescent="0.35"/>
  <cols>
    <col min="1" max="2" width="2.54296875" style="2" customWidth="1"/>
    <col min="3" max="3" width="6" style="2" bestFit="1" customWidth="1"/>
    <col min="4" max="4" width="41.36328125" style="1" customWidth="1"/>
    <col min="5" max="5" width="20.453125" style="2" customWidth="1"/>
    <col min="6" max="7" width="43.90625" style="2" customWidth="1"/>
    <col min="8" max="8" width="5.08984375" style="2" customWidth="1"/>
    <col min="9" max="10" width="10.90625" style="2"/>
    <col min="11" max="11" width="9.54296875" style="2" customWidth="1"/>
    <col min="12" max="14" width="24.54296875" style="2" customWidth="1"/>
    <col min="15" max="15" width="2" style="2" customWidth="1"/>
    <col min="16" max="16384" width="10.90625" style="2"/>
  </cols>
  <sheetData>
    <row r="1" spans="2:16" x14ac:dyDescent="0.35">
      <c r="G1" s="122"/>
    </row>
    <row r="2" spans="2:16" ht="26.5" thickBot="1" x14ac:dyDescent="0.4">
      <c r="B2" s="3" t="s">
        <v>136</v>
      </c>
      <c r="C2" s="3"/>
      <c r="D2" s="4"/>
      <c r="E2" s="5"/>
      <c r="F2" s="5"/>
      <c r="G2" s="123"/>
      <c r="H2" s="9">
        <f>H6/P6</f>
        <v>0</v>
      </c>
    </row>
    <row r="3" spans="2:16" ht="26.5" thickTop="1" x14ac:dyDescent="0.35">
      <c r="B3" s="7"/>
      <c r="C3" s="7"/>
      <c r="H3" s="11"/>
    </row>
    <row r="4" spans="2:16" ht="50.4" customHeight="1" x14ac:dyDescent="0.35">
      <c r="B4" s="7"/>
      <c r="C4" s="127" t="s">
        <v>232</v>
      </c>
      <c r="D4" s="127"/>
      <c r="E4" s="127"/>
      <c r="F4" s="127"/>
      <c r="G4" s="127"/>
      <c r="H4" s="22"/>
    </row>
    <row r="5" spans="2:16" ht="26" x14ac:dyDescent="0.35">
      <c r="B5" s="7"/>
      <c r="C5" s="7"/>
    </row>
    <row r="6" spans="2:16" s="8" customFormat="1" ht="26" x14ac:dyDescent="0.35">
      <c r="B6" s="7"/>
      <c r="C6" s="12" t="s">
        <v>48</v>
      </c>
      <c r="D6" s="12" t="s">
        <v>50</v>
      </c>
      <c r="E6" s="13" t="s">
        <v>51</v>
      </c>
      <c r="F6" s="13" t="s">
        <v>24</v>
      </c>
      <c r="G6" s="13" t="s">
        <v>52</v>
      </c>
      <c r="H6" s="14">
        <f>SUM(H7:H16)</f>
        <v>0</v>
      </c>
      <c r="J6" s="16"/>
      <c r="K6" s="17">
        <v>0</v>
      </c>
      <c r="L6" s="17">
        <v>1</v>
      </c>
      <c r="M6" s="17">
        <v>2</v>
      </c>
      <c r="N6" s="17">
        <v>3</v>
      </c>
      <c r="O6" s="18"/>
      <c r="P6" s="17">
        <f>SUM(P7:P16)</f>
        <v>26</v>
      </c>
    </row>
    <row r="7" spans="2:16" ht="29" x14ac:dyDescent="0.35">
      <c r="C7" s="10" t="s">
        <v>233</v>
      </c>
      <c r="D7" s="10" t="s">
        <v>234</v>
      </c>
      <c r="E7" s="21"/>
      <c r="F7" s="6"/>
      <c r="G7" s="6"/>
      <c r="H7" s="15">
        <f t="shared" ref="H7:H16" si="0">SUMIF(K7:N7,E7,$K$6:$N$6)</f>
        <v>0</v>
      </c>
      <c r="J7" s="17" t="s">
        <v>233</v>
      </c>
      <c r="K7" s="19" t="s">
        <v>235</v>
      </c>
      <c r="L7" s="19" t="s">
        <v>236</v>
      </c>
      <c r="M7" s="19" t="s">
        <v>237</v>
      </c>
      <c r="N7" s="19"/>
      <c r="O7" s="18"/>
      <c r="P7" s="19">
        <f t="shared" ref="P7:P16" si="1">COUNTA(L7:N7)</f>
        <v>2</v>
      </c>
    </row>
    <row r="8" spans="2:16" ht="29" x14ac:dyDescent="0.35">
      <c r="C8" s="10" t="s">
        <v>238</v>
      </c>
      <c r="D8" s="10" t="s">
        <v>239</v>
      </c>
      <c r="E8" s="21"/>
      <c r="F8" s="6"/>
      <c r="G8" s="6"/>
      <c r="H8" s="15">
        <f t="shared" si="0"/>
        <v>0</v>
      </c>
      <c r="J8" s="17" t="s">
        <v>238</v>
      </c>
      <c r="K8" s="19" t="s">
        <v>235</v>
      </c>
      <c r="L8" s="19" t="s">
        <v>240</v>
      </c>
      <c r="M8" s="19" t="s">
        <v>241</v>
      </c>
      <c r="N8" s="20"/>
      <c r="O8" s="18"/>
      <c r="P8" s="19">
        <f t="shared" si="1"/>
        <v>2</v>
      </c>
    </row>
    <row r="9" spans="2:16" ht="29" x14ac:dyDescent="0.35">
      <c r="C9" s="10" t="s">
        <v>242</v>
      </c>
      <c r="D9" s="10" t="s">
        <v>243</v>
      </c>
      <c r="E9" s="21"/>
      <c r="F9" s="6"/>
      <c r="G9" s="6"/>
      <c r="H9" s="15">
        <f t="shared" si="0"/>
        <v>0</v>
      </c>
      <c r="J9" s="17" t="s">
        <v>242</v>
      </c>
      <c r="K9" s="19" t="s">
        <v>235</v>
      </c>
      <c r="L9" s="19" t="s">
        <v>240</v>
      </c>
      <c r="M9" s="19" t="s">
        <v>244</v>
      </c>
      <c r="N9" s="19" t="s">
        <v>245</v>
      </c>
      <c r="O9" s="18"/>
      <c r="P9" s="19">
        <f t="shared" si="1"/>
        <v>3</v>
      </c>
    </row>
    <row r="10" spans="2:16" ht="43.5" x14ac:dyDescent="0.35">
      <c r="C10" s="10" t="s">
        <v>246</v>
      </c>
      <c r="D10" s="10" t="s">
        <v>247</v>
      </c>
      <c r="E10" s="21"/>
      <c r="F10" s="6"/>
      <c r="G10" s="6"/>
      <c r="H10" s="15">
        <f t="shared" si="0"/>
        <v>0</v>
      </c>
      <c r="J10" s="17" t="s">
        <v>246</v>
      </c>
      <c r="K10" s="19" t="s">
        <v>235</v>
      </c>
      <c r="L10" s="19" t="s">
        <v>248</v>
      </c>
      <c r="M10" s="19" t="s">
        <v>249</v>
      </c>
      <c r="N10" s="20" t="s">
        <v>250</v>
      </c>
      <c r="O10" s="18"/>
      <c r="P10" s="19">
        <f t="shared" si="1"/>
        <v>3</v>
      </c>
    </row>
    <row r="11" spans="2:16" ht="43.5" x14ac:dyDescent="0.35">
      <c r="C11" s="10" t="s">
        <v>251</v>
      </c>
      <c r="D11" s="10" t="s">
        <v>252</v>
      </c>
      <c r="E11" s="21"/>
      <c r="F11" s="6"/>
      <c r="G11" s="6"/>
      <c r="H11" s="15">
        <f t="shared" si="0"/>
        <v>0</v>
      </c>
      <c r="J11" s="17" t="s">
        <v>251</v>
      </c>
      <c r="K11" s="19" t="s">
        <v>235</v>
      </c>
      <c r="L11" s="19" t="s">
        <v>240</v>
      </c>
      <c r="M11" s="19" t="s">
        <v>244</v>
      </c>
      <c r="N11" s="20" t="s">
        <v>245</v>
      </c>
      <c r="O11" s="18"/>
      <c r="P11" s="19">
        <f t="shared" si="1"/>
        <v>3</v>
      </c>
    </row>
    <row r="12" spans="2:16" ht="58" x14ac:dyDescent="0.35">
      <c r="C12" s="10" t="s">
        <v>253</v>
      </c>
      <c r="D12" s="10" t="s">
        <v>254</v>
      </c>
      <c r="E12" s="21"/>
      <c r="F12" s="6"/>
      <c r="G12" s="6"/>
      <c r="H12" s="15">
        <f t="shared" si="0"/>
        <v>0</v>
      </c>
      <c r="J12" s="17" t="s">
        <v>253</v>
      </c>
      <c r="K12" s="19" t="s">
        <v>235</v>
      </c>
      <c r="L12" s="19" t="s">
        <v>240</v>
      </c>
      <c r="M12" s="19" t="s">
        <v>244</v>
      </c>
      <c r="N12" s="20" t="s">
        <v>245</v>
      </c>
      <c r="O12" s="18"/>
      <c r="P12" s="19">
        <f t="shared" si="1"/>
        <v>3</v>
      </c>
    </row>
    <row r="13" spans="2:16" ht="72.5" x14ac:dyDescent="0.35">
      <c r="C13" s="10" t="s">
        <v>255</v>
      </c>
      <c r="D13" s="10" t="s">
        <v>256</v>
      </c>
      <c r="E13" s="21"/>
      <c r="F13" s="6"/>
      <c r="G13" s="6"/>
      <c r="H13" s="15">
        <f t="shared" si="0"/>
        <v>0</v>
      </c>
      <c r="J13" s="17" t="s">
        <v>255</v>
      </c>
      <c r="K13" s="19" t="s">
        <v>235</v>
      </c>
      <c r="L13" s="19" t="s">
        <v>240</v>
      </c>
      <c r="M13" s="19" t="s">
        <v>244</v>
      </c>
      <c r="N13" s="20" t="s">
        <v>245</v>
      </c>
      <c r="O13" s="18"/>
      <c r="P13" s="19">
        <f t="shared" si="1"/>
        <v>3</v>
      </c>
    </row>
    <row r="14" spans="2:16" ht="43.5" x14ac:dyDescent="0.35">
      <c r="C14" s="10" t="s">
        <v>257</v>
      </c>
      <c r="D14" s="10" t="s">
        <v>258</v>
      </c>
      <c r="E14" s="21"/>
      <c r="F14" s="6"/>
      <c r="G14" s="6"/>
      <c r="H14" s="15">
        <f t="shared" si="0"/>
        <v>0</v>
      </c>
      <c r="J14" s="17" t="s">
        <v>257</v>
      </c>
      <c r="K14" s="19" t="s">
        <v>235</v>
      </c>
      <c r="L14" s="19" t="s">
        <v>259</v>
      </c>
      <c r="M14" s="19" t="s">
        <v>260</v>
      </c>
      <c r="N14" s="20"/>
      <c r="P14" s="19">
        <f t="shared" si="1"/>
        <v>2</v>
      </c>
    </row>
    <row r="15" spans="2:16" ht="58" x14ac:dyDescent="0.35">
      <c r="C15" s="10" t="s">
        <v>261</v>
      </c>
      <c r="D15" s="10" t="s">
        <v>262</v>
      </c>
      <c r="E15" s="21"/>
      <c r="F15" s="6"/>
      <c r="G15" s="6"/>
      <c r="H15" s="15">
        <f t="shared" si="0"/>
        <v>0</v>
      </c>
      <c r="J15" s="17" t="s">
        <v>261</v>
      </c>
      <c r="K15" s="19" t="s">
        <v>235</v>
      </c>
      <c r="L15" s="19" t="s">
        <v>263</v>
      </c>
      <c r="M15" s="19" t="s">
        <v>264</v>
      </c>
      <c r="N15" s="20"/>
      <c r="P15" s="19">
        <f t="shared" si="1"/>
        <v>2</v>
      </c>
    </row>
    <row r="16" spans="2:16" ht="43.5" x14ac:dyDescent="0.35">
      <c r="C16" s="10" t="s">
        <v>265</v>
      </c>
      <c r="D16" s="10" t="s">
        <v>266</v>
      </c>
      <c r="E16" s="21"/>
      <c r="F16" s="6"/>
      <c r="G16" s="6"/>
      <c r="H16" s="15">
        <f t="shared" si="0"/>
        <v>0</v>
      </c>
      <c r="J16" s="17" t="s">
        <v>265</v>
      </c>
      <c r="K16" s="19" t="s">
        <v>235</v>
      </c>
      <c r="L16" s="19" t="s">
        <v>267</v>
      </c>
      <c r="M16" s="19" t="s">
        <v>268</v>
      </c>
      <c r="N16" s="20" t="s">
        <v>269</v>
      </c>
      <c r="P16" s="19">
        <f t="shared" si="1"/>
        <v>3</v>
      </c>
    </row>
  </sheetData>
  <mergeCells count="2">
    <mergeCell ref="C4:G4"/>
    <mergeCell ref="G1:G2"/>
  </mergeCells>
  <phoneticPr fontId="5" type="noConversion"/>
  <dataValidations count="1">
    <dataValidation type="list" allowBlank="1" showInputMessage="1" showErrorMessage="1" sqref="E7:E13" xr:uid="{5FF10476-EF18-4636-B2E3-D41A53155A36}">
      <formula1>K7:N7</formula1>
    </dataValidation>
  </dataValidations>
  <pageMargins left="0.7" right="0.7" top="0.75" bottom="0.75" header="0.3" footer="0.3"/>
  <headerFooter>
    <oddFooter>&amp;L_x000D_&amp;1#&amp;"Tahoma"&amp;9&amp;KCF022B C2 – Uso Restringido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E3C79-3B1D-4A1F-B408-3352722751C8}">
  <dimension ref="B1:P13"/>
  <sheetViews>
    <sheetView zoomScaleNormal="100" workbookViewId="0">
      <pane ySplit="6" topLeftCell="A7" activePane="bottomLeft" state="frozen"/>
      <selection pane="bottomLeft" activeCell="C4" sqref="C4:H4"/>
    </sheetView>
  </sheetViews>
  <sheetFormatPr defaultColWidth="10.90625" defaultRowHeight="14.5" x14ac:dyDescent="0.35"/>
  <cols>
    <col min="1" max="2" width="2.54296875" style="2" customWidth="1"/>
    <col min="3" max="3" width="6" style="2" bestFit="1" customWidth="1"/>
    <col min="4" max="4" width="41.36328125" style="1" customWidth="1"/>
    <col min="5" max="5" width="20.453125" style="2" customWidth="1"/>
    <col min="6" max="7" width="43.90625" style="2" customWidth="1"/>
    <col min="8" max="8" width="5.08984375" style="2" customWidth="1"/>
    <col min="9" max="10" width="10.90625" style="2"/>
    <col min="11" max="11" width="9.54296875" style="2" customWidth="1"/>
    <col min="12" max="14" width="24.54296875" style="2" customWidth="1"/>
    <col min="15" max="15" width="2" style="2" customWidth="1"/>
    <col min="16" max="16384" width="10.90625" style="2"/>
  </cols>
  <sheetData>
    <row r="1" spans="2:16" x14ac:dyDescent="0.35">
      <c r="G1" s="122"/>
    </row>
    <row r="2" spans="2:16" ht="26.5" thickBot="1" x14ac:dyDescent="0.4">
      <c r="B2" s="3" t="s">
        <v>202</v>
      </c>
      <c r="C2" s="3"/>
      <c r="D2" s="4"/>
      <c r="E2" s="5"/>
      <c r="F2" s="5"/>
      <c r="G2" s="123"/>
      <c r="H2" s="9">
        <f>H6/P6</f>
        <v>6.25E-2</v>
      </c>
    </row>
    <row r="3" spans="2:16" ht="26.5" thickTop="1" x14ac:dyDescent="0.35">
      <c r="B3" s="7"/>
      <c r="C3" s="7"/>
      <c r="H3" s="11"/>
    </row>
    <row r="4" spans="2:16" ht="51.65" customHeight="1" x14ac:dyDescent="0.35">
      <c r="B4" s="7"/>
      <c r="C4" s="128" t="s">
        <v>270</v>
      </c>
      <c r="D4" s="128"/>
      <c r="E4" s="128"/>
      <c r="F4" s="128"/>
      <c r="G4" s="128"/>
      <c r="H4" s="128"/>
    </row>
    <row r="5" spans="2:16" ht="26" x14ac:dyDescent="0.35">
      <c r="B5" s="7"/>
      <c r="C5" s="7"/>
    </row>
    <row r="6" spans="2:16" s="8" customFormat="1" ht="26" x14ac:dyDescent="0.35">
      <c r="B6" s="7"/>
      <c r="C6" s="12" t="s">
        <v>48</v>
      </c>
      <c r="D6" s="12" t="s">
        <v>50</v>
      </c>
      <c r="E6" s="13" t="s">
        <v>51</v>
      </c>
      <c r="F6" s="13" t="s">
        <v>24</v>
      </c>
      <c r="G6" s="13" t="s">
        <v>52</v>
      </c>
      <c r="H6" s="14">
        <f>SUM(H7:H13)</f>
        <v>1</v>
      </c>
      <c r="J6" s="16"/>
      <c r="K6" s="17">
        <v>0</v>
      </c>
      <c r="L6" s="17">
        <v>1</v>
      </c>
      <c r="M6" s="17">
        <v>2</v>
      </c>
      <c r="N6" s="17">
        <v>3</v>
      </c>
      <c r="O6" s="18"/>
      <c r="P6" s="17">
        <f>SUM(P7:P14)</f>
        <v>16</v>
      </c>
    </row>
    <row r="7" spans="2:16" ht="43.5" x14ac:dyDescent="0.35">
      <c r="C7" s="10" t="s">
        <v>271</v>
      </c>
      <c r="D7" s="10" t="s">
        <v>272</v>
      </c>
      <c r="E7" s="21"/>
      <c r="F7" s="6"/>
      <c r="G7" s="6"/>
      <c r="H7" s="15">
        <f t="shared" ref="H7:H13" si="0">SUMIF(K7:N7,E7,$K$6:$N$6)</f>
        <v>0</v>
      </c>
      <c r="J7" s="17" t="str">
        <f t="shared" ref="J7:J13" si="1">C7</f>
        <v>QD.01</v>
      </c>
      <c r="K7" s="19" t="s">
        <v>273</v>
      </c>
      <c r="L7" s="19" t="s">
        <v>274</v>
      </c>
      <c r="M7" s="19" t="s">
        <v>275</v>
      </c>
      <c r="N7" s="19" t="s">
        <v>276</v>
      </c>
      <c r="O7" s="18"/>
      <c r="P7" s="19">
        <f t="shared" ref="P7:P13" si="2">COUNTA(L7:N7)</f>
        <v>3</v>
      </c>
    </row>
    <row r="8" spans="2:16" ht="29" x14ac:dyDescent="0.35">
      <c r="C8" s="10" t="s">
        <v>277</v>
      </c>
      <c r="D8" s="10" t="s">
        <v>278</v>
      </c>
      <c r="E8" s="21"/>
      <c r="F8" s="6"/>
      <c r="G8" s="6"/>
      <c r="H8" s="15">
        <f t="shared" si="0"/>
        <v>0</v>
      </c>
      <c r="J8" s="17" t="str">
        <f t="shared" si="1"/>
        <v>QD.02</v>
      </c>
      <c r="K8" s="19" t="s">
        <v>235</v>
      </c>
      <c r="L8" s="19" t="s">
        <v>240</v>
      </c>
      <c r="M8" s="19" t="s">
        <v>279</v>
      </c>
      <c r="N8" s="20"/>
      <c r="O8" s="18"/>
      <c r="P8" s="19">
        <f t="shared" si="2"/>
        <v>2</v>
      </c>
    </row>
    <row r="9" spans="2:16" ht="43.5" x14ac:dyDescent="0.35">
      <c r="C9" s="10" t="s">
        <v>280</v>
      </c>
      <c r="D9" s="10" t="s">
        <v>214</v>
      </c>
      <c r="E9" s="21" t="s">
        <v>274</v>
      </c>
      <c r="F9" s="6"/>
      <c r="G9" s="6"/>
      <c r="H9" s="15">
        <f t="shared" si="0"/>
        <v>1</v>
      </c>
      <c r="J9" s="17" t="str">
        <f t="shared" si="1"/>
        <v>QD.03</v>
      </c>
      <c r="K9" s="19" t="s">
        <v>235</v>
      </c>
      <c r="L9" s="19" t="s">
        <v>274</v>
      </c>
      <c r="M9" s="19" t="s">
        <v>275</v>
      </c>
      <c r="N9" s="19" t="s">
        <v>276</v>
      </c>
      <c r="O9" s="18"/>
      <c r="P9" s="19">
        <f t="shared" si="2"/>
        <v>3</v>
      </c>
    </row>
    <row r="10" spans="2:16" ht="43.5" x14ac:dyDescent="0.35">
      <c r="C10" s="10" t="s">
        <v>281</v>
      </c>
      <c r="D10" s="10" t="s">
        <v>282</v>
      </c>
      <c r="E10" s="21"/>
      <c r="F10" s="6"/>
      <c r="G10" s="6"/>
      <c r="H10" s="15">
        <f t="shared" si="0"/>
        <v>0</v>
      </c>
      <c r="J10" s="17" t="str">
        <f t="shared" si="1"/>
        <v>QD.04</v>
      </c>
      <c r="K10" s="19" t="s">
        <v>235</v>
      </c>
      <c r="L10" s="19" t="s">
        <v>283</v>
      </c>
      <c r="M10" s="19" t="s">
        <v>284</v>
      </c>
      <c r="N10" s="20"/>
      <c r="O10" s="18"/>
      <c r="P10" s="19">
        <f t="shared" si="2"/>
        <v>2</v>
      </c>
    </row>
    <row r="11" spans="2:16" ht="43.5" x14ac:dyDescent="0.35">
      <c r="C11" s="10" t="s">
        <v>285</v>
      </c>
      <c r="D11" s="10" t="s">
        <v>286</v>
      </c>
      <c r="E11" s="21"/>
      <c r="F11" s="6"/>
      <c r="G11" s="6"/>
      <c r="H11" s="15">
        <f t="shared" si="0"/>
        <v>0</v>
      </c>
      <c r="J11" s="17" t="str">
        <f t="shared" si="1"/>
        <v>QD.05</v>
      </c>
      <c r="K11" s="19" t="s">
        <v>235</v>
      </c>
      <c r="L11" s="19" t="s">
        <v>283</v>
      </c>
      <c r="M11" s="19" t="s">
        <v>284</v>
      </c>
      <c r="N11" s="20"/>
      <c r="O11" s="18"/>
      <c r="P11" s="19">
        <f t="shared" si="2"/>
        <v>2</v>
      </c>
    </row>
    <row r="12" spans="2:16" ht="43.5" x14ac:dyDescent="0.35">
      <c r="C12" s="10" t="s">
        <v>287</v>
      </c>
      <c r="D12" s="10" t="s">
        <v>288</v>
      </c>
      <c r="E12" s="21"/>
      <c r="F12" s="6"/>
      <c r="G12" s="6"/>
      <c r="H12" s="15">
        <f t="shared" si="0"/>
        <v>0</v>
      </c>
      <c r="J12" s="17" t="str">
        <f t="shared" si="1"/>
        <v>QD.06</v>
      </c>
      <c r="K12" s="19" t="s">
        <v>235</v>
      </c>
      <c r="L12" s="19" t="s">
        <v>283</v>
      </c>
      <c r="M12" s="19" t="s">
        <v>284</v>
      </c>
      <c r="N12" s="20"/>
      <c r="O12" s="18"/>
      <c r="P12" s="19">
        <f t="shared" si="2"/>
        <v>2</v>
      </c>
    </row>
    <row r="13" spans="2:16" ht="43.5" x14ac:dyDescent="0.35">
      <c r="C13" s="10" t="s">
        <v>289</v>
      </c>
      <c r="D13" s="10" t="s">
        <v>290</v>
      </c>
      <c r="E13" s="21"/>
      <c r="F13" s="6"/>
      <c r="G13" s="6"/>
      <c r="H13" s="15">
        <f t="shared" si="0"/>
        <v>0</v>
      </c>
      <c r="J13" s="17" t="str">
        <f t="shared" si="1"/>
        <v>QD.07</v>
      </c>
      <c r="K13" s="19" t="s">
        <v>235</v>
      </c>
      <c r="L13" s="19" t="s">
        <v>283</v>
      </c>
      <c r="M13" s="19" t="s">
        <v>284</v>
      </c>
      <c r="N13" s="20"/>
      <c r="O13" s="18"/>
      <c r="P13" s="19">
        <f t="shared" si="2"/>
        <v>2</v>
      </c>
    </row>
  </sheetData>
  <mergeCells count="2">
    <mergeCell ref="C4:H4"/>
    <mergeCell ref="G1:G2"/>
  </mergeCells>
  <phoneticPr fontId="5" type="noConversion"/>
  <dataValidations count="1">
    <dataValidation type="list" allowBlank="1" showInputMessage="1" showErrorMessage="1" sqref="E7:E13" xr:uid="{449696EB-D62C-4891-BABF-B8D0C2EDCA8D}">
      <formula1>K7:N7</formula1>
    </dataValidation>
  </dataValidations>
  <pageMargins left="0.7" right="0.7" top="0.75" bottom="0.75" header="0.3" footer="0.3"/>
  <headerFooter>
    <oddFooter>&amp;L_x000D_&amp;1#&amp;"Tahoma"&amp;9&amp;KCF022B C2 – Uso Restringido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05621-7D10-4AE6-87C7-280D8EE51A56}">
  <dimension ref="A1:T44"/>
  <sheetViews>
    <sheetView tabSelected="1" workbookViewId="0">
      <pane ySplit="5" topLeftCell="A6" activePane="bottomLeft" state="frozen"/>
      <selection pane="bottomLeft" activeCell="M6" sqref="M6"/>
    </sheetView>
  </sheetViews>
  <sheetFormatPr defaultColWidth="11.453125" defaultRowHeight="14.5" x14ac:dyDescent="0.35"/>
  <cols>
    <col min="1" max="1" width="2.54296875" style="37" customWidth="1"/>
    <col min="2" max="2" width="4.90625" style="40" customWidth="1"/>
    <col min="3" max="3" width="2.90625" style="40" customWidth="1"/>
    <col min="4" max="4" width="2.90625" style="111" customWidth="1"/>
    <col min="5" max="5" width="5.6328125" style="38" bestFit="1" customWidth="1"/>
    <col min="6" max="6" width="75.54296875" style="40" customWidth="1"/>
    <col min="7" max="7" width="10.90625" style="43" bestFit="1" customWidth="1"/>
    <col min="8" max="10" width="11.453125" style="40"/>
    <col min="11" max="11" width="24.453125" style="40" customWidth="1"/>
    <col min="12" max="14" width="11.453125" style="37"/>
    <col min="15" max="16384" width="11.453125" style="40"/>
  </cols>
  <sheetData>
    <row r="1" spans="1:20" s="2" customFormat="1" x14ac:dyDescent="0.35">
      <c r="D1" s="110"/>
      <c r="F1" s="1"/>
      <c r="I1" s="108"/>
      <c r="Q1" s="53"/>
      <c r="R1" s="53"/>
      <c r="S1" s="53"/>
      <c r="T1" s="53"/>
    </row>
    <row r="2" spans="1:20" s="2" customFormat="1" ht="26.5" thickBot="1" x14ac:dyDescent="0.4">
      <c r="B2" s="3" t="s">
        <v>0</v>
      </c>
      <c r="C2" s="3"/>
      <c r="D2" s="3"/>
      <c r="E2" s="112"/>
      <c r="F2" s="4"/>
      <c r="G2" s="4"/>
      <c r="H2" s="4"/>
      <c r="I2" s="4"/>
      <c r="J2" s="4"/>
      <c r="K2" s="4"/>
      <c r="Q2" s="53"/>
      <c r="R2" s="53"/>
      <c r="S2" s="53"/>
      <c r="T2" s="53"/>
    </row>
    <row r="3" spans="1:20" s="39" customFormat="1" ht="19" thickTop="1" x14ac:dyDescent="0.35">
      <c r="A3" s="26"/>
      <c r="B3" s="26"/>
      <c r="C3" s="26"/>
      <c r="D3" s="26"/>
      <c r="E3" s="113"/>
      <c r="G3" s="42"/>
    </row>
    <row r="4" spans="1:20" s="25" customFormat="1" ht="28" x14ac:dyDescent="0.35">
      <c r="A4" s="23"/>
      <c r="B4" s="28" t="s">
        <v>291</v>
      </c>
      <c r="C4" s="23"/>
      <c r="D4" s="65"/>
      <c r="E4" s="114"/>
      <c r="G4" s="41"/>
    </row>
    <row r="5" spans="1:20" s="25" customFormat="1" ht="29" x14ac:dyDescent="0.35">
      <c r="A5" s="23"/>
      <c r="B5" s="23"/>
      <c r="C5" s="23"/>
      <c r="D5" s="65"/>
      <c r="E5" s="23"/>
      <c r="G5" s="117" t="s">
        <v>692</v>
      </c>
      <c r="H5" s="117" t="s">
        <v>693</v>
      </c>
      <c r="I5" s="117" t="s">
        <v>696</v>
      </c>
      <c r="J5" s="117" t="s">
        <v>695</v>
      </c>
      <c r="K5" s="117" t="s">
        <v>703</v>
      </c>
    </row>
    <row r="6" spans="1:20" s="37" customFormat="1" ht="26" x14ac:dyDescent="0.6">
      <c r="B6" s="70" t="s">
        <v>55</v>
      </c>
      <c r="C6" s="7"/>
      <c r="D6" s="7"/>
      <c r="G6" s="38"/>
    </row>
    <row r="7" spans="1:20" s="37" customFormat="1" x14ac:dyDescent="0.35">
      <c r="B7" s="2"/>
      <c r="C7" s="2"/>
      <c r="D7" s="110" t="s">
        <v>59</v>
      </c>
      <c r="E7" s="2"/>
      <c r="G7" s="38"/>
    </row>
    <row r="8" spans="1:20" ht="29" x14ac:dyDescent="0.35">
      <c r="B8" s="2"/>
      <c r="C8" s="2"/>
      <c r="D8" s="110"/>
      <c r="E8" s="120" t="s">
        <v>60</v>
      </c>
      <c r="F8" s="121" t="str">
        <f>IF(VLOOKUP(E8,Qüestionari!D:Z,22,0)="","&lt;No aplica&gt;",VLOOKUP(E8,Qüestionari!D:Z,22,0))</f>
        <v>2 - Establir un marc de Govern del Dada unificat per garantir coherència i alineació entre àrees fent un treball de centralització de la governança i unificació de criteris.</v>
      </c>
      <c r="G8" s="115">
        <f>IF(VLOOKUP(E8,Qüestionari!D:Z,23,0)=4,"",VLOOKUP(E8,Qüestionari!D:Z,23,0))</f>
        <v>2</v>
      </c>
      <c r="H8" s="116" t="s">
        <v>694</v>
      </c>
      <c r="I8" s="116" t="s">
        <v>701</v>
      </c>
      <c r="J8" s="115">
        <f t="shared" ref="J8:J9" si="0">IF(AND(H8&lt;&gt;"",I8&lt;&gt;""),INT(LEFT(H8,1))+INT(LEFT(I8,1)),"")</f>
        <v>5</v>
      </c>
      <c r="K8" s="116" t="s">
        <v>705</v>
      </c>
    </row>
    <row r="9" spans="1:20" ht="58" x14ac:dyDescent="0.35">
      <c r="B9" s="2"/>
      <c r="C9" s="2"/>
      <c r="D9" s="110"/>
      <c r="E9" s="119" t="s">
        <v>70</v>
      </c>
      <c r="F9" s="121" t="str">
        <f>IF(VLOOKUP(E9,Qüestionari!D:Z,22,0)="","&lt;No aplica&gt;",VLOOKUP(E9,Qüestionari!D:Z,22,0))</f>
        <v>2 - Cal revisar que les Polítiques definides son aplicables, si es poden simplificar i assegurar un lideratge en l'àmbit del Govern de la dada. Addicionalment, seria positiu reforçar la comunicació, assegurar la capacitació dels implicats i portar a terme accions que facin que el Govern de la dada s'integri a la operació diària.</v>
      </c>
      <c r="G9" s="115">
        <f>IF(VLOOKUP(E9,Qüestionari!D:Z,23,0)=4,"",VLOOKUP(E9,Qüestionari!D:Z,23,0))</f>
        <v>2</v>
      </c>
      <c r="H9" s="116" t="s">
        <v>698</v>
      </c>
      <c r="I9" s="116" t="s">
        <v>699</v>
      </c>
      <c r="J9" s="115">
        <f t="shared" si="0"/>
        <v>2</v>
      </c>
      <c r="K9" s="116" t="s">
        <v>704</v>
      </c>
    </row>
    <row r="10" spans="1:20" x14ac:dyDescent="0.35">
      <c r="B10" s="2"/>
      <c r="C10" s="2"/>
      <c r="D10" s="110" t="s">
        <v>80</v>
      </c>
      <c r="E10" s="2"/>
      <c r="G10" s="40"/>
    </row>
    <row r="11" spans="1:20" x14ac:dyDescent="0.35">
      <c r="B11" s="2"/>
      <c r="C11" s="2"/>
      <c r="D11" s="110"/>
      <c r="E11" s="118" t="s">
        <v>81</v>
      </c>
      <c r="F11" s="121" t="str">
        <f>IF(VLOOKUP(E11,Qüestionari!D:Z,22,0)="","&lt;No aplica&gt;",VLOOKUP(E11,Qüestionari!D:Z,22,0))</f>
        <v>&lt;No aplica&gt;</v>
      </c>
      <c r="G11" s="115" t="str">
        <f>IF(VLOOKUP(E11,Qüestionari!D:Z,23,0)=4,"",VLOOKUP(E11,Qüestionari!D:Z,23,0))</f>
        <v/>
      </c>
      <c r="H11" s="116"/>
      <c r="I11" s="116"/>
      <c r="J11" s="115" t="str">
        <f t="shared" ref="J11:J12" si="1">IF(AND(H11&lt;&gt;"",I11&lt;&gt;""),INT(LEFT(H11,1))+INT(LEFT(I11,1)),"")</f>
        <v/>
      </c>
      <c r="K11" s="116"/>
    </row>
    <row r="12" spans="1:20" x14ac:dyDescent="0.35">
      <c r="B12" s="2"/>
      <c r="C12" s="2"/>
      <c r="D12" s="110"/>
      <c r="E12" s="118" t="s">
        <v>90</v>
      </c>
      <c r="F12" s="121" t="str">
        <f>IF(VLOOKUP(E12,Qüestionari!D:Z,22,0)="","&lt;No aplica&gt;",VLOOKUP(E12,Qüestionari!D:Z,22,0))</f>
        <v>&lt;No aplica&gt;</v>
      </c>
      <c r="G12" s="115" t="str">
        <f>IF(VLOOKUP(E12,Qüestionari!D:Z,23,0)=4,"",VLOOKUP(E12,Qüestionari!D:Z,23,0))</f>
        <v/>
      </c>
      <c r="H12" s="116"/>
      <c r="I12" s="116"/>
      <c r="J12" s="115" t="str">
        <f t="shared" si="1"/>
        <v/>
      </c>
      <c r="K12" s="116"/>
    </row>
    <row r="13" spans="1:20" x14ac:dyDescent="0.35">
      <c r="B13" s="2"/>
      <c r="C13" s="2"/>
      <c r="D13" s="110" t="s">
        <v>99</v>
      </c>
      <c r="E13" s="2"/>
      <c r="G13" s="40"/>
    </row>
    <row r="14" spans="1:20" ht="29" x14ac:dyDescent="0.35">
      <c r="B14" s="2"/>
      <c r="C14" s="2"/>
      <c r="D14" s="110"/>
      <c r="E14" s="118" t="s">
        <v>100</v>
      </c>
      <c r="F14" s="121" t="str">
        <f>IF(VLOOKUP(E14,Qüestionari!D:Z,22,0)="","&lt;No aplica&gt;",VLOOKUP(E14,Qüestionari!D:Z,22,0))</f>
        <v>3 - Assegurar que les decisions i accions derivades dels comitès estan alineats amb l'estratègia, avaluar i optimitzar els resultats dels Comitès</v>
      </c>
      <c r="G14" s="115">
        <f>IF(VLOOKUP(E14,Qüestionari!D:Z,23,0)=4,"",VLOOKUP(E14,Qüestionari!D:Z,23,0))</f>
        <v>3</v>
      </c>
      <c r="H14" s="116" t="s">
        <v>694</v>
      </c>
      <c r="I14" s="116" t="s">
        <v>701</v>
      </c>
      <c r="J14" s="115">
        <f t="shared" ref="J14" si="2">IF(AND(H14&lt;&gt;"",I14&lt;&gt;""),INT(LEFT(H14,1))+INT(LEFT(I14,1)),"")</f>
        <v>5</v>
      </c>
      <c r="K14" s="116" t="s">
        <v>342</v>
      </c>
    </row>
    <row r="15" spans="1:20" x14ac:dyDescent="0.35">
      <c r="B15" s="2"/>
      <c r="C15" s="2"/>
      <c r="D15" s="110" t="s">
        <v>109</v>
      </c>
      <c r="E15" s="2"/>
      <c r="G15" s="40"/>
    </row>
    <row r="16" spans="1:20" x14ac:dyDescent="0.35">
      <c r="B16" s="2"/>
      <c r="C16" s="2"/>
      <c r="D16" s="110"/>
      <c r="E16" s="118" t="s">
        <v>110</v>
      </c>
      <c r="F16" s="121" t="str">
        <f>IF(VLOOKUP(E16,Qüestionari!D:Z,22,0)="","&lt;No aplica&gt;",VLOOKUP(E16,Qüestionari!D:Z,22,0))</f>
        <v>&lt;No aplica&gt;</v>
      </c>
      <c r="G16" s="115" t="str">
        <f>IF(VLOOKUP(E16,Qüestionari!D:Z,23,0)=4,"",VLOOKUP(E16,Qüestionari!D:Z,23,0))</f>
        <v/>
      </c>
      <c r="H16" s="116"/>
      <c r="I16" s="116"/>
      <c r="J16" s="115" t="str">
        <f t="shared" ref="J16:J18" si="3">IF(AND(H16&lt;&gt;"",I16&lt;&gt;""),INT(LEFT(H16,1))+INT(LEFT(I16,1)),"")</f>
        <v/>
      </c>
      <c r="K16" s="116"/>
    </row>
    <row r="17" spans="2:11" x14ac:dyDescent="0.35">
      <c r="B17" s="2"/>
      <c r="C17" s="2"/>
      <c r="D17" s="110"/>
      <c r="E17" s="118" t="s">
        <v>119</v>
      </c>
      <c r="F17" s="121" t="str">
        <f>IF(VLOOKUP(E17,Qüestionari!D:Z,22,0)="","&lt;No aplica&gt;",VLOOKUP(E17,Qüestionari!D:Z,22,0))</f>
        <v>&lt;No aplica&gt;</v>
      </c>
      <c r="G17" s="115" t="str">
        <f>IF(VLOOKUP(E17,Qüestionari!D:Z,23,0)=4,"",VLOOKUP(E17,Qüestionari!D:Z,23,0))</f>
        <v/>
      </c>
      <c r="H17" s="116"/>
      <c r="I17" s="116"/>
      <c r="J17" s="115" t="str">
        <f t="shared" si="3"/>
        <v/>
      </c>
      <c r="K17" s="116"/>
    </row>
    <row r="18" spans="2:11" ht="29" x14ac:dyDescent="0.35">
      <c r="B18" s="2"/>
      <c r="C18" s="2"/>
      <c r="D18" s="110"/>
      <c r="E18" s="118" t="s">
        <v>128</v>
      </c>
      <c r="F18" s="121" t="str">
        <f>IF(VLOOKUP(E18,Qüestionari!D:Z,22,0)="","&lt;No aplica&gt;",VLOOKUP(E18,Qüestionari!D:Z,22,0))</f>
        <v>3 -  És interessant garantir l'autoritat i visibilitat dels Propietaris de dades, assegurant que tingui els recursos i que s'implementen activitats de millora contínua.</v>
      </c>
      <c r="G18" s="115">
        <f>IF(VLOOKUP(E18,Qüestionari!D:Z,23,0)=4,"",VLOOKUP(E18,Qüestionari!D:Z,23,0))</f>
        <v>3</v>
      </c>
      <c r="H18" s="116" t="s">
        <v>697</v>
      </c>
      <c r="I18" s="116" t="s">
        <v>700</v>
      </c>
      <c r="J18" s="115">
        <f t="shared" si="3"/>
        <v>5</v>
      </c>
      <c r="K18" s="116" t="s">
        <v>707</v>
      </c>
    </row>
    <row r="19" spans="2:11" ht="26" x14ac:dyDescent="0.6">
      <c r="B19" s="70" t="s">
        <v>136</v>
      </c>
      <c r="C19" s="7"/>
      <c r="D19" s="7"/>
      <c r="E19" s="37"/>
      <c r="G19" s="40"/>
    </row>
    <row r="20" spans="2:11" x14ac:dyDescent="0.35">
      <c r="B20" s="2"/>
      <c r="C20" s="2"/>
      <c r="D20" s="110" t="s">
        <v>137</v>
      </c>
      <c r="E20" s="2"/>
      <c r="G20" s="40"/>
    </row>
    <row r="21" spans="2:11" ht="29" x14ac:dyDescent="0.35">
      <c r="B21" s="2"/>
      <c r="C21" s="2"/>
      <c r="D21" s="110"/>
      <c r="E21" s="118" t="s">
        <v>138</v>
      </c>
      <c r="F21" s="121" t="str">
        <f>IF(VLOOKUP(E21,Qüestionari!D:Z,22,0)="","&lt;No aplica&gt;",VLOOKUP(E21,Qüestionari!D:Z,22,0))</f>
        <v>2 - Divulgar les Polítiques de seguretat i privadesa entre el personal per tal que aquestes siguin conegudes, i fer avaluacions periòdiques del seu compliment</v>
      </c>
      <c r="G21" s="115">
        <f>IF(VLOOKUP(E21,Qüestionari!D:Z,23,0)=4,"",VLOOKUP(E21,Qüestionari!D:Z,23,0))</f>
        <v>2</v>
      </c>
      <c r="H21" s="116"/>
      <c r="I21" s="116"/>
      <c r="J21" s="115" t="str">
        <f t="shared" ref="J21:J22" si="4">IF(AND(H21&lt;&gt;"",I21&lt;&gt;""),INT(LEFT(H21,1))+INT(LEFT(I21,1)),"")</f>
        <v/>
      </c>
      <c r="K21" s="116"/>
    </row>
    <row r="22" spans="2:11" x14ac:dyDescent="0.35">
      <c r="B22" s="2"/>
      <c r="C22" s="2"/>
      <c r="D22" s="110"/>
      <c r="E22" s="118" t="s">
        <v>147</v>
      </c>
      <c r="F22" s="121" t="str">
        <f>IF(VLOOKUP(E22,Qüestionari!D:Z,22,0)="","&lt;No aplica&gt;",VLOOKUP(E22,Qüestionari!D:Z,22,0))</f>
        <v>1 - Identificar i classificar les dades clau en funció de la seva sensibilitat</v>
      </c>
      <c r="G22" s="115">
        <f>IF(VLOOKUP(E22,Qüestionari!D:Z,23,0)=4,"",VLOOKUP(E22,Qüestionari!D:Z,23,0))</f>
        <v>1</v>
      </c>
      <c r="H22" s="116"/>
      <c r="I22" s="116"/>
      <c r="J22" s="115" t="str">
        <f t="shared" si="4"/>
        <v/>
      </c>
      <c r="K22" s="116"/>
    </row>
    <row r="23" spans="2:11" x14ac:dyDescent="0.35">
      <c r="B23" s="2"/>
      <c r="C23" s="2"/>
      <c r="D23" s="110" t="s">
        <v>156</v>
      </c>
      <c r="E23" s="2"/>
      <c r="G23" s="40"/>
    </row>
    <row r="24" spans="2:11" ht="43.5" x14ac:dyDescent="0.35">
      <c r="B24" s="2"/>
      <c r="C24" s="2"/>
      <c r="D24" s="110"/>
      <c r="E24" s="118" t="s">
        <v>157</v>
      </c>
      <c r="F24" s="121" t="str">
        <f>IF(VLOOKUP(E24,Qüestionari!D:Z,22,0)="","&lt;No aplica&gt;",VLOOKUP(E24,Qüestionari!D:Z,22,0))</f>
        <v>1 - Definir les Polítiques d'arxivat i restauració de dades . Per tal de fer aquest camí més senzill i aprofitant l'experiència de la DIBA, aquesta facilita el procediment d'adhesió a les seves Polítiques.</v>
      </c>
      <c r="G24" s="115">
        <f>IF(VLOOKUP(E24,Qüestionari!D:Z,23,0)=4,"",VLOOKUP(E24,Qüestionari!D:Z,23,0))</f>
        <v>1</v>
      </c>
      <c r="H24" s="116"/>
      <c r="I24" s="116"/>
      <c r="J24" s="115" t="str">
        <f t="shared" ref="J24" si="5">IF(AND(H24&lt;&gt;"",I24&lt;&gt;""),INT(LEFT(H24,1))+INT(LEFT(I24,1)),"")</f>
        <v/>
      </c>
      <c r="K24" s="116"/>
    </row>
    <row r="25" spans="2:11" x14ac:dyDescent="0.35">
      <c r="B25" s="2"/>
      <c r="C25" s="2"/>
      <c r="D25" s="110" t="s">
        <v>166</v>
      </c>
      <c r="E25" s="2"/>
      <c r="G25" s="40"/>
    </row>
    <row r="26" spans="2:11" ht="29" x14ac:dyDescent="0.35">
      <c r="B26" s="2"/>
      <c r="C26" s="2"/>
      <c r="D26" s="110"/>
      <c r="E26" s="118" t="s">
        <v>167</v>
      </c>
      <c r="F26" s="121" t="str">
        <f>IF(VLOOKUP(E26,Qüestionari!D:Z,22,0)="","&lt;No aplica&gt;",VLOOKUP(E26,Qüestionari!D:Z,22,0))</f>
        <v>2 - Ampliar l'Inventari de dades a totes les dades clau, i difondre i promoure la seva utilització</v>
      </c>
      <c r="G26" s="115">
        <f>IF(VLOOKUP(E26,Qüestionari!D:Z,23,0)=4,"",VLOOKUP(E26,Qüestionari!D:Z,23,0))</f>
        <v>2</v>
      </c>
      <c r="H26" s="116"/>
      <c r="I26" s="116"/>
      <c r="J26" s="115" t="str">
        <f t="shared" ref="J26:J27" si="6">IF(AND(H26&lt;&gt;"",I26&lt;&gt;""),INT(LEFT(H26,1))+INT(LEFT(I26,1)),"")</f>
        <v/>
      </c>
      <c r="K26" s="116"/>
    </row>
    <row r="27" spans="2:11" ht="29" x14ac:dyDescent="0.35">
      <c r="B27" s="2"/>
      <c r="C27" s="2"/>
      <c r="D27" s="110"/>
      <c r="E27" s="118" t="s">
        <v>176</v>
      </c>
      <c r="F27" s="121" t="str">
        <f>IF(VLOOKUP(E27,Qüestionari!D:Z,22,0)="","&lt;No aplica&gt;",VLOOKUP(E27,Qüestionari!D:Z,22,0))</f>
        <v>1 - Identificar les fonts de dades externes i les dades associades per tal de poder fer una gestió específica d'aquestes</v>
      </c>
      <c r="G27" s="115">
        <f>IF(VLOOKUP(E27,Qüestionari!D:Z,23,0)=4,"",VLOOKUP(E27,Qüestionari!D:Z,23,0))</f>
        <v>1</v>
      </c>
      <c r="H27" s="116"/>
      <c r="I27" s="116"/>
      <c r="J27" s="115" t="str">
        <f t="shared" si="6"/>
        <v/>
      </c>
      <c r="K27" s="116"/>
    </row>
    <row r="28" spans="2:11" x14ac:dyDescent="0.35">
      <c r="B28" s="2"/>
      <c r="C28" s="2"/>
      <c r="D28" s="110" t="s">
        <v>185</v>
      </c>
      <c r="E28" s="2"/>
      <c r="G28" s="40"/>
    </row>
    <row r="29" spans="2:11" ht="43.5" x14ac:dyDescent="0.35">
      <c r="B29" s="2"/>
      <c r="C29" s="2"/>
      <c r="D29" s="110"/>
      <c r="E29" s="118" t="s">
        <v>186</v>
      </c>
      <c r="F29" s="121" t="str">
        <f>IF(VLOOKUP(E29,Qüestionari!D:Z,22,0)="","&lt;No aplica&gt;",VLOOKUP(E29,Qüestionari!D:Z,22,0))</f>
        <v>1 - Definir les Polítiques i procediments d'integració, gestió i utilització de les dades . Per tal de fer aquest camí més senzill i aprofitant l'experiència de la DIBA, aquesta facilita el procediment d'adhesió a les seves Polítiques.</v>
      </c>
      <c r="G29" s="115">
        <f>IF(VLOOKUP(E29,Qüestionari!D:Z,23,0)=4,"",VLOOKUP(E29,Qüestionari!D:Z,23,0))</f>
        <v>1</v>
      </c>
      <c r="H29" s="116"/>
      <c r="I29" s="116"/>
      <c r="J29" s="115" t="str">
        <f t="shared" ref="J29" si="7">IF(AND(H29&lt;&gt;"",I29&lt;&gt;""),INT(LEFT(H29,1))+INT(LEFT(I29,1)),"")</f>
        <v/>
      </c>
      <c r="K29" s="116"/>
    </row>
    <row r="30" spans="2:11" x14ac:dyDescent="0.35">
      <c r="B30" s="2"/>
      <c r="C30" s="2"/>
      <c r="D30" s="110" t="s">
        <v>195</v>
      </c>
      <c r="E30" s="2"/>
      <c r="G30" s="40"/>
    </row>
    <row r="31" spans="2:11" ht="29" x14ac:dyDescent="0.35">
      <c r="B31" s="2"/>
      <c r="C31" s="2"/>
      <c r="D31" s="110"/>
      <c r="E31" s="118" t="s">
        <v>196</v>
      </c>
      <c r="F31" s="121" t="str">
        <f>IF(VLOOKUP(E31,Qüestionari!D:Z,22,0)="","&lt;No aplica&gt;",VLOOKUP(E31,Qüestionari!D:Z,22,0))</f>
        <v>2 - Revisar i implicar al personal en l'aplicació de les Polítiques i procediments d'integració, gestió i utilització de les dades</v>
      </c>
      <c r="G31" s="115">
        <f>IF(VLOOKUP(E31,Qüestionari!D:Z,23,0)=4,"",VLOOKUP(E31,Qüestionari!D:Z,23,0))</f>
        <v>2</v>
      </c>
      <c r="H31" s="116"/>
      <c r="I31" s="116"/>
      <c r="J31" s="115" t="str">
        <f t="shared" ref="J31" si="8">IF(AND(H31&lt;&gt;"",I31&lt;&gt;""),INT(LEFT(H31,1))+INT(LEFT(I31,1)),"")</f>
        <v/>
      </c>
      <c r="K31" s="116"/>
    </row>
    <row r="32" spans="2:11" ht="26" x14ac:dyDescent="0.6">
      <c r="B32" s="70" t="s">
        <v>202</v>
      </c>
      <c r="C32" s="7"/>
      <c r="D32" s="7"/>
      <c r="E32" s="37"/>
      <c r="G32" s="40"/>
    </row>
    <row r="33" spans="2:11" x14ac:dyDescent="0.35">
      <c r="B33" s="2"/>
      <c r="C33" s="2"/>
      <c r="D33" s="110" t="s">
        <v>59</v>
      </c>
      <c r="E33" s="2"/>
      <c r="G33" s="40"/>
    </row>
    <row r="34" spans="2:11" ht="29" x14ac:dyDescent="0.35">
      <c r="B34" s="2"/>
      <c r="C34" s="2"/>
      <c r="D34" s="110"/>
      <c r="E34" s="118" t="s">
        <v>203</v>
      </c>
      <c r="F34" s="121" t="str">
        <f>IF(VLOOKUP(E34,Qüestionari!D:Z,22,0)="","&lt;No aplica&gt;",VLOOKUP(E34,Qüestionari!D:Z,22,0))</f>
        <v xml:space="preserve">2 - Completar la documentació de requeriments de qualitat de les dades i valorar l'automatització de processos que ajudin a garantir la qualitat de les dades </v>
      </c>
      <c r="G34" s="115">
        <f>IF(VLOOKUP(E34,Qüestionari!D:Z,23,0)=4,"",VLOOKUP(E34,Qüestionari!D:Z,23,0))</f>
        <v>2</v>
      </c>
      <c r="H34" s="116"/>
      <c r="I34" s="116"/>
      <c r="J34" s="115" t="str">
        <f t="shared" ref="J34" si="9">IF(AND(H34&lt;&gt;"",I34&lt;&gt;""),INT(LEFT(H34,1))+INT(LEFT(I34,1)),"")</f>
        <v/>
      </c>
      <c r="K34" s="116"/>
    </row>
    <row r="35" spans="2:11" x14ac:dyDescent="0.35">
      <c r="B35" s="2"/>
      <c r="C35" s="2"/>
      <c r="D35" s="110" t="s">
        <v>212</v>
      </c>
      <c r="E35" s="2"/>
      <c r="G35" s="40"/>
    </row>
    <row r="36" spans="2:11" x14ac:dyDescent="0.35">
      <c r="B36" s="2"/>
      <c r="C36" s="2"/>
      <c r="D36" s="110"/>
      <c r="E36" s="118" t="s">
        <v>213</v>
      </c>
      <c r="F36" s="121" t="str">
        <f>IF(VLOOKUP(E36,Qüestionari!D:Z,22,0)="","&lt;No aplica&gt;",VLOOKUP(E36,Qüestionari!D:Z,22,0))</f>
        <v xml:space="preserve">1 - Començar a fer seguiment actiu i monitorització de la qualitat de les dades </v>
      </c>
      <c r="G36" s="115">
        <f>IF(VLOOKUP(E36,Qüestionari!D:Z,23,0)=4,"",VLOOKUP(E36,Qüestionari!D:Z,23,0))</f>
        <v>1</v>
      </c>
      <c r="H36" s="116"/>
      <c r="I36" s="116"/>
      <c r="J36" s="115" t="str">
        <f t="shared" ref="J36" si="10">IF(AND(H36&lt;&gt;"",I36&lt;&gt;""),INT(LEFT(H36,1))+INT(LEFT(I36,1)),"")</f>
        <v/>
      </c>
      <c r="K36" s="116"/>
    </row>
    <row r="37" spans="2:11" x14ac:dyDescent="0.35">
      <c r="B37" s="2"/>
      <c r="C37" s="2"/>
      <c r="D37" s="110" t="s">
        <v>222</v>
      </c>
      <c r="E37" s="2"/>
      <c r="G37" s="40"/>
    </row>
    <row r="38" spans="2:11" ht="29" x14ac:dyDescent="0.35">
      <c r="B38" s="2"/>
      <c r="C38" s="2"/>
      <c r="D38" s="110"/>
      <c r="E38" s="118" t="s">
        <v>223</v>
      </c>
      <c r="F38" s="121" t="str">
        <f>IF(VLOOKUP(E38,Qüestionari!D:Z,22,0)="","&lt;No aplica&gt;",VLOOKUP(E38,Qüestionari!D:Z,22,0))</f>
        <v>1 - Preparar un pla d'assegurament de la qualitat de les dades, que inicialment posi el focus en les dades crítiques i dades clau</v>
      </c>
      <c r="G38" s="115">
        <f>IF(VLOOKUP(E38,Qüestionari!D:Z,23,0)=4,"",VLOOKUP(E38,Qüestionari!D:Z,23,0))</f>
        <v>1</v>
      </c>
      <c r="H38" s="116"/>
      <c r="I38" s="116"/>
      <c r="J38" s="115" t="str">
        <f t="shared" ref="J38" si="11">IF(AND(H38&lt;&gt;"",I38&lt;&gt;""),INT(LEFT(H38,1))+INT(LEFT(I38,1)),"")</f>
        <v/>
      </c>
      <c r="K38" s="116"/>
    </row>
    <row r="39" spans="2:11" s="37" customFormat="1" x14ac:dyDescent="0.35">
      <c r="D39" s="8"/>
      <c r="E39" s="38"/>
      <c r="G39" s="38"/>
    </row>
    <row r="40" spans="2:11" s="37" customFormat="1" x14ac:dyDescent="0.35">
      <c r="D40" s="8"/>
      <c r="E40" s="38"/>
      <c r="G40" s="38"/>
    </row>
    <row r="41" spans="2:11" s="37" customFormat="1" x14ac:dyDescent="0.35">
      <c r="D41" s="8"/>
      <c r="E41" s="38"/>
      <c r="G41" s="38"/>
    </row>
    <row r="42" spans="2:11" s="37" customFormat="1" x14ac:dyDescent="0.35">
      <c r="D42" s="8"/>
      <c r="E42" s="38"/>
      <c r="G42" s="38"/>
    </row>
    <row r="43" spans="2:11" s="37" customFormat="1" x14ac:dyDescent="0.35">
      <c r="D43" s="8"/>
      <c r="E43" s="38"/>
      <c r="G43" s="38"/>
    </row>
    <row r="44" spans="2:11" s="37" customFormat="1" x14ac:dyDescent="0.35">
      <c r="D44" s="8"/>
      <c r="E44" s="38"/>
      <c r="G44" s="38"/>
    </row>
  </sheetData>
  <phoneticPr fontId="5" type="noConversion"/>
  <dataValidations count="3">
    <dataValidation type="list" allowBlank="1" showInputMessage="1" showErrorMessage="1" sqref="H8:H9 H11:H12 H36 H14 H16:H18 H21:H22 H24 H26:H27 H29 H31 H34 H38" xr:uid="{CC7B55DC-A6A2-48B5-B90C-6FDEF163E2CE}">
      <formula1>Impacte</formula1>
    </dataValidation>
    <dataValidation type="list" allowBlank="1" showInputMessage="1" showErrorMessage="1" sqref="I8:I9 I11:I12 I36 I14 I16:I18 I21:I22 I24 I26:I27 I29 I31 I34 I38" xr:uid="{DB7BDF00-A303-43D2-B03B-88D2796567EA}">
      <formula1>Dificultat</formula1>
    </dataValidation>
    <dataValidation type="list" allowBlank="1" showInputMessage="1" showErrorMessage="1" sqref="K8:K9 K11:K12 K36 K14 K16:K18 K21:K22 K24 K26:K27 K29 K31 K34 K38" xr:uid="{980BC246-06DC-43CB-A785-A3797BAB4618}">
      <formula1>Termini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D8AA7-EEC7-4516-99FF-5013B135C203}">
  <dimension ref="A1:N38"/>
  <sheetViews>
    <sheetView topLeftCell="D1" workbookViewId="0">
      <pane ySplit="6" topLeftCell="A7" activePane="bottomLeft" state="frozen"/>
      <selection pane="bottomLeft" activeCell="D1" sqref="D1:J1048576"/>
    </sheetView>
  </sheetViews>
  <sheetFormatPr defaultColWidth="11.453125" defaultRowHeight="14.5" x14ac:dyDescent="0.35"/>
  <cols>
    <col min="1" max="1" width="5" style="37" customWidth="1"/>
    <col min="2" max="2" width="126.453125" style="40" customWidth="1"/>
    <col min="3" max="3" width="7.453125" style="40" customWidth="1"/>
    <col min="4" max="16384" width="11.453125" style="40"/>
  </cols>
  <sheetData>
    <row r="1" spans="1:14" s="2" customFormat="1" x14ac:dyDescent="0.35">
      <c r="K1" s="53"/>
      <c r="L1" s="53"/>
      <c r="M1" s="53"/>
      <c r="N1" s="53"/>
    </row>
    <row r="2" spans="1:14" s="2" customFormat="1" ht="26.5" thickBot="1" x14ac:dyDescent="0.4">
      <c r="B2" s="3" t="s">
        <v>0</v>
      </c>
      <c r="C2" s="3"/>
      <c r="K2" s="53"/>
      <c r="L2" s="53"/>
      <c r="M2" s="53"/>
      <c r="N2" s="53"/>
    </row>
    <row r="3" spans="1:14" s="39" customFormat="1" ht="19" thickTop="1" x14ac:dyDescent="0.35">
      <c r="A3" s="26"/>
      <c r="B3" s="26"/>
      <c r="C3" s="26"/>
    </row>
    <row r="4" spans="1:14" s="25" customFormat="1" ht="28" x14ac:dyDescent="0.35">
      <c r="A4" s="23"/>
      <c r="B4" s="28" t="s">
        <v>291</v>
      </c>
      <c r="C4" s="23"/>
    </row>
    <row r="5" spans="1:14" s="25" customFormat="1" x14ac:dyDescent="0.35">
      <c r="A5" s="23"/>
      <c r="B5" s="23"/>
      <c r="C5" s="23"/>
    </row>
    <row r="6" spans="1:14" x14ac:dyDescent="0.35">
      <c r="B6" s="34" t="s">
        <v>292</v>
      </c>
    </row>
    <row r="7" spans="1:14" x14ac:dyDescent="0.35">
      <c r="B7" s="58" t="s">
        <v>55</v>
      </c>
    </row>
    <row r="8" spans="1:14" x14ac:dyDescent="0.35">
      <c r="B8" s="59" t="s">
        <v>80</v>
      </c>
    </row>
    <row r="9" spans="1:14" x14ac:dyDescent="0.35">
      <c r="B9" s="60"/>
    </row>
    <row r="10" spans="1:14" x14ac:dyDescent="0.35">
      <c r="B10" s="59" t="s">
        <v>99</v>
      </c>
    </row>
    <row r="11" spans="1:14" x14ac:dyDescent="0.35">
      <c r="B11" s="60" t="s">
        <v>293</v>
      </c>
    </row>
    <row r="12" spans="1:14" x14ac:dyDescent="0.35">
      <c r="B12" s="59" t="s">
        <v>109</v>
      </c>
    </row>
    <row r="13" spans="1:14" x14ac:dyDescent="0.35">
      <c r="B13" s="60"/>
    </row>
    <row r="14" spans="1:14" ht="29" x14ac:dyDescent="0.35">
      <c r="B14" s="60" t="s">
        <v>294</v>
      </c>
    </row>
    <row r="15" spans="1:14" x14ac:dyDescent="0.35">
      <c r="B15" s="59" t="s">
        <v>59</v>
      </c>
    </row>
    <row r="16" spans="1:14" x14ac:dyDescent="0.35">
      <c r="B16" s="60"/>
    </row>
    <row r="17" spans="2:2" x14ac:dyDescent="0.35">
      <c r="B17" s="58" t="s">
        <v>136</v>
      </c>
    </row>
    <row r="18" spans="2:2" x14ac:dyDescent="0.35">
      <c r="B18" s="59" t="s">
        <v>137</v>
      </c>
    </row>
    <row r="19" spans="2:2" x14ac:dyDescent="0.35">
      <c r="B19" s="60" t="s">
        <v>295</v>
      </c>
    </row>
    <row r="20" spans="2:2" ht="29" x14ac:dyDescent="0.35">
      <c r="B20" s="60" t="s">
        <v>296</v>
      </c>
    </row>
    <row r="21" spans="2:2" x14ac:dyDescent="0.35">
      <c r="B21" s="59" t="s">
        <v>156</v>
      </c>
    </row>
    <row r="22" spans="2:2" ht="29" x14ac:dyDescent="0.35">
      <c r="B22" s="60" t="s">
        <v>297</v>
      </c>
    </row>
    <row r="23" spans="2:2" x14ac:dyDescent="0.35">
      <c r="B23" s="59" t="s">
        <v>166</v>
      </c>
    </row>
    <row r="24" spans="2:2" x14ac:dyDescent="0.35">
      <c r="B24" s="60" t="s">
        <v>298</v>
      </c>
    </row>
    <row r="25" spans="2:2" x14ac:dyDescent="0.35">
      <c r="B25" s="60" t="s">
        <v>299</v>
      </c>
    </row>
    <row r="26" spans="2:2" x14ac:dyDescent="0.35">
      <c r="B26" s="59" t="s">
        <v>185</v>
      </c>
    </row>
    <row r="27" spans="2:2" ht="29" x14ac:dyDescent="0.35">
      <c r="B27" s="60" t="s">
        <v>300</v>
      </c>
    </row>
    <row r="28" spans="2:2" x14ac:dyDescent="0.35">
      <c r="B28" s="59" t="s">
        <v>195</v>
      </c>
    </row>
    <row r="29" spans="2:2" x14ac:dyDescent="0.35">
      <c r="B29" s="60" t="s">
        <v>301</v>
      </c>
    </row>
    <row r="30" spans="2:2" x14ac:dyDescent="0.35">
      <c r="B30" s="58" t="s">
        <v>202</v>
      </c>
    </row>
    <row r="31" spans="2:2" x14ac:dyDescent="0.35">
      <c r="B31" s="59" t="s">
        <v>222</v>
      </c>
    </row>
    <row r="32" spans="2:2" x14ac:dyDescent="0.35">
      <c r="B32" s="60" t="s">
        <v>302</v>
      </c>
    </row>
    <row r="33" spans="2:2" x14ac:dyDescent="0.35">
      <c r="B33" s="59" t="s">
        <v>59</v>
      </c>
    </row>
    <row r="34" spans="2:2" x14ac:dyDescent="0.35">
      <c r="B34" s="60" t="s">
        <v>303</v>
      </c>
    </row>
    <row r="35" spans="2:2" ht="29" x14ac:dyDescent="0.35">
      <c r="B35" s="60" t="s">
        <v>304</v>
      </c>
    </row>
    <row r="36" spans="2:2" x14ac:dyDescent="0.35">
      <c r="B36"/>
    </row>
    <row r="37" spans="2:2" x14ac:dyDescent="0.35">
      <c r="B37"/>
    </row>
    <row r="38" spans="2:2" x14ac:dyDescent="0.35">
      <c r="B38"/>
    </row>
  </sheetData>
  <pageMargins left="0.7" right="0.7" top="0.75" bottom="0.75" header="0.3" footer="0.3"/>
  <pageSetup paperSize="9"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7FCE-0837-4DC4-A926-C293A5FE6D8F}">
  <dimension ref="A1:AE54"/>
  <sheetViews>
    <sheetView workbookViewId="0">
      <selection activeCell="H11" sqref="H11"/>
    </sheetView>
  </sheetViews>
  <sheetFormatPr defaultColWidth="11.453125" defaultRowHeight="14.5" x14ac:dyDescent="0.35"/>
  <cols>
    <col min="1" max="1" width="5" style="37" customWidth="1"/>
    <col min="2" max="2" width="17.6328125" style="40" customWidth="1"/>
    <col min="3" max="3" width="14.90625" style="40" customWidth="1"/>
    <col min="4" max="4" width="10.6328125" style="43" customWidth="1"/>
    <col min="5" max="5" width="7.453125" style="40" bestFit="1" customWidth="1"/>
    <col min="6" max="6" width="11.453125" style="40" customWidth="1"/>
    <col min="7" max="7" width="5.453125" style="40" bestFit="1" customWidth="1"/>
    <col min="8" max="8" width="8" style="40" bestFit="1" customWidth="1"/>
    <col min="9" max="10" width="4.54296875" style="40" bestFit="1" customWidth="1"/>
    <col min="11" max="14" width="4.6328125" style="40" bestFit="1" customWidth="1"/>
    <col min="15" max="23" width="5.08984375" style="40" bestFit="1" customWidth="1"/>
    <col min="24" max="31" width="5.08984375" style="37" bestFit="1" customWidth="1"/>
    <col min="32" max="33" width="5.08984375" style="40" bestFit="1" customWidth="1"/>
    <col min="34" max="16384" width="11.453125" style="40"/>
  </cols>
  <sheetData>
    <row r="1" spans="1:29" s="25" customFormat="1" x14ac:dyDescent="0.35">
      <c r="A1" s="23"/>
      <c r="B1" s="23"/>
      <c r="C1" s="23"/>
      <c r="D1" s="41"/>
    </row>
    <row r="2" spans="1:29" s="25" customFormat="1" ht="41.4" customHeight="1" x14ac:dyDescent="0.35">
      <c r="A2" s="23"/>
      <c r="B2" s="23"/>
      <c r="C2" s="23"/>
      <c r="D2" s="41"/>
    </row>
    <row r="3" spans="1:29" s="25" customFormat="1" x14ac:dyDescent="0.35">
      <c r="A3" s="23"/>
      <c r="B3" s="23"/>
      <c r="C3" s="23"/>
      <c r="D3" s="41"/>
    </row>
    <row r="4" spans="1:29" s="39" customFormat="1" ht="18.5" x14ac:dyDescent="0.35">
      <c r="A4" s="26"/>
      <c r="B4" s="26" t="s">
        <v>0</v>
      </c>
      <c r="C4" s="26"/>
      <c r="D4" s="42"/>
    </row>
    <row r="5" spans="1:29" s="39" customFormat="1" ht="18.5" x14ac:dyDescent="0.35">
      <c r="A5" s="26"/>
      <c r="B5" s="26"/>
      <c r="C5" s="26"/>
      <c r="D5" s="42"/>
    </row>
    <row r="6" spans="1:29" s="25" customFormat="1" ht="28" x14ac:dyDescent="0.35">
      <c r="A6" s="23"/>
      <c r="B6" s="28" t="s">
        <v>305</v>
      </c>
      <c r="D6" s="41"/>
    </row>
    <row r="7" spans="1:29" s="25" customFormat="1" x14ac:dyDescent="0.35">
      <c r="A7" s="23"/>
      <c r="B7" s="23"/>
      <c r="C7" s="23"/>
      <c r="D7" s="41"/>
    </row>
    <row r="8" spans="1:29" s="37" customFormat="1" x14ac:dyDescent="0.35">
      <c r="B8" s="44" t="s">
        <v>12</v>
      </c>
      <c r="C8" s="44" t="s">
        <v>13</v>
      </c>
      <c r="D8" s="44" t="s">
        <v>14</v>
      </c>
      <c r="E8" s="44" t="s">
        <v>306</v>
      </c>
      <c r="F8" s="44" t="s">
        <v>17</v>
      </c>
      <c r="G8" s="44" t="s">
        <v>60</v>
      </c>
      <c r="H8" s="44" t="s">
        <v>70</v>
      </c>
      <c r="I8" s="44" t="s">
        <v>81</v>
      </c>
      <c r="J8" s="44" t="s">
        <v>90</v>
      </c>
      <c r="K8" s="44" t="s">
        <v>100</v>
      </c>
      <c r="L8" s="44" t="s">
        <v>110</v>
      </c>
      <c r="M8" s="44" t="s">
        <v>119</v>
      </c>
      <c r="N8" s="44" t="s">
        <v>128</v>
      </c>
      <c r="O8" s="44" t="s">
        <v>138</v>
      </c>
      <c r="P8" s="44" t="s">
        <v>147</v>
      </c>
      <c r="Q8" s="44" t="s">
        <v>157</v>
      </c>
      <c r="R8" s="44" t="s">
        <v>167</v>
      </c>
      <c r="S8" s="44" t="s">
        <v>176</v>
      </c>
      <c r="T8" s="44" t="s">
        <v>186</v>
      </c>
      <c r="U8" s="44" t="s">
        <v>196</v>
      </c>
      <c r="V8" s="44" t="s">
        <v>203</v>
      </c>
      <c r="W8" s="44" t="s">
        <v>213</v>
      </c>
      <c r="X8" s="44" t="s">
        <v>223</v>
      </c>
      <c r="Y8" s="25"/>
      <c r="Z8" s="25"/>
      <c r="AA8" s="25"/>
      <c r="AB8" s="25"/>
      <c r="AC8" s="25"/>
    </row>
    <row r="9" spans="1:29" s="37" customFormat="1" x14ac:dyDescent="0.35">
      <c r="B9" s="61">
        <f>MapaResponsables!C8</f>
        <v>45716</v>
      </c>
      <c r="C9" s="45">
        <f>MapaResponsables!C9</f>
        <v>0</v>
      </c>
      <c r="D9" s="45" t="str">
        <f>MapaResponsables!C10</f>
        <v>Ajuntament</v>
      </c>
      <c r="E9" s="45" t="str">
        <f>MapaResponsables!C11</f>
        <v>Berga</v>
      </c>
      <c r="F9" s="45" t="str">
        <f>MapaResponsables!C12</f>
        <v>&lt;Totes&gt;</v>
      </c>
      <c r="G9" s="62">
        <f>SUMIF(Qüestionari!$D:$D,G8,Qüestionari!$J:$J)</f>
        <v>2</v>
      </c>
      <c r="H9" s="62">
        <f>SUMIF(Qüestionari!$D:$D,H8,Qüestionari!$J:$J)</f>
        <v>2</v>
      </c>
      <c r="I9" s="62">
        <f>SUMIF(Qüestionari!$D:$D,I8,Qüestionari!$J:$J)</f>
        <v>4</v>
      </c>
      <c r="J9" s="62">
        <f>SUMIF(Qüestionari!$D:$D,J8,Qüestionari!$J:$J)</f>
        <v>4</v>
      </c>
      <c r="K9" s="62">
        <f>SUMIF(Qüestionari!$D:$D,K8,Qüestionari!$J:$J)</f>
        <v>3</v>
      </c>
      <c r="L9" s="62">
        <f>SUMIF(Qüestionari!$D:$D,L8,Qüestionari!$J:$J)</f>
        <v>4</v>
      </c>
      <c r="M9" s="62">
        <f>SUMIF(Qüestionari!$D:$D,M8,Qüestionari!$J:$J)</f>
        <v>4</v>
      </c>
      <c r="N9" s="62">
        <f>SUMIF(Qüestionari!$D:$D,N8,Qüestionari!$J:$J)</f>
        <v>3</v>
      </c>
      <c r="O9" s="62">
        <f>SUMIF(Qüestionari!$D:$D,O8,Qüestionari!$J:$J)</f>
        <v>2</v>
      </c>
      <c r="P9" s="62">
        <f>SUMIF(Qüestionari!$D:$D,P8,Qüestionari!$J:$J)</f>
        <v>1</v>
      </c>
      <c r="Q9" s="62">
        <f>SUMIF(Qüestionari!$D:$D,Q8,Qüestionari!$J:$J)</f>
        <v>1</v>
      </c>
      <c r="R9" s="62">
        <f>SUMIF(Qüestionari!$D:$D,R8,Qüestionari!$J:$J)</f>
        <v>2</v>
      </c>
      <c r="S9" s="62">
        <f>SUMIF(Qüestionari!$D:$D,S8,Qüestionari!$J:$J)</f>
        <v>1</v>
      </c>
      <c r="T9" s="62">
        <f>SUMIF(Qüestionari!$D:$D,T8,Qüestionari!$J:$J)</f>
        <v>1</v>
      </c>
      <c r="U9" s="62">
        <f>SUMIF(Qüestionari!$D:$D,U8,Qüestionari!$J:$J)</f>
        <v>2</v>
      </c>
      <c r="V9" s="62">
        <f>SUMIF(Qüestionari!$D:$D,V8,Qüestionari!$J:$J)</f>
        <v>2</v>
      </c>
      <c r="W9" s="62">
        <f>SUMIF(Qüestionari!$D:$D,W8,Qüestionari!$J:$J)</f>
        <v>1</v>
      </c>
      <c r="X9" s="62">
        <f>SUMIF(Qüestionari!$D:$D,X8,Qüestionari!$J:$J)</f>
        <v>1</v>
      </c>
      <c r="Y9" s="25"/>
      <c r="Z9" s="25"/>
      <c r="AA9" s="25"/>
      <c r="AB9" s="25"/>
      <c r="AC9" s="25"/>
    </row>
    <row r="10" spans="1:29" s="37" customFormat="1" x14ac:dyDescent="0.35">
      <c r="D10" s="38"/>
      <c r="Y10" s="25"/>
      <c r="Z10" s="25"/>
      <c r="AA10" s="25"/>
      <c r="AB10" s="25"/>
      <c r="AC10" s="25"/>
    </row>
    <row r="11" spans="1:29" s="37" customFormat="1" ht="20" x14ac:dyDescent="0.35">
      <c r="D11" s="38"/>
      <c r="H11" s="106">
        <f>AVERAGE(H12,H18,H25)</f>
        <v>1.9666666666666666</v>
      </c>
      <c r="Y11" s="25"/>
      <c r="Z11" s="25"/>
      <c r="AA11" s="25"/>
      <c r="AB11" s="25"/>
      <c r="AC11" s="25"/>
    </row>
    <row r="12" spans="1:29" s="37" customFormat="1" x14ac:dyDescent="0.35">
      <c r="B12" s="77" t="s">
        <v>55</v>
      </c>
      <c r="D12" s="38"/>
      <c r="H12" s="79">
        <f>AVERAGE(G13:G16)</f>
        <v>3.1666666666666665</v>
      </c>
      <c r="Y12" s="25"/>
      <c r="Z12" s="25"/>
      <c r="AA12" s="25"/>
      <c r="AB12" s="25"/>
      <c r="AC12" s="25"/>
    </row>
    <row r="13" spans="1:29" s="37" customFormat="1" ht="24" customHeight="1" x14ac:dyDescent="0.35">
      <c r="B13" s="78"/>
      <c r="C13" s="129" t="str">
        <f>Qüestionari!E6</f>
        <v>Establiment d'estàndards, polítiques, bones pràctiques i procediments</v>
      </c>
      <c r="D13" s="129"/>
      <c r="E13" s="129"/>
      <c r="F13" s="129"/>
      <c r="G13" s="75">
        <f>AVERAGE(G9:H9)</f>
        <v>2</v>
      </c>
    </row>
    <row r="14" spans="1:29" s="37" customFormat="1" x14ac:dyDescent="0.35">
      <c r="B14" s="78"/>
      <c r="C14" s="129" t="str">
        <f>Qüestionari!E9</f>
        <v>Establiment d'estratègies de dades</v>
      </c>
      <c r="D14" s="129"/>
      <c r="E14" s="129"/>
      <c r="F14" s="129"/>
      <c r="G14" s="75">
        <f>AVERAGE(I9:J9)</f>
        <v>4</v>
      </c>
    </row>
    <row r="15" spans="1:29" s="37" customFormat="1" x14ac:dyDescent="0.35">
      <c r="B15" s="78"/>
      <c r="C15" s="129" t="str">
        <f>Qüestionari!E12</f>
        <v>Establiment d'estructures organitzacionals</v>
      </c>
      <c r="D15" s="129"/>
      <c r="E15" s="129"/>
      <c r="F15" s="129"/>
      <c r="G15" s="75">
        <f>AVERAGE(K9)</f>
        <v>3</v>
      </c>
    </row>
    <row r="16" spans="1:29" s="37" customFormat="1" x14ac:dyDescent="0.35">
      <c r="B16" s="78"/>
      <c r="C16" s="129" t="str">
        <f>Qüestionari!E14</f>
        <v>Gestió de recursos humans</v>
      </c>
      <c r="D16" s="129"/>
      <c r="E16" s="129"/>
      <c r="F16" s="129"/>
      <c r="G16" s="76">
        <f>AVERAGE(L9:N9)</f>
        <v>3.6666666666666665</v>
      </c>
    </row>
    <row r="17" spans="2:23" x14ac:dyDescent="0.35">
      <c r="B17" s="78"/>
      <c r="C17" s="38"/>
      <c r="D17" s="38"/>
      <c r="E17" s="37"/>
      <c r="F17" s="37"/>
      <c r="G17" s="74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</row>
    <row r="18" spans="2:23" x14ac:dyDescent="0.35">
      <c r="B18" s="77" t="s">
        <v>136</v>
      </c>
      <c r="C18" s="38"/>
      <c r="D18" s="38"/>
      <c r="E18" s="37"/>
      <c r="F18" s="37"/>
      <c r="H18" s="79">
        <f>AVERAGE(G19:G23)</f>
        <v>1.4</v>
      </c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</row>
    <row r="19" spans="2:23" s="37" customFormat="1" x14ac:dyDescent="0.35">
      <c r="B19" s="78"/>
      <c r="C19" s="129" t="str">
        <f>Qüestionari!E19</f>
        <v>Gestió de seguretat de dades</v>
      </c>
      <c r="D19" s="129"/>
      <c r="E19" s="129"/>
      <c r="F19" s="129"/>
      <c r="G19" s="75">
        <f>AVERAGE(O9:P9)</f>
        <v>1.5</v>
      </c>
    </row>
    <row r="20" spans="2:23" s="37" customFormat="1" x14ac:dyDescent="0.35">
      <c r="B20" s="78"/>
      <c r="C20" s="129" t="str">
        <f>Qüestionari!E22</f>
        <v>Gestió de dades històriques</v>
      </c>
      <c r="D20" s="129"/>
      <c r="E20" s="129"/>
      <c r="F20" s="129"/>
      <c r="G20" s="75">
        <f>AVERAGE(Q9)</f>
        <v>1</v>
      </c>
    </row>
    <row r="21" spans="2:23" s="37" customFormat="1" x14ac:dyDescent="0.35">
      <c r="B21" s="78"/>
      <c r="C21" s="129" t="str">
        <f>Qüestionari!E24</f>
        <v>Gestió de fonts i destinacions de dades</v>
      </c>
      <c r="D21" s="129"/>
      <c r="E21" s="129"/>
      <c r="F21" s="129"/>
      <c r="G21" s="75">
        <f>AVERAGE(R9:S9)</f>
        <v>1.5</v>
      </c>
    </row>
    <row r="22" spans="2:23" s="37" customFormat="1" x14ac:dyDescent="0.35">
      <c r="B22" s="78"/>
      <c r="C22" s="129" t="str">
        <f>Qüestionari!E27</f>
        <v>Gestió de la integració de les dades</v>
      </c>
      <c r="D22" s="129"/>
      <c r="E22" s="129"/>
      <c r="F22" s="129"/>
      <c r="G22" s="75">
        <f>AVERAGE(T9)</f>
        <v>1</v>
      </c>
    </row>
    <row r="23" spans="2:23" s="37" customFormat="1" x14ac:dyDescent="0.35">
      <c r="B23" s="78"/>
      <c r="C23" s="129" t="str">
        <f>Qüestionari!E29</f>
        <v>Gestió de Dades Mestre i Dades de Referència</v>
      </c>
      <c r="D23" s="129"/>
      <c r="E23" s="129"/>
      <c r="F23" s="129"/>
      <c r="G23" s="75">
        <f>AVERAGE(U9)</f>
        <v>2</v>
      </c>
    </row>
    <row r="24" spans="2:23" x14ac:dyDescent="0.35">
      <c r="B24" s="78"/>
      <c r="C24" s="38"/>
      <c r="D24" s="38"/>
      <c r="E24" s="37"/>
      <c r="F24" s="37"/>
      <c r="G24" s="74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</row>
    <row r="25" spans="2:23" x14ac:dyDescent="0.35">
      <c r="B25" s="77" t="s">
        <v>202</v>
      </c>
      <c r="C25" s="38"/>
      <c r="D25" s="38"/>
      <c r="E25" s="37"/>
      <c r="F25" s="37"/>
      <c r="H25" s="79">
        <f>AVERAGE(G26:G28)</f>
        <v>1.3333333333333333</v>
      </c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</row>
    <row r="26" spans="2:23" ht="24.65" customHeight="1" x14ac:dyDescent="0.35">
      <c r="B26" s="78"/>
      <c r="C26" s="129" t="str">
        <f>Qüestionari!E32</f>
        <v>Establiment d'estàndards, polítiques, bones pràctiques i procediments</v>
      </c>
      <c r="D26" s="129"/>
      <c r="E26" s="129"/>
      <c r="F26" s="129"/>
      <c r="G26" s="75">
        <f>AVERAGE(V9)</f>
        <v>2</v>
      </c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</row>
    <row r="27" spans="2:23" x14ac:dyDescent="0.35">
      <c r="B27" s="78"/>
      <c r="C27" s="129" t="str">
        <f>Qüestionari!E34</f>
        <v>Control i monitorització de la qualitat de les dades</v>
      </c>
      <c r="D27" s="129"/>
      <c r="E27" s="129"/>
      <c r="F27" s="129"/>
      <c r="G27" s="75">
        <f>AVERAGE(W9)</f>
        <v>1</v>
      </c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</row>
    <row r="28" spans="2:23" x14ac:dyDescent="0.35">
      <c r="B28" s="78"/>
      <c r="C28" s="129" t="str">
        <f>Qüestionari!E36</f>
        <v>Planificació de la qualitat de les dades</v>
      </c>
      <c r="D28" s="129"/>
      <c r="E28" s="129"/>
      <c r="F28" s="129"/>
      <c r="G28" s="75">
        <f>AVERAGE(X9)</f>
        <v>1</v>
      </c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</row>
    <row r="29" spans="2:23" x14ac:dyDescent="0.35">
      <c r="B29" s="78"/>
      <c r="C29" s="38"/>
      <c r="D29" s="38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</row>
    <row r="30" spans="2:23" x14ac:dyDescent="0.35">
      <c r="B30" s="78"/>
      <c r="C30" s="38"/>
      <c r="D30" s="38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</row>
    <row r="31" spans="2:23" x14ac:dyDescent="0.35">
      <c r="B31" s="78" t="str">
        <f>B12</f>
        <v>Govern</v>
      </c>
      <c r="C31" s="76">
        <f>H12</f>
        <v>3.1666666666666665</v>
      </c>
      <c r="D31" s="38"/>
      <c r="E31" s="37"/>
      <c r="F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</row>
    <row r="32" spans="2:23" x14ac:dyDescent="0.35">
      <c r="B32" s="78" t="str">
        <f>B18</f>
        <v>Gestió de dades</v>
      </c>
      <c r="C32" s="76">
        <f>H18</f>
        <v>1.4</v>
      </c>
      <c r="D32" s="38"/>
      <c r="E32" s="37"/>
      <c r="F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</row>
    <row r="33" spans="2:8" x14ac:dyDescent="0.35">
      <c r="B33" s="40" t="str">
        <f>B25</f>
        <v>Qualitat de la dada</v>
      </c>
      <c r="C33" s="76">
        <f>H25</f>
        <v>1.3333333333333333</v>
      </c>
      <c r="D33" s="38"/>
      <c r="E33" s="37"/>
      <c r="F33" s="37"/>
      <c r="H33" s="37"/>
    </row>
    <row r="34" spans="2:8" x14ac:dyDescent="0.35">
      <c r="D34" s="38"/>
      <c r="E34" s="37"/>
      <c r="F34" s="37"/>
      <c r="H34" s="37"/>
    </row>
    <row r="35" spans="2:8" x14ac:dyDescent="0.35">
      <c r="H35" s="37"/>
    </row>
    <row r="36" spans="2:8" x14ac:dyDescent="0.35">
      <c r="H36" s="37"/>
    </row>
    <row r="37" spans="2:8" x14ac:dyDescent="0.35">
      <c r="H37" s="37"/>
    </row>
    <row r="38" spans="2:8" x14ac:dyDescent="0.35">
      <c r="H38" s="37"/>
    </row>
    <row r="39" spans="2:8" x14ac:dyDescent="0.35">
      <c r="H39" s="37"/>
    </row>
    <row r="40" spans="2:8" x14ac:dyDescent="0.35">
      <c r="H40" s="37"/>
    </row>
    <row r="41" spans="2:8" x14ac:dyDescent="0.35">
      <c r="H41" s="37"/>
    </row>
    <row r="42" spans="2:8" x14ac:dyDescent="0.35">
      <c r="H42" s="37"/>
    </row>
    <row r="43" spans="2:8" x14ac:dyDescent="0.35">
      <c r="H43" s="37"/>
    </row>
    <row r="44" spans="2:8" x14ac:dyDescent="0.35">
      <c r="H44" s="37"/>
    </row>
    <row r="45" spans="2:8" x14ac:dyDescent="0.35">
      <c r="H45" s="37"/>
    </row>
    <row r="46" spans="2:8" x14ac:dyDescent="0.35">
      <c r="H46" s="37"/>
    </row>
    <row r="47" spans="2:8" x14ac:dyDescent="0.35">
      <c r="H47" s="37"/>
    </row>
    <row r="48" spans="2:8" x14ac:dyDescent="0.35">
      <c r="H48" s="37"/>
    </row>
    <row r="49" spans="8:8" x14ac:dyDescent="0.35">
      <c r="H49" s="37"/>
    </row>
    <row r="50" spans="8:8" x14ac:dyDescent="0.35">
      <c r="H50" s="37"/>
    </row>
    <row r="51" spans="8:8" x14ac:dyDescent="0.35">
      <c r="H51" s="37"/>
    </row>
    <row r="52" spans="8:8" x14ac:dyDescent="0.35">
      <c r="H52" s="37"/>
    </row>
    <row r="53" spans="8:8" x14ac:dyDescent="0.35">
      <c r="H53" s="37"/>
    </row>
    <row r="54" spans="8:8" x14ac:dyDescent="0.35">
      <c r="H54" s="37"/>
    </row>
  </sheetData>
  <mergeCells count="12">
    <mergeCell ref="C28:F28"/>
    <mergeCell ref="C20:F20"/>
    <mergeCell ref="C13:F13"/>
    <mergeCell ref="C14:F14"/>
    <mergeCell ref="C15:F15"/>
    <mergeCell ref="C16:F16"/>
    <mergeCell ref="C19:F19"/>
    <mergeCell ref="C21:F21"/>
    <mergeCell ref="C22:F22"/>
    <mergeCell ref="C23:F23"/>
    <mergeCell ref="C26:F26"/>
    <mergeCell ref="C27:F27"/>
  </mergeCells>
  <pageMargins left="0.7" right="0.7" top="0.75" bottom="0.75" header="0.3" footer="0.3"/>
  <pageSetup paperSize="9" scale="5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03310-D19D-41DA-987C-68398BB61A1C}">
  <dimension ref="A1:D56"/>
  <sheetViews>
    <sheetView workbookViewId="0">
      <pane ySplit="5" topLeftCell="A34" activePane="bottomLeft" state="frozen"/>
      <selection activeCell="O9" sqref="O9"/>
      <selection pane="bottomLeft" activeCell="O29" sqref="O29"/>
    </sheetView>
  </sheetViews>
  <sheetFormatPr defaultColWidth="11.453125" defaultRowHeight="14.5" x14ac:dyDescent="0.35"/>
  <cols>
    <col min="1" max="1" width="2.54296875" style="2" customWidth="1"/>
    <col min="2" max="2" width="21.453125" customWidth="1"/>
    <col min="3" max="3" width="75.453125" style="40" customWidth="1"/>
    <col min="4" max="4" width="29" customWidth="1"/>
  </cols>
  <sheetData>
    <row r="1" spans="1:4" s="24" customFormat="1" x14ac:dyDescent="0.35">
      <c r="A1" s="23"/>
      <c r="B1" s="23"/>
      <c r="C1" s="23"/>
    </row>
    <row r="2" spans="1:4" s="24" customFormat="1" ht="41.4" customHeight="1" x14ac:dyDescent="0.35">
      <c r="A2" s="23"/>
      <c r="B2" s="23"/>
      <c r="C2" s="23"/>
    </row>
    <row r="3" spans="1:4" s="24" customFormat="1" x14ac:dyDescent="0.35">
      <c r="A3" s="23"/>
      <c r="B3" s="23"/>
      <c r="C3" s="23"/>
    </row>
    <row r="4" spans="1:4" s="27" customFormat="1" ht="18.5" x14ac:dyDescent="0.45">
      <c r="A4" s="26"/>
      <c r="B4" s="26" t="s">
        <v>0</v>
      </c>
      <c r="C4" s="26"/>
    </row>
    <row r="5" spans="1:4" s="24" customFormat="1" ht="28" x14ac:dyDescent="0.35">
      <c r="A5" s="23"/>
      <c r="B5" s="28" t="s">
        <v>307</v>
      </c>
      <c r="C5" s="23"/>
    </row>
    <row r="6" spans="1:4" s="2" customFormat="1" x14ac:dyDescent="0.35">
      <c r="C6" s="37"/>
    </row>
    <row r="7" spans="1:4" s="2" customFormat="1" ht="18" x14ac:dyDescent="0.35">
      <c r="C7" s="63" t="s">
        <v>308</v>
      </c>
    </row>
    <row r="8" spans="1:4" s="2" customFormat="1" x14ac:dyDescent="0.35">
      <c r="C8" s="37"/>
    </row>
    <row r="9" spans="1:4" s="29" customFormat="1" ht="16" x14ac:dyDescent="0.4">
      <c r="A9" s="30"/>
      <c r="B9" s="81" t="s">
        <v>309</v>
      </c>
      <c r="C9" s="81" t="s">
        <v>39</v>
      </c>
      <c r="D9" s="81" t="s">
        <v>310</v>
      </c>
    </row>
    <row r="10" spans="1:4" x14ac:dyDescent="0.35">
      <c r="B10" s="82" t="s">
        <v>12</v>
      </c>
      <c r="C10" s="83" t="s">
        <v>311</v>
      </c>
      <c r="D10" s="80" t="s">
        <v>312</v>
      </c>
    </row>
    <row r="11" spans="1:4" s="2" customFormat="1" x14ac:dyDescent="0.35">
      <c r="B11" s="82" t="s">
        <v>13</v>
      </c>
      <c r="C11" s="84" t="s">
        <v>313</v>
      </c>
      <c r="D11" s="80" t="s">
        <v>312</v>
      </c>
    </row>
    <row r="12" spans="1:4" s="2" customFormat="1" x14ac:dyDescent="0.35">
      <c r="B12" s="82" t="s">
        <v>14</v>
      </c>
      <c r="C12" s="86" t="s">
        <v>314</v>
      </c>
      <c r="D12" s="80" t="s">
        <v>312</v>
      </c>
    </row>
    <row r="13" spans="1:4" s="2" customFormat="1" x14ac:dyDescent="0.35">
      <c r="B13" s="82" t="s">
        <v>306</v>
      </c>
      <c r="C13" s="87" t="s">
        <v>315</v>
      </c>
      <c r="D13" s="80" t="s">
        <v>312</v>
      </c>
    </row>
    <row r="14" spans="1:4" s="2" customFormat="1" ht="29" x14ac:dyDescent="0.35">
      <c r="B14" s="82" t="s">
        <v>17</v>
      </c>
      <c r="C14" s="86" t="s">
        <v>316</v>
      </c>
      <c r="D14" s="80" t="s">
        <v>312</v>
      </c>
    </row>
    <row r="15" spans="1:4" s="2" customFormat="1" x14ac:dyDescent="0.35"/>
    <row r="16" spans="1:4" s="2" customFormat="1" x14ac:dyDescent="0.35">
      <c r="B16" s="82" t="s">
        <v>20</v>
      </c>
      <c r="C16" s="86" t="s">
        <v>317</v>
      </c>
      <c r="D16" s="80" t="s">
        <v>312</v>
      </c>
    </row>
    <row r="17" spans="1:4" s="2" customFormat="1" x14ac:dyDescent="0.35">
      <c r="B17" s="82" t="s">
        <v>27</v>
      </c>
      <c r="C17" s="86" t="s">
        <v>318</v>
      </c>
      <c r="D17" s="80" t="s">
        <v>312</v>
      </c>
    </row>
    <row r="18" spans="1:4" s="2" customFormat="1" x14ac:dyDescent="0.35">
      <c r="B18" s="82" t="s">
        <v>29</v>
      </c>
      <c r="C18" s="86" t="s">
        <v>319</v>
      </c>
      <c r="D18" s="80" t="s">
        <v>312</v>
      </c>
    </row>
    <row r="19" spans="1:4" s="2" customFormat="1" x14ac:dyDescent="0.35">
      <c r="B19" s="82" t="s">
        <v>31</v>
      </c>
      <c r="C19" s="86" t="s">
        <v>320</v>
      </c>
      <c r="D19" s="80" t="s">
        <v>312</v>
      </c>
    </row>
    <row r="20" spans="1:4" s="2" customFormat="1" ht="29" x14ac:dyDescent="0.35">
      <c r="B20" s="82" t="s">
        <v>33</v>
      </c>
      <c r="C20" s="86" t="s">
        <v>321</v>
      </c>
      <c r="D20" s="80" t="s">
        <v>312</v>
      </c>
    </row>
    <row r="21" spans="1:4" s="2" customFormat="1" x14ac:dyDescent="0.35"/>
    <row r="22" spans="1:4" s="2" customFormat="1" x14ac:dyDescent="0.35">
      <c r="B22" s="82" t="s">
        <v>21</v>
      </c>
      <c r="C22" s="86" t="s">
        <v>322</v>
      </c>
      <c r="D22" s="80" t="s">
        <v>312</v>
      </c>
    </row>
    <row r="23" spans="1:4" s="2" customFormat="1" x14ac:dyDescent="0.35">
      <c r="B23" s="82" t="s">
        <v>22</v>
      </c>
      <c r="C23" s="86" t="s">
        <v>323</v>
      </c>
      <c r="D23" s="80" t="s">
        <v>312</v>
      </c>
    </row>
    <row r="24" spans="1:4" s="2" customFormat="1" x14ac:dyDescent="0.35">
      <c r="B24" s="82" t="s">
        <v>23</v>
      </c>
      <c r="C24" s="86" t="s">
        <v>324</v>
      </c>
      <c r="D24" s="80" t="s">
        <v>312</v>
      </c>
    </row>
    <row r="25" spans="1:4" s="2" customFormat="1" x14ac:dyDescent="0.35">
      <c r="B25" s="82" t="s">
        <v>24</v>
      </c>
      <c r="C25" s="86" t="s">
        <v>325</v>
      </c>
      <c r="D25" s="80" t="s">
        <v>312</v>
      </c>
    </row>
    <row r="26" spans="1:4" s="2" customFormat="1" x14ac:dyDescent="0.35">
      <c r="C26" s="37"/>
    </row>
    <row r="27" spans="1:4" s="2" customFormat="1" ht="18" x14ac:dyDescent="0.35">
      <c r="C27" s="63" t="s">
        <v>326</v>
      </c>
    </row>
    <row r="28" spans="1:4" s="2" customFormat="1" x14ac:dyDescent="0.35">
      <c r="C28" s="37"/>
    </row>
    <row r="29" spans="1:4" s="29" customFormat="1" ht="16" x14ac:dyDescent="0.4">
      <c r="A29" s="30"/>
      <c r="B29" s="81" t="s">
        <v>309</v>
      </c>
      <c r="C29" s="81" t="s">
        <v>39</v>
      </c>
      <c r="D29" s="81" t="s">
        <v>310</v>
      </c>
    </row>
    <row r="30" spans="1:4" x14ac:dyDescent="0.35">
      <c r="B30" s="82" t="s">
        <v>36</v>
      </c>
      <c r="C30" s="83" t="s">
        <v>327</v>
      </c>
      <c r="D30" s="80" t="s">
        <v>312</v>
      </c>
    </row>
    <row r="31" spans="1:4" s="2" customFormat="1" x14ac:dyDescent="0.35">
      <c r="B31" s="82" t="s">
        <v>37</v>
      </c>
      <c r="C31" s="84" t="s">
        <v>328</v>
      </c>
      <c r="D31" s="85" t="s">
        <v>329</v>
      </c>
    </row>
    <row r="32" spans="1:4" s="2" customFormat="1" x14ac:dyDescent="0.35">
      <c r="B32" s="82" t="s">
        <v>38</v>
      </c>
      <c r="C32" s="86" t="s">
        <v>330</v>
      </c>
      <c r="D32" s="80" t="s">
        <v>312</v>
      </c>
    </row>
    <row r="33" spans="1:4" s="2" customFormat="1" x14ac:dyDescent="0.35">
      <c r="B33" s="82" t="s">
        <v>39</v>
      </c>
      <c r="C33" s="87" t="s">
        <v>331</v>
      </c>
      <c r="D33" s="80" t="s">
        <v>312</v>
      </c>
    </row>
    <row r="34" spans="1:4" s="2" customFormat="1" ht="101.5" x14ac:dyDescent="0.35">
      <c r="B34" s="82" t="s">
        <v>332</v>
      </c>
      <c r="C34" s="86" t="s">
        <v>333</v>
      </c>
      <c r="D34" s="80" t="s">
        <v>312</v>
      </c>
    </row>
    <row r="35" spans="1:4" s="2" customFormat="1" ht="29" x14ac:dyDescent="0.35">
      <c r="B35" s="82" t="s">
        <v>40</v>
      </c>
      <c r="C35" s="88" t="s">
        <v>334</v>
      </c>
      <c r="D35" s="85" t="s">
        <v>329</v>
      </c>
    </row>
    <row r="36" spans="1:4" s="2" customFormat="1" x14ac:dyDescent="0.35">
      <c r="B36" s="82" t="s">
        <v>41</v>
      </c>
      <c r="C36" s="88" t="s">
        <v>335</v>
      </c>
      <c r="D36" s="85" t="s">
        <v>329</v>
      </c>
    </row>
    <row r="37" spans="1:4" s="2" customFormat="1" ht="29" x14ac:dyDescent="0.35">
      <c r="B37" s="82" t="s">
        <v>42</v>
      </c>
      <c r="C37" s="89" t="s">
        <v>336</v>
      </c>
      <c r="D37" s="80" t="s">
        <v>312</v>
      </c>
    </row>
    <row r="38" spans="1:4" s="2" customFormat="1" ht="43.5" x14ac:dyDescent="0.35">
      <c r="B38" s="82" t="s">
        <v>43</v>
      </c>
      <c r="C38" s="89" t="s">
        <v>43</v>
      </c>
      <c r="D38" s="80" t="s">
        <v>312</v>
      </c>
    </row>
    <row r="39" spans="1:4" s="2" customFormat="1" ht="58" x14ac:dyDescent="0.35">
      <c r="B39" s="82" t="s">
        <v>44</v>
      </c>
      <c r="C39" s="89" t="s">
        <v>44</v>
      </c>
      <c r="D39" s="80" t="s">
        <v>312</v>
      </c>
    </row>
    <row r="40" spans="1:4" s="2" customFormat="1" x14ac:dyDescent="0.35">
      <c r="B40" s="82" t="s">
        <v>45</v>
      </c>
      <c r="C40" s="89" t="s">
        <v>337</v>
      </c>
      <c r="D40" s="80" t="s">
        <v>312</v>
      </c>
    </row>
    <row r="41" spans="1:4" s="2" customFormat="1" ht="29" x14ac:dyDescent="0.35">
      <c r="B41" s="82" t="s">
        <v>46</v>
      </c>
      <c r="C41" s="89" t="s">
        <v>46</v>
      </c>
      <c r="D41" s="80" t="s">
        <v>312</v>
      </c>
    </row>
    <row r="42" spans="1:4" s="2" customFormat="1" ht="43.5" x14ac:dyDescent="0.35">
      <c r="B42" s="82" t="s">
        <v>47</v>
      </c>
      <c r="C42" s="89" t="s">
        <v>47</v>
      </c>
      <c r="D42" s="80" t="s">
        <v>312</v>
      </c>
    </row>
    <row r="43" spans="1:4" s="2" customFormat="1" x14ac:dyDescent="0.35">
      <c r="C43" s="37"/>
    </row>
    <row r="44" spans="1:4" s="2" customFormat="1" x14ac:dyDescent="0.35">
      <c r="C44" s="37"/>
    </row>
    <row r="45" spans="1:4" s="24" customFormat="1" ht="18" x14ac:dyDescent="0.35">
      <c r="A45" s="23"/>
      <c r="B45" s="23"/>
      <c r="C45" s="63" t="s">
        <v>338</v>
      </c>
    </row>
    <row r="46" spans="1:4" s="24" customFormat="1" ht="14.4" customHeight="1" x14ac:dyDescent="0.35">
      <c r="C46" s="25"/>
    </row>
    <row r="47" spans="1:4" s="29" customFormat="1" ht="16" x14ac:dyDescent="0.4">
      <c r="A47" s="30"/>
      <c r="B47" s="81" t="s">
        <v>309</v>
      </c>
      <c r="C47" s="81" t="s">
        <v>39</v>
      </c>
      <c r="D47" s="81" t="s">
        <v>339</v>
      </c>
    </row>
    <row r="48" spans="1:4" x14ac:dyDescent="0.35">
      <c r="B48" s="82" t="s">
        <v>340</v>
      </c>
      <c r="C48" s="83" t="s">
        <v>341</v>
      </c>
      <c r="D48" s="90" t="s">
        <v>342</v>
      </c>
    </row>
    <row r="49" spans="2:4" x14ac:dyDescent="0.35">
      <c r="B49" s="82" t="s">
        <v>50</v>
      </c>
      <c r="C49" s="83" t="s">
        <v>343</v>
      </c>
      <c r="D49" s="90" t="s">
        <v>342</v>
      </c>
    </row>
    <row r="50" spans="2:4" ht="29" x14ac:dyDescent="0.35">
      <c r="B50" s="82" t="s">
        <v>51</v>
      </c>
      <c r="C50" s="83" t="s">
        <v>344</v>
      </c>
      <c r="D50" s="91" t="s">
        <v>312</v>
      </c>
    </row>
    <row r="51" spans="2:4" ht="29" x14ac:dyDescent="0.35">
      <c r="B51" s="82" t="s">
        <v>24</v>
      </c>
      <c r="C51" s="83" t="s">
        <v>345</v>
      </c>
      <c r="D51" s="92" t="s">
        <v>329</v>
      </c>
    </row>
    <row r="52" spans="2:4" ht="29" x14ac:dyDescent="0.35">
      <c r="B52" s="82" t="s">
        <v>52</v>
      </c>
      <c r="C52" s="83" t="s">
        <v>346</v>
      </c>
      <c r="D52" s="92" t="s">
        <v>329</v>
      </c>
    </row>
    <row r="53" spans="2:4" s="2" customFormat="1" x14ac:dyDescent="0.35">
      <c r="C53" s="37"/>
    </row>
    <row r="54" spans="2:4" s="2" customFormat="1" x14ac:dyDescent="0.35">
      <c r="C54" s="37"/>
    </row>
    <row r="55" spans="2:4" s="2" customFormat="1" x14ac:dyDescent="0.35">
      <c r="C55" s="37"/>
    </row>
    <row r="56" spans="2:4" s="2" customFormat="1" x14ac:dyDescent="0.35">
      <c r="C56" s="3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58C6F-3671-453F-9B6B-CD95A6EE291E}">
  <dimension ref="A2:O313"/>
  <sheetViews>
    <sheetView topLeftCell="E1" zoomScaleNormal="100" workbookViewId="0">
      <pane ySplit="2" topLeftCell="A3" activePane="bottomLeft" state="frozen"/>
      <selection activeCell="O9" sqref="O9"/>
      <selection pane="bottomLeft" activeCell="O3" sqref="O3:O7"/>
    </sheetView>
  </sheetViews>
  <sheetFormatPr defaultColWidth="10.90625" defaultRowHeight="14.5" x14ac:dyDescent="0.35"/>
  <cols>
    <col min="1" max="1" width="12.54296875" style="2" customWidth="1"/>
    <col min="2" max="2" width="0.453125" style="34" customWidth="1"/>
    <col min="3" max="3" width="82.6328125" style="2" bestFit="1" customWidth="1"/>
    <col min="4" max="4" width="0.453125" style="34" customWidth="1"/>
    <col min="5" max="5" width="30" style="2" customWidth="1"/>
    <col min="6" max="6" width="0.453125" style="34" customWidth="1"/>
    <col min="7" max="7" width="43.6328125" style="2" bestFit="1" customWidth="1"/>
    <col min="8" max="8" width="0.453125" style="34" customWidth="1"/>
    <col min="9" max="9" width="30.90625" style="2" bestFit="1" customWidth="1"/>
    <col min="10" max="10" width="0.453125" style="34" customWidth="1"/>
    <col min="11" max="11" width="9.81640625" style="2" customWidth="1"/>
    <col min="12" max="12" width="0.453125" style="34" customWidth="1"/>
    <col min="13" max="13" width="10.81640625" style="2" bestFit="1" customWidth="1"/>
    <col min="14" max="14" width="0.453125" style="34" customWidth="1"/>
    <col min="15" max="15" width="25.1796875" style="2" bestFit="1" customWidth="1"/>
    <col min="16" max="16384" width="10.90625" style="2"/>
  </cols>
  <sheetData>
    <row r="2" spans="1:15" s="31" customFormat="1" ht="18.5" x14ac:dyDescent="0.45">
      <c r="A2" s="31" t="s">
        <v>332</v>
      </c>
      <c r="B2" s="33"/>
      <c r="C2" s="31" t="s">
        <v>347</v>
      </c>
      <c r="D2" s="33"/>
      <c r="E2" s="31" t="s">
        <v>15</v>
      </c>
      <c r="F2" s="33"/>
      <c r="G2" s="31" t="s">
        <v>17</v>
      </c>
      <c r="H2" s="33"/>
      <c r="I2" s="35" t="s">
        <v>348</v>
      </c>
      <c r="J2" s="33"/>
      <c r="K2" s="35" t="s">
        <v>693</v>
      </c>
      <c r="L2" s="33"/>
      <c r="M2" s="35" t="s">
        <v>696</v>
      </c>
      <c r="N2" s="33"/>
      <c r="O2" s="35" t="s">
        <v>702</v>
      </c>
    </row>
    <row r="3" spans="1:15" x14ac:dyDescent="0.35">
      <c r="A3" s="2" t="s">
        <v>347</v>
      </c>
      <c r="C3" s="32" t="s">
        <v>349</v>
      </c>
      <c r="E3" s="2" t="s">
        <v>350</v>
      </c>
      <c r="G3" s="2" t="s">
        <v>18</v>
      </c>
      <c r="I3" s="46" t="s">
        <v>25</v>
      </c>
      <c r="K3" s="46" t="s">
        <v>698</v>
      </c>
      <c r="M3" s="46" t="s">
        <v>699</v>
      </c>
      <c r="O3" s="46" t="s">
        <v>704</v>
      </c>
    </row>
    <row r="4" spans="1:15" x14ac:dyDescent="0.35">
      <c r="A4" s="2" t="s">
        <v>15</v>
      </c>
      <c r="C4" s="32" t="s">
        <v>351</v>
      </c>
      <c r="E4" s="2" t="s">
        <v>352</v>
      </c>
      <c r="G4" s="2" t="s">
        <v>353</v>
      </c>
      <c r="I4" s="46" t="s">
        <v>26</v>
      </c>
      <c r="K4" s="46" t="s">
        <v>694</v>
      </c>
      <c r="M4" s="46" t="s">
        <v>700</v>
      </c>
      <c r="O4" s="46" t="s">
        <v>705</v>
      </c>
    </row>
    <row r="5" spans="1:15" x14ac:dyDescent="0.35">
      <c r="A5" s="2" t="s">
        <v>17</v>
      </c>
      <c r="C5" s="32" t="s">
        <v>354</v>
      </c>
      <c r="E5" s="2" t="s">
        <v>355</v>
      </c>
      <c r="G5" s="2" t="s">
        <v>356</v>
      </c>
      <c r="I5" s="46" t="s">
        <v>357</v>
      </c>
      <c r="K5" s="46" t="s">
        <v>697</v>
      </c>
      <c r="M5" s="46" t="s">
        <v>701</v>
      </c>
      <c r="O5" s="46" t="s">
        <v>706</v>
      </c>
    </row>
    <row r="6" spans="1:15" x14ac:dyDescent="0.35">
      <c r="C6" s="32" t="s">
        <v>358</v>
      </c>
      <c r="E6" s="2" t="s">
        <v>359</v>
      </c>
      <c r="G6" s="2" t="s">
        <v>360</v>
      </c>
      <c r="O6" s="2" t="s">
        <v>342</v>
      </c>
    </row>
    <row r="7" spans="1:15" x14ac:dyDescent="0.35">
      <c r="C7" s="32" t="s">
        <v>361</v>
      </c>
      <c r="E7" s="2" t="s">
        <v>362</v>
      </c>
      <c r="G7" s="2" t="s">
        <v>363</v>
      </c>
    </row>
    <row r="8" spans="1:15" x14ac:dyDescent="0.35">
      <c r="C8" s="32" t="s">
        <v>364</v>
      </c>
      <c r="E8" s="2" t="s">
        <v>365</v>
      </c>
      <c r="G8" s="2" t="s">
        <v>366</v>
      </c>
    </row>
    <row r="9" spans="1:15" x14ac:dyDescent="0.35">
      <c r="C9" s="32" t="s">
        <v>367</v>
      </c>
      <c r="E9" s="2" t="s">
        <v>368</v>
      </c>
      <c r="G9" s="2" t="s">
        <v>369</v>
      </c>
    </row>
    <row r="10" spans="1:15" x14ac:dyDescent="0.35">
      <c r="C10" s="32" t="s">
        <v>370</v>
      </c>
      <c r="E10" s="2" t="s">
        <v>371</v>
      </c>
      <c r="G10" s="2" t="s">
        <v>372</v>
      </c>
    </row>
    <row r="11" spans="1:15" x14ac:dyDescent="0.35">
      <c r="C11" s="32" t="s">
        <v>373</v>
      </c>
      <c r="E11" s="2" t="s">
        <v>374</v>
      </c>
      <c r="G11" s="2" t="s">
        <v>375</v>
      </c>
    </row>
    <row r="12" spans="1:15" x14ac:dyDescent="0.35">
      <c r="C12" s="32" t="s">
        <v>376</v>
      </c>
      <c r="E12" s="2" t="s">
        <v>377</v>
      </c>
      <c r="G12" s="2" t="s">
        <v>378</v>
      </c>
    </row>
    <row r="13" spans="1:15" x14ac:dyDescent="0.35">
      <c r="C13" s="32" t="s">
        <v>379</v>
      </c>
      <c r="E13" s="2" t="s">
        <v>380</v>
      </c>
      <c r="G13" s="2" t="s">
        <v>381</v>
      </c>
    </row>
    <row r="14" spans="1:15" x14ac:dyDescent="0.35">
      <c r="C14" s="32" t="s">
        <v>382</v>
      </c>
      <c r="E14" s="2" t="s">
        <v>383</v>
      </c>
      <c r="G14" s="2" t="s">
        <v>384</v>
      </c>
    </row>
    <row r="15" spans="1:15" x14ac:dyDescent="0.35">
      <c r="C15" s="32" t="s">
        <v>385</v>
      </c>
      <c r="E15" s="2" t="s">
        <v>386</v>
      </c>
      <c r="G15" s="2" t="s">
        <v>387</v>
      </c>
    </row>
    <row r="16" spans="1:15" x14ac:dyDescent="0.35">
      <c r="C16" s="32" t="s">
        <v>388</v>
      </c>
      <c r="E16" s="2" t="s">
        <v>389</v>
      </c>
      <c r="G16" s="2" t="s">
        <v>390</v>
      </c>
    </row>
    <row r="17" spans="3:7" x14ac:dyDescent="0.35">
      <c r="C17" s="32" t="s">
        <v>391</v>
      </c>
      <c r="E17" s="2" t="s">
        <v>392</v>
      </c>
      <c r="G17" s="2" t="s">
        <v>393</v>
      </c>
    </row>
    <row r="18" spans="3:7" x14ac:dyDescent="0.35">
      <c r="C18" s="32" t="s">
        <v>394</v>
      </c>
      <c r="E18" s="2" t="s">
        <v>395</v>
      </c>
    </row>
    <row r="19" spans="3:7" x14ac:dyDescent="0.35">
      <c r="C19" s="32" t="s">
        <v>396</v>
      </c>
      <c r="E19" s="2" t="s">
        <v>397</v>
      </c>
    </row>
    <row r="20" spans="3:7" x14ac:dyDescent="0.35">
      <c r="C20" s="32" t="s">
        <v>398</v>
      </c>
      <c r="E20" s="2" t="s">
        <v>399</v>
      </c>
    </row>
    <row r="21" spans="3:7" x14ac:dyDescent="0.35">
      <c r="E21" s="2" t="s">
        <v>400</v>
      </c>
    </row>
    <row r="22" spans="3:7" x14ac:dyDescent="0.35">
      <c r="E22" s="2" t="s">
        <v>401</v>
      </c>
    </row>
    <row r="23" spans="3:7" x14ac:dyDescent="0.35">
      <c r="E23" s="2" t="s">
        <v>402</v>
      </c>
    </row>
    <row r="24" spans="3:7" x14ac:dyDescent="0.35">
      <c r="E24" s="2" t="s">
        <v>403</v>
      </c>
    </row>
    <row r="25" spans="3:7" x14ac:dyDescent="0.35">
      <c r="E25" s="2" t="s">
        <v>16</v>
      </c>
    </row>
    <row r="26" spans="3:7" x14ac:dyDescent="0.35">
      <c r="E26" s="2" t="s">
        <v>404</v>
      </c>
    </row>
    <row r="27" spans="3:7" x14ac:dyDescent="0.35">
      <c r="E27" s="2" t="s">
        <v>405</v>
      </c>
    </row>
    <row r="28" spans="3:7" x14ac:dyDescent="0.35">
      <c r="E28" s="2" t="s">
        <v>406</v>
      </c>
    </row>
    <row r="29" spans="3:7" x14ac:dyDescent="0.35">
      <c r="E29" s="2" t="s">
        <v>407</v>
      </c>
    </row>
    <row r="30" spans="3:7" x14ac:dyDescent="0.35">
      <c r="E30" s="2" t="s">
        <v>408</v>
      </c>
    </row>
    <row r="31" spans="3:7" x14ac:dyDescent="0.35">
      <c r="E31" s="2" t="s">
        <v>409</v>
      </c>
    </row>
    <row r="32" spans="3:7" x14ac:dyDescent="0.35">
      <c r="E32" s="2" t="s">
        <v>410</v>
      </c>
    </row>
    <row r="33" spans="5:5" x14ac:dyDescent="0.35">
      <c r="E33" s="2" t="s">
        <v>411</v>
      </c>
    </row>
    <row r="34" spans="5:5" x14ac:dyDescent="0.35">
      <c r="E34" s="2" t="s">
        <v>412</v>
      </c>
    </row>
    <row r="35" spans="5:5" x14ac:dyDescent="0.35">
      <c r="E35" s="2" t="s">
        <v>413</v>
      </c>
    </row>
    <row r="36" spans="5:5" x14ac:dyDescent="0.35">
      <c r="E36" s="2" t="s">
        <v>414</v>
      </c>
    </row>
    <row r="37" spans="5:5" x14ac:dyDescent="0.35">
      <c r="E37" s="2" t="s">
        <v>415</v>
      </c>
    </row>
    <row r="38" spans="5:5" x14ac:dyDescent="0.35">
      <c r="E38" s="2" t="s">
        <v>416</v>
      </c>
    </row>
    <row r="39" spans="5:5" x14ac:dyDescent="0.35">
      <c r="E39" s="2" t="s">
        <v>417</v>
      </c>
    </row>
    <row r="40" spans="5:5" x14ac:dyDescent="0.35">
      <c r="E40" s="2" t="s">
        <v>418</v>
      </c>
    </row>
    <row r="41" spans="5:5" x14ac:dyDescent="0.35">
      <c r="E41" s="2" t="s">
        <v>419</v>
      </c>
    </row>
    <row r="42" spans="5:5" x14ac:dyDescent="0.35">
      <c r="E42" s="2" t="s">
        <v>420</v>
      </c>
    </row>
    <row r="43" spans="5:5" x14ac:dyDescent="0.35">
      <c r="E43" s="2" t="s">
        <v>421</v>
      </c>
    </row>
    <row r="44" spans="5:5" x14ac:dyDescent="0.35">
      <c r="E44" s="2" t="s">
        <v>422</v>
      </c>
    </row>
    <row r="45" spans="5:5" x14ac:dyDescent="0.35">
      <c r="E45" s="2" t="s">
        <v>423</v>
      </c>
    </row>
    <row r="46" spans="5:5" x14ac:dyDescent="0.35">
      <c r="E46" s="2" t="s">
        <v>424</v>
      </c>
    </row>
    <row r="47" spans="5:5" x14ac:dyDescent="0.35">
      <c r="E47" s="2" t="s">
        <v>425</v>
      </c>
    </row>
    <row r="48" spans="5:5" x14ac:dyDescent="0.35">
      <c r="E48" s="2" t="s">
        <v>426</v>
      </c>
    </row>
    <row r="49" spans="5:5" x14ac:dyDescent="0.35">
      <c r="E49" s="2" t="s">
        <v>427</v>
      </c>
    </row>
    <row r="50" spans="5:5" x14ac:dyDescent="0.35">
      <c r="E50" s="2" t="s">
        <v>428</v>
      </c>
    </row>
    <row r="51" spans="5:5" x14ac:dyDescent="0.35">
      <c r="E51" s="2" t="s">
        <v>429</v>
      </c>
    </row>
    <row r="52" spans="5:5" x14ac:dyDescent="0.35">
      <c r="E52" s="2" t="s">
        <v>430</v>
      </c>
    </row>
    <row r="53" spans="5:5" x14ac:dyDescent="0.35">
      <c r="E53" s="2" t="s">
        <v>431</v>
      </c>
    </row>
    <row r="54" spans="5:5" x14ac:dyDescent="0.35">
      <c r="E54" s="2" t="s">
        <v>432</v>
      </c>
    </row>
    <row r="55" spans="5:5" x14ac:dyDescent="0.35">
      <c r="E55" s="2" t="s">
        <v>433</v>
      </c>
    </row>
    <row r="56" spans="5:5" x14ac:dyDescent="0.35">
      <c r="E56" s="2" t="s">
        <v>434</v>
      </c>
    </row>
    <row r="57" spans="5:5" x14ac:dyDescent="0.35">
      <c r="E57" s="2" t="s">
        <v>435</v>
      </c>
    </row>
    <row r="58" spans="5:5" x14ac:dyDescent="0.35">
      <c r="E58" s="2" t="s">
        <v>436</v>
      </c>
    </row>
    <row r="59" spans="5:5" x14ac:dyDescent="0.35">
      <c r="E59" s="2" t="s">
        <v>437</v>
      </c>
    </row>
    <row r="60" spans="5:5" x14ac:dyDescent="0.35">
      <c r="E60" s="2" t="s">
        <v>438</v>
      </c>
    </row>
    <row r="61" spans="5:5" x14ac:dyDescent="0.35">
      <c r="E61" s="2" t="s">
        <v>439</v>
      </c>
    </row>
    <row r="62" spans="5:5" x14ac:dyDescent="0.35">
      <c r="E62" s="2" t="s">
        <v>440</v>
      </c>
    </row>
    <row r="63" spans="5:5" x14ac:dyDescent="0.35">
      <c r="E63" s="2" t="s">
        <v>441</v>
      </c>
    </row>
    <row r="64" spans="5:5" x14ac:dyDescent="0.35">
      <c r="E64" s="2" t="s">
        <v>442</v>
      </c>
    </row>
    <row r="65" spans="5:5" x14ac:dyDescent="0.35">
      <c r="E65" s="2" t="s">
        <v>443</v>
      </c>
    </row>
    <row r="66" spans="5:5" x14ac:dyDescent="0.35">
      <c r="E66" s="2" t="s">
        <v>444</v>
      </c>
    </row>
    <row r="67" spans="5:5" x14ac:dyDescent="0.35">
      <c r="E67" s="2" t="s">
        <v>445</v>
      </c>
    </row>
    <row r="68" spans="5:5" x14ac:dyDescent="0.35">
      <c r="E68" s="2" t="s">
        <v>446</v>
      </c>
    </row>
    <row r="69" spans="5:5" x14ac:dyDescent="0.35">
      <c r="E69" s="2" t="s">
        <v>447</v>
      </c>
    </row>
    <row r="70" spans="5:5" x14ac:dyDescent="0.35">
      <c r="E70" s="2" t="s">
        <v>448</v>
      </c>
    </row>
    <row r="71" spans="5:5" x14ac:dyDescent="0.35">
      <c r="E71" s="2" t="s">
        <v>449</v>
      </c>
    </row>
    <row r="72" spans="5:5" x14ac:dyDescent="0.35">
      <c r="E72" s="2" t="s">
        <v>450</v>
      </c>
    </row>
    <row r="73" spans="5:5" x14ac:dyDescent="0.35">
      <c r="E73" s="2" t="s">
        <v>451</v>
      </c>
    </row>
    <row r="74" spans="5:5" x14ac:dyDescent="0.35">
      <c r="E74" s="2" t="s">
        <v>452</v>
      </c>
    </row>
    <row r="75" spans="5:5" x14ac:dyDescent="0.35">
      <c r="E75" s="2" t="s">
        <v>453</v>
      </c>
    </row>
    <row r="76" spans="5:5" x14ac:dyDescent="0.35">
      <c r="E76" s="2" t="s">
        <v>454</v>
      </c>
    </row>
    <row r="77" spans="5:5" x14ac:dyDescent="0.35">
      <c r="E77" s="2" t="s">
        <v>455</v>
      </c>
    </row>
    <row r="78" spans="5:5" x14ac:dyDescent="0.35">
      <c r="E78" s="2" t="s">
        <v>456</v>
      </c>
    </row>
    <row r="79" spans="5:5" x14ac:dyDescent="0.35">
      <c r="E79" s="2" t="s">
        <v>457</v>
      </c>
    </row>
    <row r="80" spans="5:5" x14ac:dyDescent="0.35">
      <c r="E80" s="2" t="s">
        <v>458</v>
      </c>
    </row>
    <row r="81" spans="5:5" x14ac:dyDescent="0.35">
      <c r="E81" s="2" t="s">
        <v>459</v>
      </c>
    </row>
    <row r="82" spans="5:5" x14ac:dyDescent="0.35">
      <c r="E82" s="2" t="s">
        <v>460</v>
      </c>
    </row>
    <row r="83" spans="5:5" x14ac:dyDescent="0.35">
      <c r="E83" s="2" t="s">
        <v>461</v>
      </c>
    </row>
    <row r="84" spans="5:5" x14ac:dyDescent="0.35">
      <c r="E84" s="2" t="s">
        <v>462</v>
      </c>
    </row>
    <row r="85" spans="5:5" x14ac:dyDescent="0.35">
      <c r="E85" s="2" t="s">
        <v>463</v>
      </c>
    </row>
    <row r="86" spans="5:5" x14ac:dyDescent="0.35">
      <c r="E86" s="2" t="s">
        <v>464</v>
      </c>
    </row>
    <row r="87" spans="5:5" x14ac:dyDescent="0.35">
      <c r="E87" s="2" t="s">
        <v>465</v>
      </c>
    </row>
    <row r="88" spans="5:5" x14ac:dyDescent="0.35">
      <c r="E88" s="2" t="s">
        <v>466</v>
      </c>
    </row>
    <row r="89" spans="5:5" x14ac:dyDescent="0.35">
      <c r="E89" s="2" t="s">
        <v>467</v>
      </c>
    </row>
    <row r="90" spans="5:5" x14ac:dyDescent="0.35">
      <c r="E90" s="2" t="s">
        <v>468</v>
      </c>
    </row>
    <row r="91" spans="5:5" x14ac:dyDescent="0.35">
      <c r="E91" s="2" t="s">
        <v>469</v>
      </c>
    </row>
    <row r="92" spans="5:5" x14ac:dyDescent="0.35">
      <c r="E92" s="2" t="s">
        <v>470</v>
      </c>
    </row>
    <row r="93" spans="5:5" x14ac:dyDescent="0.35">
      <c r="E93" s="2" t="s">
        <v>471</v>
      </c>
    </row>
    <row r="94" spans="5:5" x14ac:dyDescent="0.35">
      <c r="E94" s="2" t="s">
        <v>472</v>
      </c>
    </row>
    <row r="95" spans="5:5" x14ac:dyDescent="0.35">
      <c r="E95" s="2" t="s">
        <v>473</v>
      </c>
    </row>
    <row r="96" spans="5:5" x14ac:dyDescent="0.35">
      <c r="E96" s="2" t="s">
        <v>474</v>
      </c>
    </row>
    <row r="97" spans="5:5" x14ac:dyDescent="0.35">
      <c r="E97" s="2" t="s">
        <v>475</v>
      </c>
    </row>
    <row r="98" spans="5:5" x14ac:dyDescent="0.35">
      <c r="E98" s="2" t="s">
        <v>476</v>
      </c>
    </row>
    <row r="99" spans="5:5" x14ac:dyDescent="0.35">
      <c r="E99" s="2" t="s">
        <v>477</v>
      </c>
    </row>
    <row r="100" spans="5:5" x14ac:dyDescent="0.35">
      <c r="E100" s="2" t="s">
        <v>478</v>
      </c>
    </row>
    <row r="101" spans="5:5" x14ac:dyDescent="0.35">
      <c r="E101" s="2" t="s">
        <v>479</v>
      </c>
    </row>
    <row r="102" spans="5:5" x14ac:dyDescent="0.35">
      <c r="E102" s="2" t="s">
        <v>480</v>
      </c>
    </row>
    <row r="103" spans="5:5" x14ac:dyDescent="0.35">
      <c r="E103" s="2" t="s">
        <v>481</v>
      </c>
    </row>
    <row r="104" spans="5:5" x14ac:dyDescent="0.35">
      <c r="E104" s="2" t="s">
        <v>482</v>
      </c>
    </row>
    <row r="105" spans="5:5" x14ac:dyDescent="0.35">
      <c r="E105" s="2" t="s">
        <v>483</v>
      </c>
    </row>
    <row r="106" spans="5:5" x14ac:dyDescent="0.35">
      <c r="E106" s="2" t="s">
        <v>484</v>
      </c>
    </row>
    <row r="107" spans="5:5" x14ac:dyDescent="0.35">
      <c r="E107" s="2" t="s">
        <v>485</v>
      </c>
    </row>
    <row r="108" spans="5:5" x14ac:dyDescent="0.35">
      <c r="E108" s="2" t="s">
        <v>486</v>
      </c>
    </row>
    <row r="109" spans="5:5" x14ac:dyDescent="0.35">
      <c r="E109" s="2" t="s">
        <v>487</v>
      </c>
    </row>
    <row r="110" spans="5:5" x14ac:dyDescent="0.35">
      <c r="E110" s="2" t="s">
        <v>488</v>
      </c>
    </row>
    <row r="111" spans="5:5" x14ac:dyDescent="0.35">
      <c r="E111" s="2" t="s">
        <v>489</v>
      </c>
    </row>
    <row r="112" spans="5:5" x14ac:dyDescent="0.35">
      <c r="E112" s="2" t="s">
        <v>490</v>
      </c>
    </row>
    <row r="113" spans="5:5" x14ac:dyDescent="0.35">
      <c r="E113" s="2" t="s">
        <v>491</v>
      </c>
    </row>
    <row r="114" spans="5:5" x14ac:dyDescent="0.35">
      <c r="E114" s="2" t="s">
        <v>492</v>
      </c>
    </row>
    <row r="115" spans="5:5" x14ac:dyDescent="0.35">
      <c r="E115" s="2" t="s">
        <v>493</v>
      </c>
    </row>
    <row r="116" spans="5:5" x14ac:dyDescent="0.35">
      <c r="E116" s="2" t="s">
        <v>494</v>
      </c>
    </row>
    <row r="117" spans="5:5" x14ac:dyDescent="0.35">
      <c r="E117" s="2" t="s">
        <v>495</v>
      </c>
    </row>
    <row r="118" spans="5:5" x14ac:dyDescent="0.35">
      <c r="E118" s="2" t="s">
        <v>496</v>
      </c>
    </row>
    <row r="119" spans="5:5" x14ac:dyDescent="0.35">
      <c r="E119" s="2" t="s">
        <v>497</v>
      </c>
    </row>
    <row r="120" spans="5:5" x14ac:dyDescent="0.35">
      <c r="E120" s="2" t="s">
        <v>498</v>
      </c>
    </row>
    <row r="121" spans="5:5" x14ac:dyDescent="0.35">
      <c r="E121" s="2" t="s">
        <v>499</v>
      </c>
    </row>
    <row r="122" spans="5:5" x14ac:dyDescent="0.35">
      <c r="E122" s="2" t="s">
        <v>500</v>
      </c>
    </row>
    <row r="123" spans="5:5" x14ac:dyDescent="0.35">
      <c r="E123" s="2" t="s">
        <v>501</v>
      </c>
    </row>
    <row r="124" spans="5:5" x14ac:dyDescent="0.35">
      <c r="E124" s="2" t="s">
        <v>502</v>
      </c>
    </row>
    <row r="125" spans="5:5" x14ac:dyDescent="0.35">
      <c r="E125" s="2" t="s">
        <v>503</v>
      </c>
    </row>
    <row r="126" spans="5:5" x14ac:dyDescent="0.35">
      <c r="E126" s="2" t="s">
        <v>504</v>
      </c>
    </row>
    <row r="127" spans="5:5" x14ac:dyDescent="0.35">
      <c r="E127" s="2" t="s">
        <v>505</v>
      </c>
    </row>
    <row r="128" spans="5:5" x14ac:dyDescent="0.35">
      <c r="E128" s="2" t="s">
        <v>506</v>
      </c>
    </row>
    <row r="129" spans="5:5" x14ac:dyDescent="0.35">
      <c r="E129" s="2" t="s">
        <v>507</v>
      </c>
    </row>
    <row r="130" spans="5:5" x14ac:dyDescent="0.35">
      <c r="E130" s="2" t="s">
        <v>508</v>
      </c>
    </row>
    <row r="131" spans="5:5" x14ac:dyDescent="0.35">
      <c r="E131" s="2" t="s">
        <v>509</v>
      </c>
    </row>
    <row r="132" spans="5:5" x14ac:dyDescent="0.35">
      <c r="E132" s="2" t="s">
        <v>510</v>
      </c>
    </row>
    <row r="133" spans="5:5" x14ac:dyDescent="0.35">
      <c r="E133" s="2" t="s">
        <v>511</v>
      </c>
    </row>
    <row r="134" spans="5:5" x14ac:dyDescent="0.35">
      <c r="E134" s="2" t="s">
        <v>512</v>
      </c>
    </row>
    <row r="135" spans="5:5" x14ac:dyDescent="0.35">
      <c r="E135" s="2" t="s">
        <v>513</v>
      </c>
    </row>
    <row r="136" spans="5:5" x14ac:dyDescent="0.35">
      <c r="E136" s="2" t="s">
        <v>514</v>
      </c>
    </row>
    <row r="137" spans="5:5" x14ac:dyDescent="0.35">
      <c r="E137" s="2" t="s">
        <v>515</v>
      </c>
    </row>
    <row r="138" spans="5:5" x14ac:dyDescent="0.35">
      <c r="E138" s="2" t="s">
        <v>516</v>
      </c>
    </row>
    <row r="139" spans="5:5" x14ac:dyDescent="0.35">
      <c r="E139" s="2" t="s">
        <v>517</v>
      </c>
    </row>
    <row r="140" spans="5:5" x14ac:dyDescent="0.35">
      <c r="E140" s="2" t="s">
        <v>518</v>
      </c>
    </row>
    <row r="141" spans="5:5" x14ac:dyDescent="0.35">
      <c r="E141" s="2" t="s">
        <v>519</v>
      </c>
    </row>
    <row r="142" spans="5:5" x14ac:dyDescent="0.35">
      <c r="E142" s="2" t="s">
        <v>520</v>
      </c>
    </row>
    <row r="143" spans="5:5" x14ac:dyDescent="0.35">
      <c r="E143" s="2" t="s">
        <v>521</v>
      </c>
    </row>
    <row r="144" spans="5:5" x14ac:dyDescent="0.35">
      <c r="E144" s="2" t="s">
        <v>522</v>
      </c>
    </row>
    <row r="145" spans="5:5" x14ac:dyDescent="0.35">
      <c r="E145" s="2" t="s">
        <v>523</v>
      </c>
    </row>
    <row r="146" spans="5:5" x14ac:dyDescent="0.35">
      <c r="E146" s="2" t="s">
        <v>524</v>
      </c>
    </row>
    <row r="147" spans="5:5" x14ac:dyDescent="0.35">
      <c r="E147" s="2" t="s">
        <v>525</v>
      </c>
    </row>
    <row r="148" spans="5:5" x14ac:dyDescent="0.35">
      <c r="E148" s="2" t="s">
        <v>526</v>
      </c>
    </row>
    <row r="149" spans="5:5" x14ac:dyDescent="0.35">
      <c r="E149" s="2" t="s">
        <v>527</v>
      </c>
    </row>
    <row r="150" spans="5:5" x14ac:dyDescent="0.35">
      <c r="E150" s="2" t="s">
        <v>528</v>
      </c>
    </row>
    <row r="151" spans="5:5" x14ac:dyDescent="0.35">
      <c r="E151" s="2" t="s">
        <v>529</v>
      </c>
    </row>
    <row r="152" spans="5:5" x14ac:dyDescent="0.35">
      <c r="E152" s="2" t="s">
        <v>530</v>
      </c>
    </row>
    <row r="153" spans="5:5" x14ac:dyDescent="0.35">
      <c r="E153" s="2" t="s">
        <v>531</v>
      </c>
    </row>
    <row r="154" spans="5:5" x14ac:dyDescent="0.35">
      <c r="E154" s="2" t="s">
        <v>532</v>
      </c>
    </row>
    <row r="155" spans="5:5" x14ac:dyDescent="0.35">
      <c r="E155" s="2" t="s">
        <v>533</v>
      </c>
    </row>
    <row r="156" spans="5:5" x14ac:dyDescent="0.35">
      <c r="E156" s="2" t="s">
        <v>534</v>
      </c>
    </row>
    <row r="157" spans="5:5" x14ac:dyDescent="0.35">
      <c r="E157" s="2" t="s">
        <v>535</v>
      </c>
    </row>
    <row r="158" spans="5:5" x14ac:dyDescent="0.35">
      <c r="E158" s="2" t="s">
        <v>536</v>
      </c>
    </row>
    <row r="159" spans="5:5" x14ac:dyDescent="0.35">
      <c r="E159" s="2" t="s">
        <v>537</v>
      </c>
    </row>
    <row r="160" spans="5:5" x14ac:dyDescent="0.35">
      <c r="E160" s="2" t="s">
        <v>538</v>
      </c>
    </row>
    <row r="161" spans="5:5" x14ac:dyDescent="0.35">
      <c r="E161" s="2" t="s">
        <v>539</v>
      </c>
    </row>
    <row r="162" spans="5:5" x14ac:dyDescent="0.35">
      <c r="E162" s="2" t="s">
        <v>540</v>
      </c>
    </row>
    <row r="163" spans="5:5" x14ac:dyDescent="0.35">
      <c r="E163" s="2" t="s">
        <v>541</v>
      </c>
    </row>
    <row r="164" spans="5:5" x14ac:dyDescent="0.35">
      <c r="E164" s="2" t="s">
        <v>542</v>
      </c>
    </row>
    <row r="165" spans="5:5" x14ac:dyDescent="0.35">
      <c r="E165" s="2" t="s">
        <v>543</v>
      </c>
    </row>
    <row r="166" spans="5:5" x14ac:dyDescent="0.35">
      <c r="E166" s="2" t="s">
        <v>544</v>
      </c>
    </row>
    <row r="167" spans="5:5" x14ac:dyDescent="0.35">
      <c r="E167" s="2" t="s">
        <v>545</v>
      </c>
    </row>
    <row r="168" spans="5:5" x14ac:dyDescent="0.35">
      <c r="E168" s="2" t="s">
        <v>546</v>
      </c>
    </row>
    <row r="169" spans="5:5" x14ac:dyDescent="0.35">
      <c r="E169" s="2" t="s">
        <v>547</v>
      </c>
    </row>
    <row r="170" spans="5:5" x14ac:dyDescent="0.35">
      <c r="E170" s="2" t="s">
        <v>548</v>
      </c>
    </row>
    <row r="171" spans="5:5" x14ac:dyDescent="0.35">
      <c r="E171" s="2" t="s">
        <v>549</v>
      </c>
    </row>
    <row r="172" spans="5:5" x14ac:dyDescent="0.35">
      <c r="E172" s="2" t="s">
        <v>550</v>
      </c>
    </row>
    <row r="173" spans="5:5" x14ac:dyDescent="0.35">
      <c r="E173" s="2" t="s">
        <v>551</v>
      </c>
    </row>
    <row r="174" spans="5:5" x14ac:dyDescent="0.35">
      <c r="E174" s="2" t="s">
        <v>552</v>
      </c>
    </row>
    <row r="175" spans="5:5" x14ac:dyDescent="0.35">
      <c r="E175" s="2" t="s">
        <v>553</v>
      </c>
    </row>
    <row r="176" spans="5:5" x14ac:dyDescent="0.35">
      <c r="E176" s="2" t="s">
        <v>554</v>
      </c>
    </row>
    <row r="177" spans="5:5" x14ac:dyDescent="0.35">
      <c r="E177" s="2" t="s">
        <v>555</v>
      </c>
    </row>
    <row r="178" spans="5:5" x14ac:dyDescent="0.35">
      <c r="E178" s="2" t="s">
        <v>556</v>
      </c>
    </row>
    <row r="179" spans="5:5" x14ac:dyDescent="0.35">
      <c r="E179" s="2" t="s">
        <v>557</v>
      </c>
    </row>
    <row r="180" spans="5:5" x14ac:dyDescent="0.35">
      <c r="E180" s="2" t="s">
        <v>558</v>
      </c>
    </row>
    <row r="181" spans="5:5" x14ac:dyDescent="0.35">
      <c r="E181" s="2" t="s">
        <v>559</v>
      </c>
    </row>
    <row r="182" spans="5:5" x14ac:dyDescent="0.35">
      <c r="E182" s="2" t="s">
        <v>560</v>
      </c>
    </row>
    <row r="183" spans="5:5" x14ac:dyDescent="0.35">
      <c r="E183" s="2" t="s">
        <v>561</v>
      </c>
    </row>
    <row r="184" spans="5:5" x14ac:dyDescent="0.35">
      <c r="E184" s="2" t="s">
        <v>562</v>
      </c>
    </row>
    <row r="185" spans="5:5" x14ac:dyDescent="0.35">
      <c r="E185" s="2" t="s">
        <v>563</v>
      </c>
    </row>
    <row r="186" spans="5:5" x14ac:dyDescent="0.35">
      <c r="E186" s="2" t="s">
        <v>564</v>
      </c>
    </row>
    <row r="187" spans="5:5" x14ac:dyDescent="0.35">
      <c r="E187" s="2" t="s">
        <v>565</v>
      </c>
    </row>
    <row r="188" spans="5:5" x14ac:dyDescent="0.35">
      <c r="E188" s="2" t="s">
        <v>566</v>
      </c>
    </row>
    <row r="189" spans="5:5" x14ac:dyDescent="0.35">
      <c r="E189" s="2" t="s">
        <v>567</v>
      </c>
    </row>
    <row r="190" spans="5:5" x14ac:dyDescent="0.35">
      <c r="E190" s="2" t="s">
        <v>568</v>
      </c>
    </row>
    <row r="191" spans="5:5" x14ac:dyDescent="0.35">
      <c r="E191" s="2" t="s">
        <v>569</v>
      </c>
    </row>
    <row r="192" spans="5:5" x14ac:dyDescent="0.35">
      <c r="E192" s="2" t="s">
        <v>570</v>
      </c>
    </row>
    <row r="193" spans="5:5" x14ac:dyDescent="0.35">
      <c r="E193" s="2" t="s">
        <v>571</v>
      </c>
    </row>
    <row r="194" spans="5:5" x14ac:dyDescent="0.35">
      <c r="E194" s="2" t="s">
        <v>572</v>
      </c>
    </row>
    <row r="195" spans="5:5" x14ac:dyDescent="0.35">
      <c r="E195" s="2" t="s">
        <v>573</v>
      </c>
    </row>
    <row r="196" spans="5:5" x14ac:dyDescent="0.35">
      <c r="E196" s="2" t="s">
        <v>574</v>
      </c>
    </row>
    <row r="197" spans="5:5" x14ac:dyDescent="0.35">
      <c r="E197" s="2" t="s">
        <v>575</v>
      </c>
    </row>
    <row r="198" spans="5:5" x14ac:dyDescent="0.35">
      <c r="E198" s="2" t="s">
        <v>576</v>
      </c>
    </row>
    <row r="199" spans="5:5" x14ac:dyDescent="0.35">
      <c r="E199" s="2" t="s">
        <v>577</v>
      </c>
    </row>
    <row r="200" spans="5:5" x14ac:dyDescent="0.35">
      <c r="E200" s="2" t="s">
        <v>578</v>
      </c>
    </row>
    <row r="201" spans="5:5" x14ac:dyDescent="0.35">
      <c r="E201" s="2" t="s">
        <v>579</v>
      </c>
    </row>
    <row r="202" spans="5:5" x14ac:dyDescent="0.35">
      <c r="E202" s="2" t="s">
        <v>580</v>
      </c>
    </row>
    <row r="203" spans="5:5" x14ac:dyDescent="0.35">
      <c r="E203" s="2" t="s">
        <v>581</v>
      </c>
    </row>
    <row r="204" spans="5:5" x14ac:dyDescent="0.35">
      <c r="E204" s="2" t="s">
        <v>582</v>
      </c>
    </row>
    <row r="205" spans="5:5" x14ac:dyDescent="0.35">
      <c r="E205" s="2" t="s">
        <v>583</v>
      </c>
    </row>
    <row r="206" spans="5:5" x14ac:dyDescent="0.35">
      <c r="E206" s="2" t="s">
        <v>584</v>
      </c>
    </row>
    <row r="207" spans="5:5" x14ac:dyDescent="0.35">
      <c r="E207" s="2" t="s">
        <v>585</v>
      </c>
    </row>
    <row r="208" spans="5:5" x14ac:dyDescent="0.35">
      <c r="E208" s="2" t="s">
        <v>586</v>
      </c>
    </row>
    <row r="209" spans="5:5" x14ac:dyDescent="0.35">
      <c r="E209" s="2" t="s">
        <v>587</v>
      </c>
    </row>
    <row r="210" spans="5:5" x14ac:dyDescent="0.35">
      <c r="E210" s="2" t="s">
        <v>588</v>
      </c>
    </row>
    <row r="211" spans="5:5" x14ac:dyDescent="0.35">
      <c r="E211" s="2" t="s">
        <v>589</v>
      </c>
    </row>
    <row r="212" spans="5:5" x14ac:dyDescent="0.35">
      <c r="E212" s="2" t="s">
        <v>590</v>
      </c>
    </row>
    <row r="213" spans="5:5" x14ac:dyDescent="0.35">
      <c r="E213" s="2" t="s">
        <v>591</v>
      </c>
    </row>
    <row r="214" spans="5:5" x14ac:dyDescent="0.35">
      <c r="E214" s="2" t="s">
        <v>592</v>
      </c>
    </row>
    <row r="215" spans="5:5" x14ac:dyDescent="0.35">
      <c r="E215" s="2" t="s">
        <v>593</v>
      </c>
    </row>
    <row r="216" spans="5:5" x14ac:dyDescent="0.35">
      <c r="E216" s="2" t="s">
        <v>594</v>
      </c>
    </row>
    <row r="217" spans="5:5" x14ac:dyDescent="0.35">
      <c r="E217" s="2" t="s">
        <v>595</v>
      </c>
    </row>
    <row r="218" spans="5:5" x14ac:dyDescent="0.35">
      <c r="E218" s="2" t="s">
        <v>596</v>
      </c>
    </row>
    <row r="219" spans="5:5" x14ac:dyDescent="0.35">
      <c r="E219" s="2" t="s">
        <v>597</v>
      </c>
    </row>
    <row r="220" spans="5:5" x14ac:dyDescent="0.35">
      <c r="E220" s="2" t="s">
        <v>598</v>
      </c>
    </row>
    <row r="221" spans="5:5" x14ac:dyDescent="0.35">
      <c r="E221" s="2" t="s">
        <v>599</v>
      </c>
    </row>
    <row r="222" spans="5:5" x14ac:dyDescent="0.35">
      <c r="E222" s="2" t="s">
        <v>600</v>
      </c>
    </row>
    <row r="223" spans="5:5" x14ac:dyDescent="0.35">
      <c r="E223" s="2" t="s">
        <v>601</v>
      </c>
    </row>
    <row r="224" spans="5:5" x14ac:dyDescent="0.35">
      <c r="E224" s="2" t="s">
        <v>602</v>
      </c>
    </row>
    <row r="225" spans="5:5" x14ac:dyDescent="0.35">
      <c r="E225" s="2" t="s">
        <v>603</v>
      </c>
    </row>
    <row r="226" spans="5:5" x14ac:dyDescent="0.35">
      <c r="E226" s="2" t="s">
        <v>604</v>
      </c>
    </row>
    <row r="227" spans="5:5" x14ac:dyDescent="0.35">
      <c r="E227" s="2" t="s">
        <v>605</v>
      </c>
    </row>
    <row r="228" spans="5:5" x14ac:dyDescent="0.35">
      <c r="E228" s="2" t="s">
        <v>606</v>
      </c>
    </row>
    <row r="229" spans="5:5" x14ac:dyDescent="0.35">
      <c r="E229" s="2" t="s">
        <v>607</v>
      </c>
    </row>
    <row r="230" spans="5:5" x14ac:dyDescent="0.35">
      <c r="E230" s="2" t="s">
        <v>608</v>
      </c>
    </row>
    <row r="231" spans="5:5" x14ac:dyDescent="0.35">
      <c r="E231" s="2" t="s">
        <v>609</v>
      </c>
    </row>
    <row r="232" spans="5:5" x14ac:dyDescent="0.35">
      <c r="E232" s="2" t="s">
        <v>610</v>
      </c>
    </row>
    <row r="233" spans="5:5" x14ac:dyDescent="0.35">
      <c r="E233" s="2" t="s">
        <v>611</v>
      </c>
    </row>
    <row r="234" spans="5:5" x14ac:dyDescent="0.35">
      <c r="E234" s="2" t="s">
        <v>612</v>
      </c>
    </row>
    <row r="235" spans="5:5" x14ac:dyDescent="0.35">
      <c r="E235" s="2" t="s">
        <v>613</v>
      </c>
    </row>
    <row r="236" spans="5:5" x14ac:dyDescent="0.35">
      <c r="E236" s="2" t="s">
        <v>614</v>
      </c>
    </row>
    <row r="237" spans="5:5" x14ac:dyDescent="0.35">
      <c r="E237" s="2" t="s">
        <v>615</v>
      </c>
    </row>
    <row r="238" spans="5:5" x14ac:dyDescent="0.35">
      <c r="E238" s="2" t="s">
        <v>616</v>
      </c>
    </row>
    <row r="239" spans="5:5" x14ac:dyDescent="0.35">
      <c r="E239" s="2" t="s">
        <v>617</v>
      </c>
    </row>
    <row r="240" spans="5:5" x14ac:dyDescent="0.35">
      <c r="E240" s="2" t="s">
        <v>618</v>
      </c>
    </row>
    <row r="241" spans="5:5" x14ac:dyDescent="0.35">
      <c r="E241" s="2" t="s">
        <v>619</v>
      </c>
    </row>
    <row r="242" spans="5:5" x14ac:dyDescent="0.35">
      <c r="E242" s="2" t="s">
        <v>620</v>
      </c>
    </row>
    <row r="243" spans="5:5" x14ac:dyDescent="0.35">
      <c r="E243" s="2" t="s">
        <v>621</v>
      </c>
    </row>
    <row r="244" spans="5:5" x14ac:dyDescent="0.35">
      <c r="E244" s="2" t="s">
        <v>622</v>
      </c>
    </row>
    <row r="245" spans="5:5" x14ac:dyDescent="0.35">
      <c r="E245" s="2" t="s">
        <v>623</v>
      </c>
    </row>
    <row r="246" spans="5:5" x14ac:dyDescent="0.35">
      <c r="E246" s="2" t="s">
        <v>624</v>
      </c>
    </row>
    <row r="247" spans="5:5" x14ac:dyDescent="0.35">
      <c r="E247" s="2" t="s">
        <v>625</v>
      </c>
    </row>
    <row r="248" spans="5:5" x14ac:dyDescent="0.35">
      <c r="E248" s="2" t="s">
        <v>626</v>
      </c>
    </row>
    <row r="249" spans="5:5" x14ac:dyDescent="0.35">
      <c r="E249" s="2" t="s">
        <v>627</v>
      </c>
    </row>
    <row r="250" spans="5:5" x14ac:dyDescent="0.35">
      <c r="E250" s="2" t="s">
        <v>628</v>
      </c>
    </row>
    <row r="251" spans="5:5" x14ac:dyDescent="0.35">
      <c r="E251" s="2" t="s">
        <v>629</v>
      </c>
    </row>
    <row r="252" spans="5:5" x14ac:dyDescent="0.35">
      <c r="E252" s="2" t="s">
        <v>630</v>
      </c>
    </row>
    <row r="253" spans="5:5" x14ac:dyDescent="0.35">
      <c r="E253" s="2" t="s">
        <v>631</v>
      </c>
    </row>
    <row r="254" spans="5:5" x14ac:dyDescent="0.35">
      <c r="E254" s="2" t="s">
        <v>632</v>
      </c>
    </row>
    <row r="255" spans="5:5" x14ac:dyDescent="0.35">
      <c r="E255" s="2" t="s">
        <v>633</v>
      </c>
    </row>
    <row r="256" spans="5:5" x14ac:dyDescent="0.35">
      <c r="E256" s="2" t="s">
        <v>634</v>
      </c>
    </row>
    <row r="257" spans="5:5" x14ac:dyDescent="0.35">
      <c r="E257" s="2" t="s">
        <v>635</v>
      </c>
    </row>
    <row r="258" spans="5:5" x14ac:dyDescent="0.35">
      <c r="E258" s="2" t="s">
        <v>636</v>
      </c>
    </row>
    <row r="259" spans="5:5" x14ac:dyDescent="0.35">
      <c r="E259" s="2" t="s">
        <v>637</v>
      </c>
    </row>
    <row r="260" spans="5:5" x14ac:dyDescent="0.35">
      <c r="E260" s="2" t="s">
        <v>638</v>
      </c>
    </row>
    <row r="261" spans="5:5" x14ac:dyDescent="0.35">
      <c r="E261" s="2" t="s">
        <v>639</v>
      </c>
    </row>
    <row r="262" spans="5:5" x14ac:dyDescent="0.35">
      <c r="E262" s="2" t="s">
        <v>640</v>
      </c>
    </row>
    <row r="263" spans="5:5" x14ac:dyDescent="0.35">
      <c r="E263" s="2" t="s">
        <v>641</v>
      </c>
    </row>
    <row r="264" spans="5:5" x14ac:dyDescent="0.35">
      <c r="E264" s="2" t="s">
        <v>642</v>
      </c>
    </row>
    <row r="265" spans="5:5" x14ac:dyDescent="0.35">
      <c r="E265" s="2" t="s">
        <v>643</v>
      </c>
    </row>
    <row r="266" spans="5:5" x14ac:dyDescent="0.35">
      <c r="E266" s="2" t="s">
        <v>644</v>
      </c>
    </row>
    <row r="267" spans="5:5" x14ac:dyDescent="0.35">
      <c r="E267" s="2" t="s">
        <v>645</v>
      </c>
    </row>
    <row r="268" spans="5:5" x14ac:dyDescent="0.35">
      <c r="E268" s="2" t="s">
        <v>646</v>
      </c>
    </row>
    <row r="269" spans="5:5" x14ac:dyDescent="0.35">
      <c r="E269" s="2" t="s">
        <v>647</v>
      </c>
    </row>
    <row r="270" spans="5:5" x14ac:dyDescent="0.35">
      <c r="E270" s="2" t="s">
        <v>648</v>
      </c>
    </row>
    <row r="271" spans="5:5" x14ac:dyDescent="0.35">
      <c r="E271" s="2" t="s">
        <v>649</v>
      </c>
    </row>
    <row r="272" spans="5:5" x14ac:dyDescent="0.35">
      <c r="E272" s="2" t="s">
        <v>650</v>
      </c>
    </row>
    <row r="273" spans="5:5" x14ac:dyDescent="0.35">
      <c r="E273" s="2" t="s">
        <v>651</v>
      </c>
    </row>
    <row r="274" spans="5:5" x14ac:dyDescent="0.35">
      <c r="E274" s="2" t="s">
        <v>652</v>
      </c>
    </row>
    <row r="275" spans="5:5" x14ac:dyDescent="0.35">
      <c r="E275" s="2" t="s">
        <v>653</v>
      </c>
    </row>
    <row r="276" spans="5:5" x14ac:dyDescent="0.35">
      <c r="E276" s="2" t="s">
        <v>654</v>
      </c>
    </row>
    <row r="277" spans="5:5" x14ac:dyDescent="0.35">
      <c r="E277" s="2" t="s">
        <v>655</v>
      </c>
    </row>
    <row r="278" spans="5:5" x14ac:dyDescent="0.35">
      <c r="E278" s="2" t="s">
        <v>656</v>
      </c>
    </row>
    <row r="279" spans="5:5" x14ac:dyDescent="0.35">
      <c r="E279" s="2" t="s">
        <v>657</v>
      </c>
    </row>
    <row r="280" spans="5:5" x14ac:dyDescent="0.35">
      <c r="E280" s="2" t="s">
        <v>658</v>
      </c>
    </row>
    <row r="281" spans="5:5" x14ac:dyDescent="0.35">
      <c r="E281" s="2" t="s">
        <v>659</v>
      </c>
    </row>
    <row r="282" spans="5:5" x14ac:dyDescent="0.35">
      <c r="E282" s="2" t="s">
        <v>660</v>
      </c>
    </row>
    <row r="283" spans="5:5" x14ac:dyDescent="0.35">
      <c r="E283" s="2" t="s">
        <v>661</v>
      </c>
    </row>
    <row r="284" spans="5:5" x14ac:dyDescent="0.35">
      <c r="E284" s="2" t="s">
        <v>662</v>
      </c>
    </row>
    <row r="285" spans="5:5" x14ac:dyDescent="0.35">
      <c r="E285" s="2" t="s">
        <v>663</v>
      </c>
    </row>
    <row r="286" spans="5:5" x14ac:dyDescent="0.35">
      <c r="E286" s="2" t="s">
        <v>664</v>
      </c>
    </row>
    <row r="287" spans="5:5" x14ac:dyDescent="0.35">
      <c r="E287" s="2" t="s">
        <v>665</v>
      </c>
    </row>
    <row r="288" spans="5:5" x14ac:dyDescent="0.35">
      <c r="E288" s="2" t="s">
        <v>666</v>
      </c>
    </row>
    <row r="289" spans="5:5" x14ac:dyDescent="0.35">
      <c r="E289" s="2" t="s">
        <v>667</v>
      </c>
    </row>
    <row r="290" spans="5:5" x14ac:dyDescent="0.35">
      <c r="E290" s="2" t="s">
        <v>668</v>
      </c>
    </row>
    <row r="291" spans="5:5" x14ac:dyDescent="0.35">
      <c r="E291" s="2" t="s">
        <v>669</v>
      </c>
    </row>
    <row r="292" spans="5:5" x14ac:dyDescent="0.35">
      <c r="E292" s="2" t="s">
        <v>670</v>
      </c>
    </row>
    <row r="293" spans="5:5" x14ac:dyDescent="0.35">
      <c r="E293" s="2" t="s">
        <v>671</v>
      </c>
    </row>
    <row r="294" spans="5:5" x14ac:dyDescent="0.35">
      <c r="E294" s="2" t="s">
        <v>672</v>
      </c>
    </row>
    <row r="295" spans="5:5" x14ac:dyDescent="0.35">
      <c r="E295" s="2" t="s">
        <v>673</v>
      </c>
    </row>
    <row r="296" spans="5:5" x14ac:dyDescent="0.35">
      <c r="E296" s="2" t="s">
        <v>674</v>
      </c>
    </row>
    <row r="297" spans="5:5" x14ac:dyDescent="0.35">
      <c r="E297" s="2" t="s">
        <v>675</v>
      </c>
    </row>
    <row r="298" spans="5:5" x14ac:dyDescent="0.35">
      <c r="E298" s="2" t="s">
        <v>676</v>
      </c>
    </row>
    <row r="299" spans="5:5" x14ac:dyDescent="0.35">
      <c r="E299" s="2" t="s">
        <v>677</v>
      </c>
    </row>
    <row r="300" spans="5:5" x14ac:dyDescent="0.35">
      <c r="E300" s="2" t="s">
        <v>678</v>
      </c>
    </row>
    <row r="301" spans="5:5" x14ac:dyDescent="0.35">
      <c r="E301" s="2" t="s">
        <v>679</v>
      </c>
    </row>
    <row r="302" spans="5:5" x14ac:dyDescent="0.35">
      <c r="E302" s="2" t="s">
        <v>680</v>
      </c>
    </row>
    <row r="303" spans="5:5" x14ac:dyDescent="0.35">
      <c r="E303" s="2" t="s">
        <v>681</v>
      </c>
    </row>
    <row r="304" spans="5:5" x14ac:dyDescent="0.35">
      <c r="E304" s="2" t="s">
        <v>682</v>
      </c>
    </row>
    <row r="305" spans="5:5" x14ac:dyDescent="0.35">
      <c r="E305" s="2" t="s">
        <v>683</v>
      </c>
    </row>
    <row r="306" spans="5:5" x14ac:dyDescent="0.35">
      <c r="E306" s="2" t="s">
        <v>684</v>
      </c>
    </row>
    <row r="307" spans="5:5" x14ac:dyDescent="0.35">
      <c r="E307" s="2" t="s">
        <v>685</v>
      </c>
    </row>
    <row r="308" spans="5:5" x14ac:dyDescent="0.35">
      <c r="E308" s="2" t="s">
        <v>686</v>
      </c>
    </row>
    <row r="309" spans="5:5" x14ac:dyDescent="0.35">
      <c r="E309" s="2" t="s">
        <v>687</v>
      </c>
    </row>
    <row r="310" spans="5:5" x14ac:dyDescent="0.35">
      <c r="E310" s="2" t="s">
        <v>688</v>
      </c>
    </row>
    <row r="311" spans="5:5" x14ac:dyDescent="0.35">
      <c r="E311" s="2" t="s">
        <v>689</v>
      </c>
    </row>
    <row r="312" spans="5:5" x14ac:dyDescent="0.35">
      <c r="E312" s="2" t="s">
        <v>690</v>
      </c>
    </row>
    <row r="313" spans="5:5" x14ac:dyDescent="0.35">
      <c r="E313" s="2" t="s">
        <v>691</v>
      </c>
    </row>
  </sheetData>
  <hyperlinks>
    <hyperlink ref="C3" r:id="rId1" display="https://transparencia-orgt.diba.cat/" xr:uid="{4F1EA8AA-4D4F-4571-904D-62EA0911D8CD}"/>
    <hyperlink ref="C4" r:id="rId2" display="http://transparencia.institutdelteatre.cat/" xr:uid="{527B4798-72C5-48FE-89E7-306A141723B1}"/>
    <hyperlink ref="C5" r:id="rId3" display="https://transparencia-patronat-apostes.diba.cat/" xr:uid="{669469D4-2D3E-4F3F-9C4B-999413567C91}"/>
    <hyperlink ref="C6" r:id="rId4" display="https://www.xal.cat/" xr:uid="{3288C3E4-E366-44C5-A47A-D8A8A25DB3E2}"/>
    <hyperlink ref="C7" r:id="rId5" display="https://gobiernolocal.org/" xr:uid="{DD2C8E56-BD77-464D-B1D8-52221F430498}"/>
    <hyperlink ref="C8" r:id="rId6" display="https://seu-e.cat/es/web/cccb/govern-obert-i-transparencia" xr:uid="{851157D6-4974-4859-89C8-865070D470C4}"/>
    <hyperlink ref="C9" r:id="rId7" display="https://transparencia-cemical.diba.cat/" xr:uid="{F743CE55-037A-422D-931B-7B838F8B7F41}"/>
    <hyperlink ref="C10" r:id="rId8" display="https://www.seu-e.cat/web/cdrassanesreialsimuseumaritim/govern-obert-i-transparencia" xr:uid="{DA1DEBCE-11D0-4346-8A09-485F884F59CE}"/>
    <hyperlink ref="C11" r:id="rId9" display="https://museusdesitges.cat/ca/el-consorci-del-patrimoni-de-sitges" xr:uid="{747D0125-6BEA-4121-8425-CB297317E8B7}"/>
    <hyperlink ref="C12" r:id="rId10" display="https://cdmt.cat/portal-de-transparencia/" xr:uid="{933327F0-2FA9-4B2A-99A9-BD7181412E5E}"/>
    <hyperlink ref="C13" r:id="rId11" display="https://cuimpb.cat/" xr:uid="{C26DF528-67C5-47FE-98AC-49F06A168425}"/>
    <hyperlink ref="C14" r:id="rId12" display="https://parcagrari.cat/" xr:uid="{63CD162E-DF75-4078-884A-5034246E5E55}"/>
    <hyperlink ref="C15" r:id="rId13" display="https://parcs.diba.cat/web/marina" xr:uid="{610593CC-1B29-4E89-A206-44406DA6DDD6}"/>
    <hyperlink ref="C16" r:id="rId14" display="https://www.fundaciopalau.cat/la-fundacio/" xr:uid="{14E6441B-1103-4D3C-8B2F-45AA32F5684B}"/>
    <hyperlink ref="C17" r:id="rId15" display="https://www.icps.cat/" xr:uid="{BFAE96B3-C253-4BC7-B093-494B2C3B4EF2}"/>
    <hyperlink ref="C18" r:id="rId16" display="https://seu-e.cat/web/cespainaturalguilleries-savassona" xr:uid="{C2329066-DF77-4667-8537-1C19AE39EB30}"/>
    <hyperlink ref="C19" r:id="rId17" display="https://seu-e.cat/web/cparcdelaserraladalitoral" xr:uid="{3D66EC0B-9B27-447F-A2D7-D284357623CD}"/>
    <hyperlink ref="C20" r:id="rId18" display="https://www.seu-e.cat/ca/web/cdrassanesreialsimuseumaritim/govern-obert-i-transparencia/informacio-institucional-i-organitzativa/informacio-institucional/fundacio-de-suport-al-museu-maritim-i-drassanes-reials-de-barcelona-214" xr:uid="{43EB10DB-3249-4F20-A320-2905BED5094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0ce049-a8c3-4ed2-bca5-b2d99eadd5c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CD65391203A840BDE01E8EF30844A5" ma:contentTypeVersion="10" ma:contentTypeDescription="Crear nuevo documento." ma:contentTypeScope="" ma:versionID="f8e77f45a5e6347d6e3b02c6210b1899">
  <xsd:schema xmlns:xsd="http://www.w3.org/2001/XMLSchema" xmlns:xs="http://www.w3.org/2001/XMLSchema" xmlns:p="http://schemas.microsoft.com/office/2006/metadata/properties" xmlns:ns2="ff0ce049-a8c3-4ed2-bca5-b2d99eadd5c1" targetNamespace="http://schemas.microsoft.com/office/2006/metadata/properties" ma:root="true" ma:fieldsID="45282d210020a5211afe2d78b2324be6" ns2:_="">
    <xsd:import namespace="ff0ce049-a8c3-4ed2-bca5-b2d99eadd5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0ce049-a8c3-4ed2-bca5-b2d99eadd5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50028fe1-31b5-4904-8097-8e5e2258eb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4DC618-D6DC-4FD7-BAC3-9CF029968531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ff0ce049-a8c3-4ed2-bca5-b2d99eadd5c1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A14651F-3C4E-4E8E-92EA-8B3E6BF3A1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8EF9BE-6D9B-4B83-9FD4-8823A2554A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0ce049-a8c3-4ed2-bca5-b2d99eadd5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d526602-58c8-494f-8a3d-4d906671215d}" enabled="1" method="Standard" siteId="{8b87af7d-8647-4dc7-8df4-5f69a2011bb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Fulls de càlcul</vt:lpstr>
      </vt:variant>
      <vt:variant>
        <vt:i4>10</vt:i4>
      </vt:variant>
      <vt:variant>
        <vt:lpstr>Intervals amb nom</vt:lpstr>
      </vt:variant>
      <vt:variant>
        <vt:i4>17</vt:i4>
      </vt:variant>
    </vt:vector>
  </HeadingPairs>
  <TitlesOfParts>
    <vt:vector size="27" baseType="lpstr">
      <vt:lpstr>Instruccions</vt:lpstr>
      <vt:lpstr>MapaResponsables</vt:lpstr>
      <vt:lpstr>Qüestionari</vt:lpstr>
      <vt:lpstr>Gestió de la dada</vt:lpstr>
      <vt:lpstr>Qualitat de la dada</vt:lpstr>
      <vt:lpstr>Pla d'accions (anàlisi)</vt:lpstr>
      <vt:lpstr>Pla d'accions</vt:lpstr>
      <vt:lpstr>Resultat</vt:lpstr>
      <vt:lpstr>Llegenda</vt:lpstr>
      <vt:lpstr>Llistes</vt:lpstr>
      <vt:lpstr>Qüestionari!a</vt:lpstr>
      <vt:lpstr>Ajuntament</vt:lpstr>
      <vt:lpstr>Àrea</vt:lpstr>
      <vt:lpstr>Llegenda!Àrea_d'impressió</vt:lpstr>
      <vt:lpstr>MapaResponsables!Àrea_d'impressió</vt:lpstr>
      <vt:lpstr>'Pla d''accions'!Àrea_d'impressió</vt:lpstr>
      <vt:lpstr>'Pla d''accions (anàlisi)'!Àrea_d'impressió</vt:lpstr>
      <vt:lpstr>Qüestionari!Àrea_d'impressió</vt:lpstr>
      <vt:lpstr>Resultat!Àrea_d'impressió</vt:lpstr>
      <vt:lpstr>Dificultat</vt:lpstr>
      <vt:lpstr>Impacte</vt:lpstr>
      <vt:lpstr>ImpacteCost</vt:lpstr>
      <vt:lpstr>Organisme</vt:lpstr>
      <vt:lpstr>Rols</vt:lpstr>
      <vt:lpstr>Termini</vt:lpstr>
      <vt:lpstr>Tipus</vt:lpstr>
      <vt:lpstr>Qüestionari!Títols_per_imprimir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MENDEZ ARCE Alberto</dc:creator>
  <cp:keywords/>
  <dc:description/>
  <cp:lastModifiedBy>GUTIERREZ LOPEZ, DAVID</cp:lastModifiedBy>
  <cp:revision/>
  <dcterms:created xsi:type="dcterms:W3CDTF">2025-01-23T08:59:51Z</dcterms:created>
  <dcterms:modified xsi:type="dcterms:W3CDTF">2026-06-09T09:23:20Z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526602-58c8-494f-8a3d-4d906671215d_Enabled">
    <vt:lpwstr>true</vt:lpwstr>
  </property>
  <property fmtid="{D5CDD505-2E9C-101B-9397-08002B2CF9AE}" pid="3" name="MSIP_Label_fd526602-58c8-494f-8a3d-4d906671215d_SetDate">
    <vt:lpwstr>2025-01-24T10:23:18Z</vt:lpwstr>
  </property>
  <property fmtid="{D5CDD505-2E9C-101B-9397-08002B2CF9AE}" pid="4" name="MSIP_Label_fd526602-58c8-494f-8a3d-4d906671215d_Method">
    <vt:lpwstr>Standard</vt:lpwstr>
  </property>
  <property fmtid="{D5CDD505-2E9C-101B-9397-08002B2CF9AE}" pid="5" name="MSIP_Label_fd526602-58c8-494f-8a3d-4d906671215d_Name">
    <vt:lpwstr>ES Uso Restringido</vt:lpwstr>
  </property>
  <property fmtid="{D5CDD505-2E9C-101B-9397-08002B2CF9AE}" pid="6" name="MSIP_Label_fd526602-58c8-494f-8a3d-4d906671215d_SiteId">
    <vt:lpwstr>8b87af7d-8647-4dc7-8df4-5f69a2011bb5</vt:lpwstr>
  </property>
  <property fmtid="{D5CDD505-2E9C-101B-9397-08002B2CF9AE}" pid="7" name="MSIP_Label_fd526602-58c8-494f-8a3d-4d906671215d_ActionId">
    <vt:lpwstr>1d987446-f240-47ce-8c8d-a37f53502045</vt:lpwstr>
  </property>
  <property fmtid="{D5CDD505-2E9C-101B-9397-08002B2CF9AE}" pid="8" name="MSIP_Label_fd526602-58c8-494f-8a3d-4d906671215d_ContentBits">
    <vt:lpwstr>3</vt:lpwstr>
  </property>
  <property fmtid="{D5CDD505-2E9C-101B-9397-08002B2CF9AE}" pid="9" name="ContentTypeId">
    <vt:lpwstr>0x01010026CD65391203A840BDE01E8EF30844A5</vt:lpwstr>
  </property>
  <property fmtid="{D5CDD505-2E9C-101B-9397-08002B2CF9AE}" pid="10" name="MediaServiceImageTags">
    <vt:lpwstr/>
  </property>
</Properties>
</file>